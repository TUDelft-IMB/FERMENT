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7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8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9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U:\BT_HTS\Data\0_Tall Tubes\0_Tall Tube Experiments\"/>
    </mc:Choice>
  </mc:AlternateContent>
  <xr:revisionPtr revIDLastSave="0" documentId="13_ncr:1_{DFA1FA0E-7CCA-4787-80A5-C58A54685E8F}" xr6:coauthVersionLast="47" xr6:coauthVersionMax="47" xr10:uidLastSave="{00000000-0000-0000-0000-000000000000}"/>
  <bookViews>
    <workbookView xWindow="-28920" yWindow="1050" windowWidth="29040" windowHeight="15720" activeTab="7" xr2:uid="{4E4969CC-131E-40C7-A24F-E99793EDCDC4}"/>
  </bookViews>
  <sheets>
    <sheet name="Notes" sheetId="9" r:id="rId1"/>
    <sheet name="Experimental_parameters" sheetId="1" r:id="rId2"/>
    <sheet name="Planning_preculture" sheetId="3" r:id="rId3"/>
    <sheet name="CellCount_Viability" sheetId="8" r:id="rId4"/>
    <sheet name="Attenuation" sheetId="4" r:id="rId5"/>
    <sheet name="pH" sheetId="5" r:id="rId6"/>
    <sheet name="Cone_viability" sheetId="10" r:id="rId7"/>
    <sheet name="HPLC_raw" sheetId="11" r:id="rId8"/>
    <sheet name="GC_esters_raw" sheetId="13" r:id="rId9"/>
    <sheet name="GC_ketones_raw" sheetId="15" r:id="rId10"/>
    <sheet name="HPLC" sheetId="6" r:id="rId11"/>
    <sheet name="GC_esters" sheetId="7" r:id="rId12"/>
    <sheet name="GC_ketones" sheetId="14" r:id="rId13"/>
    <sheet name="CO2" sheetId="17" r:id="rId14"/>
    <sheet name="averages_to_plot" sheetId="16" r:id="rId15"/>
    <sheet name="Excel_parameters_(ignore)" sheetId="1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1" l="1"/>
  <c r="AC3" i="11"/>
  <c r="AB4" i="11"/>
  <c r="AC4" i="11"/>
  <c r="AB5" i="11"/>
  <c r="AC5" i="11"/>
  <c r="Z5" i="11" s="1"/>
  <c r="AB9" i="11"/>
  <c r="AC9" i="11"/>
  <c r="AB10" i="11"/>
  <c r="AC10" i="11"/>
  <c r="AB11" i="11"/>
  <c r="AC11" i="11"/>
  <c r="AB15" i="11"/>
  <c r="AC15" i="11"/>
  <c r="Z15" i="11" s="1"/>
  <c r="AB16" i="11"/>
  <c r="AC16" i="11"/>
  <c r="AB17" i="11"/>
  <c r="AC17" i="11"/>
  <c r="AB21" i="11"/>
  <c r="AC21" i="11"/>
  <c r="AB22" i="11"/>
  <c r="AC22" i="11"/>
  <c r="Z22" i="11" s="1"/>
  <c r="AB23" i="11"/>
  <c r="AC23" i="11" s="1"/>
  <c r="AB27" i="11"/>
  <c r="AC27" i="11"/>
  <c r="Z27" i="11" s="1"/>
  <c r="AB28" i="11"/>
  <c r="AC28" i="11"/>
  <c r="AB29" i="11"/>
  <c r="AC29" i="11" s="1"/>
  <c r="AB33" i="11"/>
  <c r="AC33" i="11"/>
  <c r="AB34" i="11"/>
  <c r="AC34" i="11"/>
  <c r="Y34" i="11" s="1"/>
  <c r="AB35" i="11"/>
  <c r="AC35" i="11" s="1"/>
  <c r="AB39" i="11"/>
  <c r="AC39" i="11"/>
  <c r="Z39" i="11" s="1"/>
  <c r="AB40" i="11"/>
  <c r="AC40" i="11"/>
  <c r="Z40" i="11" s="1"/>
  <c r="AB41" i="11"/>
  <c r="AC41" i="11" s="1"/>
  <c r="AB45" i="11"/>
  <c r="AC45" i="11"/>
  <c r="Z45" i="11" s="1"/>
  <c r="AB46" i="11"/>
  <c r="AC46" i="11"/>
  <c r="AB47" i="11"/>
  <c r="AC47" i="11" s="1"/>
  <c r="AB51" i="11"/>
  <c r="AC51" i="11"/>
  <c r="Z51" i="11" s="1"/>
  <c r="AB52" i="11"/>
  <c r="AC52" i="11"/>
  <c r="Y52" i="11" s="1"/>
  <c r="AB53" i="11"/>
  <c r="AC53" i="11" s="1"/>
  <c r="AB57" i="11"/>
  <c r="AC57" i="11"/>
  <c r="AB58" i="11"/>
  <c r="AC58" i="11"/>
  <c r="AB59" i="11"/>
  <c r="AC59" i="11" s="1"/>
  <c r="AB63" i="11"/>
  <c r="AC63" i="11"/>
  <c r="AB64" i="11"/>
  <c r="AC64" i="11"/>
  <c r="Z64" i="11" s="1"/>
  <c r="AB65" i="11"/>
  <c r="AC65" i="11" s="1"/>
  <c r="Q53" i="11" l="1"/>
  <c r="R53" i="11"/>
  <c r="S53" i="11"/>
  <c r="T53" i="11"/>
  <c r="V53" i="11"/>
  <c r="W53" i="11"/>
  <c r="X53" i="11"/>
  <c r="U53" i="11"/>
  <c r="Z53" i="11"/>
  <c r="Y53" i="11"/>
  <c r="Q23" i="11"/>
  <c r="Y23" i="11"/>
  <c r="R23" i="11"/>
  <c r="S23" i="11"/>
  <c r="T23" i="11"/>
  <c r="V23" i="11"/>
  <c r="X23" i="11"/>
  <c r="U23" i="11"/>
  <c r="W23" i="11"/>
  <c r="Z23" i="11"/>
  <c r="Q47" i="11"/>
  <c r="T47" i="11"/>
  <c r="R47" i="11"/>
  <c r="S47" i="11"/>
  <c r="V47" i="11"/>
  <c r="U47" i="11"/>
  <c r="W47" i="11"/>
  <c r="X47" i="11"/>
  <c r="Y47" i="11"/>
  <c r="Z47" i="11"/>
  <c r="Q59" i="11"/>
  <c r="W59" i="11"/>
  <c r="R59" i="11"/>
  <c r="S59" i="11"/>
  <c r="T59" i="11"/>
  <c r="V59" i="11"/>
  <c r="U59" i="11"/>
  <c r="X59" i="11"/>
  <c r="Y59" i="11"/>
  <c r="Z59" i="11"/>
  <c r="Q41" i="11"/>
  <c r="R41" i="11"/>
  <c r="S41" i="11"/>
  <c r="T41" i="11"/>
  <c r="W41" i="11"/>
  <c r="V41" i="11"/>
  <c r="X41" i="11"/>
  <c r="U41" i="11"/>
  <c r="Y41" i="11"/>
  <c r="Z41" i="11"/>
  <c r="Q65" i="11"/>
  <c r="T65" i="11"/>
  <c r="V65" i="11"/>
  <c r="R65" i="11"/>
  <c r="S65" i="11"/>
  <c r="X65" i="11"/>
  <c r="W65" i="11"/>
  <c r="U65" i="11"/>
  <c r="Y65" i="11"/>
  <c r="Z65" i="11"/>
  <c r="Q35" i="11"/>
  <c r="X35" i="11"/>
  <c r="R35" i="11"/>
  <c r="S35" i="11"/>
  <c r="W35" i="11"/>
  <c r="T35" i="11"/>
  <c r="V35" i="11"/>
  <c r="U35" i="11"/>
  <c r="Y35" i="11"/>
  <c r="Z35" i="11"/>
  <c r="Q29" i="11"/>
  <c r="S29" i="11"/>
  <c r="R29" i="11"/>
  <c r="W29" i="11"/>
  <c r="X29" i="11"/>
  <c r="T29" i="11"/>
  <c r="U29" i="11"/>
  <c r="V29" i="11"/>
  <c r="Z29" i="11"/>
  <c r="Y29" i="11"/>
  <c r="Q16" i="11"/>
  <c r="R16" i="11"/>
  <c r="S16" i="11"/>
  <c r="W16" i="11"/>
  <c r="Y16" i="11"/>
  <c r="T16" i="11"/>
  <c r="U16" i="11"/>
  <c r="V16" i="11"/>
  <c r="X16" i="11"/>
  <c r="Z16" i="11"/>
  <c r="Q58" i="11"/>
  <c r="T58" i="11"/>
  <c r="R58" i="11"/>
  <c r="S58" i="11"/>
  <c r="V58" i="11"/>
  <c r="X58" i="11"/>
  <c r="U58" i="11"/>
  <c r="W58" i="11"/>
  <c r="Q46" i="11"/>
  <c r="S46" i="11"/>
  <c r="X46" i="11"/>
  <c r="R46" i="11"/>
  <c r="W46" i="11"/>
  <c r="T46" i="11"/>
  <c r="U46" i="11"/>
  <c r="V46" i="11"/>
  <c r="Q28" i="11"/>
  <c r="W28" i="11"/>
  <c r="R28" i="11"/>
  <c r="S28" i="11"/>
  <c r="T28" i="11"/>
  <c r="X28" i="11"/>
  <c r="U28" i="11"/>
  <c r="V28" i="11"/>
  <c r="Z52" i="11"/>
  <c r="Z34" i="11"/>
  <c r="Q21" i="11"/>
  <c r="R21" i="11"/>
  <c r="S21" i="11"/>
  <c r="V21" i="11"/>
  <c r="T21" i="11"/>
  <c r="W21" i="11"/>
  <c r="X21" i="11"/>
  <c r="Y21" i="11"/>
  <c r="U21" i="11"/>
  <c r="Q33" i="11"/>
  <c r="R33" i="11"/>
  <c r="S33" i="11"/>
  <c r="V33" i="11"/>
  <c r="X33" i="11"/>
  <c r="T33" i="11"/>
  <c r="W33" i="11"/>
  <c r="U33" i="11"/>
  <c r="Q9" i="11"/>
  <c r="W9" i="11"/>
  <c r="Y9" i="11"/>
  <c r="R9" i="11"/>
  <c r="S9" i="11"/>
  <c r="T9" i="11"/>
  <c r="X9" i="11"/>
  <c r="U9" i="11"/>
  <c r="V9" i="11"/>
  <c r="Z9" i="11"/>
  <c r="Q52" i="11"/>
  <c r="T52" i="11"/>
  <c r="W52" i="11"/>
  <c r="R52" i="11"/>
  <c r="S52" i="11"/>
  <c r="V52" i="11"/>
  <c r="X52" i="11"/>
  <c r="U52" i="11"/>
  <c r="Q34" i="11"/>
  <c r="S34" i="11"/>
  <c r="R34" i="11"/>
  <c r="T34" i="11"/>
  <c r="X34" i="11"/>
  <c r="U34" i="11"/>
  <c r="V34" i="11"/>
  <c r="W34" i="11"/>
  <c r="Q15" i="11"/>
  <c r="S15" i="11"/>
  <c r="Y15" i="11"/>
  <c r="R15" i="11"/>
  <c r="T15" i="11"/>
  <c r="X15" i="11"/>
  <c r="U15" i="11"/>
  <c r="V15" i="11"/>
  <c r="W15" i="11"/>
  <c r="Z58" i="11"/>
  <c r="Z46" i="11"/>
  <c r="Z28" i="11"/>
  <c r="Y58" i="11"/>
  <c r="Y46" i="11"/>
  <c r="Y28" i="11"/>
  <c r="Q4" i="11"/>
  <c r="S4" i="11"/>
  <c r="R4" i="11"/>
  <c r="W4" i="11"/>
  <c r="Y4" i="11"/>
  <c r="T4" i="11"/>
  <c r="U4" i="11"/>
  <c r="V4" i="11"/>
  <c r="X4" i="11"/>
  <c r="Q63" i="11"/>
  <c r="S63" i="11"/>
  <c r="V63" i="11"/>
  <c r="R63" i="11"/>
  <c r="T63" i="11"/>
  <c r="X63" i="11"/>
  <c r="W63" i="11"/>
  <c r="U63" i="11"/>
  <c r="Q39" i="11"/>
  <c r="R39" i="11"/>
  <c r="S39" i="11"/>
  <c r="V39" i="11"/>
  <c r="T39" i="11"/>
  <c r="W39" i="11"/>
  <c r="U39" i="11"/>
  <c r="X39" i="11"/>
  <c r="Z21" i="11"/>
  <c r="Z4" i="11"/>
  <c r="Z63" i="11"/>
  <c r="Q10" i="11"/>
  <c r="W10" i="11"/>
  <c r="R10" i="11"/>
  <c r="S10" i="11"/>
  <c r="Y10" i="11"/>
  <c r="T10" i="11"/>
  <c r="X10" i="11"/>
  <c r="U10" i="11"/>
  <c r="V10" i="11"/>
  <c r="Y33" i="11"/>
  <c r="Q22" i="11"/>
  <c r="S22" i="11"/>
  <c r="X22" i="11"/>
  <c r="R22" i="11"/>
  <c r="W22" i="11"/>
  <c r="T22" i="11"/>
  <c r="U22" i="11"/>
  <c r="V22" i="11"/>
  <c r="Q64" i="11"/>
  <c r="R64" i="11"/>
  <c r="S64" i="11"/>
  <c r="W64" i="11"/>
  <c r="V64" i="11"/>
  <c r="T64" i="11"/>
  <c r="X64" i="11"/>
  <c r="U64" i="11"/>
  <c r="Q40" i="11"/>
  <c r="S40" i="11"/>
  <c r="T40" i="11"/>
  <c r="V40" i="11"/>
  <c r="W40" i="11"/>
  <c r="R40" i="11"/>
  <c r="X40" i="11"/>
  <c r="U40" i="11"/>
  <c r="Q5" i="11"/>
  <c r="X5" i="11"/>
  <c r="R5" i="11"/>
  <c r="S5" i="11"/>
  <c r="T5" i="11"/>
  <c r="U5" i="11"/>
  <c r="V5" i="11"/>
  <c r="W5" i="11"/>
  <c r="Y5" i="11"/>
  <c r="Y22" i="11"/>
  <c r="Y64" i="11"/>
  <c r="Y40" i="11"/>
  <c r="Q11" i="11"/>
  <c r="X11" i="11"/>
  <c r="R11" i="11"/>
  <c r="S11" i="11"/>
  <c r="T11" i="11"/>
  <c r="W11" i="11"/>
  <c r="Y11" i="11"/>
  <c r="U11" i="11"/>
  <c r="V11" i="11"/>
  <c r="Q57" i="11"/>
  <c r="S57" i="11"/>
  <c r="X57" i="11"/>
  <c r="R57" i="11"/>
  <c r="W57" i="11"/>
  <c r="T57" i="11"/>
  <c r="U57" i="11"/>
  <c r="V57" i="11"/>
  <c r="Q51" i="11"/>
  <c r="S51" i="11"/>
  <c r="V51" i="11"/>
  <c r="R51" i="11"/>
  <c r="W51" i="11"/>
  <c r="T51" i="11"/>
  <c r="X51" i="11"/>
  <c r="U51" i="11"/>
  <c r="Q45" i="11"/>
  <c r="R45" i="11"/>
  <c r="S45" i="11"/>
  <c r="V45" i="11"/>
  <c r="X45" i="11"/>
  <c r="T45" i="11"/>
  <c r="W45" i="11"/>
  <c r="U45" i="11"/>
  <c r="Q27" i="11"/>
  <c r="V27" i="11"/>
  <c r="R27" i="11"/>
  <c r="S27" i="11"/>
  <c r="T27" i="11"/>
  <c r="W27" i="11"/>
  <c r="U27" i="11"/>
  <c r="X27" i="11"/>
  <c r="Z11" i="11"/>
  <c r="Z57" i="11"/>
  <c r="Z33" i="11"/>
  <c r="Q17" i="11"/>
  <c r="W17" i="11"/>
  <c r="R17" i="11"/>
  <c r="S17" i="11"/>
  <c r="X17" i="11"/>
  <c r="T17" i="11"/>
  <c r="U17" i="11"/>
  <c r="V17" i="11"/>
  <c r="Y17" i="11"/>
  <c r="Q3" i="11"/>
  <c r="R3" i="11"/>
  <c r="S3" i="11"/>
  <c r="X3" i="11"/>
  <c r="T3" i="11"/>
  <c r="W3" i="11"/>
  <c r="Y3" i="11"/>
  <c r="U3" i="11"/>
  <c r="V3" i="11"/>
  <c r="Y63" i="11"/>
  <c r="Y57" i="11"/>
  <c r="Y51" i="11"/>
  <c r="Y45" i="11"/>
  <c r="Y39" i="11"/>
  <c r="Y27" i="11"/>
  <c r="Z17" i="11"/>
  <c r="Z10" i="11"/>
  <c r="Z3" i="11"/>
  <c r="K11" i="14"/>
  <c r="J11" i="14"/>
  <c r="I11" i="14"/>
  <c r="H11" i="14"/>
  <c r="G11" i="14"/>
  <c r="F11" i="14"/>
  <c r="E11" i="14"/>
  <c r="D11" i="14"/>
  <c r="A11" i="7" l="1"/>
  <c r="C11" i="7" s="1"/>
  <c r="B11" i="7" s="1"/>
  <c r="A12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AA11" i="6" l="1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AA21" i="6" l="1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AU21" i="16" l="1"/>
  <c r="AT21" i="16"/>
  <c r="AS21" i="16"/>
  <c r="AR21" i="16"/>
  <c r="M21" i="16"/>
  <c r="L21" i="16"/>
  <c r="K21" i="16"/>
  <c r="J21" i="16"/>
  <c r="G21" i="16"/>
  <c r="F21" i="16"/>
  <c r="E21" i="16"/>
  <c r="D21" i="16"/>
  <c r="A21" i="16"/>
  <c r="AU20" i="16"/>
  <c r="AT20" i="16"/>
  <c r="BQ20" i="16" s="1"/>
  <c r="AS20" i="16"/>
  <c r="AR20" i="16"/>
  <c r="M20" i="16"/>
  <c r="L20" i="16"/>
  <c r="K20" i="16"/>
  <c r="J20" i="16"/>
  <c r="G20" i="16"/>
  <c r="F20" i="16"/>
  <c r="E20" i="16"/>
  <c r="D20" i="16"/>
  <c r="A20" i="16"/>
  <c r="AU19" i="16"/>
  <c r="AT19" i="16"/>
  <c r="AS19" i="16"/>
  <c r="AR19" i="16"/>
  <c r="M19" i="16"/>
  <c r="L19" i="16"/>
  <c r="K19" i="16"/>
  <c r="J19" i="16"/>
  <c r="G19" i="16"/>
  <c r="F19" i="16"/>
  <c r="E19" i="16"/>
  <c r="D19" i="16"/>
  <c r="A19" i="16"/>
  <c r="AU18" i="16"/>
  <c r="AT18" i="16"/>
  <c r="AS18" i="16"/>
  <c r="AR18" i="16"/>
  <c r="BO18" i="16" s="1"/>
  <c r="M18" i="16"/>
  <c r="L18" i="16"/>
  <c r="K18" i="16"/>
  <c r="J18" i="16"/>
  <c r="G18" i="16"/>
  <c r="F18" i="16"/>
  <c r="E18" i="16"/>
  <c r="D18" i="16"/>
  <c r="A18" i="16"/>
  <c r="AU17" i="16"/>
  <c r="AT17" i="16"/>
  <c r="AS17" i="16"/>
  <c r="AR17" i="16"/>
  <c r="M17" i="16"/>
  <c r="L17" i="16"/>
  <c r="K17" i="16"/>
  <c r="J17" i="16"/>
  <c r="G17" i="16"/>
  <c r="F17" i="16"/>
  <c r="E17" i="16"/>
  <c r="D17" i="16"/>
  <c r="A17" i="16"/>
  <c r="AU16" i="16"/>
  <c r="AT16" i="16"/>
  <c r="AS16" i="16"/>
  <c r="AR16" i="16"/>
  <c r="M16" i="16"/>
  <c r="L16" i="16"/>
  <c r="K16" i="16"/>
  <c r="J16" i="16"/>
  <c r="G16" i="16"/>
  <c r="F16" i="16"/>
  <c r="E16" i="16"/>
  <c r="D16" i="16"/>
  <c r="A16" i="16"/>
  <c r="AU15" i="16"/>
  <c r="AT15" i="16"/>
  <c r="BQ15" i="16" s="1"/>
  <c r="AS15" i="16"/>
  <c r="AR15" i="16"/>
  <c r="M15" i="16"/>
  <c r="L15" i="16"/>
  <c r="K15" i="16"/>
  <c r="J15" i="16"/>
  <c r="G15" i="16"/>
  <c r="F15" i="16"/>
  <c r="E15" i="16"/>
  <c r="D15" i="16"/>
  <c r="A15" i="16"/>
  <c r="AU14" i="16"/>
  <c r="AT14" i="16"/>
  <c r="AS14" i="16"/>
  <c r="AR14" i="16"/>
  <c r="BO14" i="16" s="1"/>
  <c r="M14" i="16"/>
  <c r="L14" i="16"/>
  <c r="K14" i="16"/>
  <c r="J14" i="16"/>
  <c r="G14" i="16"/>
  <c r="F14" i="16"/>
  <c r="E14" i="16"/>
  <c r="D14" i="16"/>
  <c r="A14" i="16"/>
  <c r="AU13" i="16"/>
  <c r="AT13" i="16"/>
  <c r="AS13" i="16"/>
  <c r="AR13" i="16"/>
  <c r="M13" i="16"/>
  <c r="L13" i="16"/>
  <c r="K13" i="16"/>
  <c r="J13" i="16"/>
  <c r="G13" i="16"/>
  <c r="E13" i="16"/>
  <c r="D13" i="16"/>
  <c r="A13" i="16"/>
  <c r="M12" i="16"/>
  <c r="L12" i="16"/>
  <c r="K12" i="16"/>
  <c r="J12" i="16"/>
  <c r="E12" i="16"/>
  <c r="D12" i="16"/>
  <c r="A12" i="16"/>
  <c r="M11" i="16"/>
  <c r="L11" i="16"/>
  <c r="K11" i="16"/>
  <c r="J11" i="16"/>
  <c r="E11" i="16"/>
  <c r="D11" i="16"/>
  <c r="A11" i="16"/>
  <c r="M10" i="16"/>
  <c r="L10" i="16"/>
  <c r="K10" i="16"/>
  <c r="J10" i="16"/>
  <c r="E10" i="16"/>
  <c r="D10" i="16"/>
  <c r="A10" i="16"/>
  <c r="M9" i="16"/>
  <c r="L9" i="16"/>
  <c r="K9" i="16"/>
  <c r="J9" i="16"/>
  <c r="E9" i="16"/>
  <c r="D9" i="16"/>
  <c r="A9" i="16"/>
  <c r="M8" i="16"/>
  <c r="L8" i="16"/>
  <c r="K8" i="16"/>
  <c r="J8" i="16"/>
  <c r="E8" i="16"/>
  <c r="D8" i="16"/>
  <c r="A8" i="16"/>
  <c r="M7" i="16"/>
  <c r="L7" i="16"/>
  <c r="K7" i="16"/>
  <c r="J7" i="16"/>
  <c r="E7" i="16"/>
  <c r="D7" i="16"/>
  <c r="A7" i="16"/>
  <c r="M6" i="16"/>
  <c r="L6" i="16"/>
  <c r="K6" i="16"/>
  <c r="J6" i="16"/>
  <c r="E6" i="16"/>
  <c r="D6" i="16"/>
  <c r="A6" i="16"/>
  <c r="M5" i="16"/>
  <c r="L5" i="16"/>
  <c r="K5" i="16"/>
  <c r="J5" i="16"/>
  <c r="E5" i="16"/>
  <c r="D5" i="16"/>
  <c r="A5" i="16"/>
  <c r="M4" i="16"/>
  <c r="L4" i="16"/>
  <c r="K4" i="16"/>
  <c r="J4" i="16"/>
  <c r="E4" i="16"/>
  <c r="D4" i="16"/>
  <c r="A4" i="16"/>
  <c r="M3" i="16"/>
  <c r="L3" i="16"/>
  <c r="K3" i="16"/>
  <c r="J3" i="16"/>
  <c r="E3" i="16"/>
  <c r="D3" i="16"/>
  <c r="A3" i="16"/>
  <c r="M2" i="16"/>
  <c r="L2" i="16"/>
  <c r="K2" i="16"/>
  <c r="J2" i="16"/>
  <c r="E2" i="16"/>
  <c r="D2" i="16"/>
  <c r="A2" i="16"/>
  <c r="C1" i="16"/>
  <c r="B1" i="16"/>
  <c r="A1" i="16"/>
  <c r="BO21" i="16"/>
  <c r="BQ21" i="16"/>
  <c r="BO20" i="16"/>
  <c r="BO19" i="16"/>
  <c r="BQ18" i="16"/>
  <c r="BQ17" i="16"/>
  <c r="BO17" i="16"/>
  <c r="BQ16" i="16"/>
  <c r="BO16" i="16"/>
  <c r="BO15" i="16"/>
  <c r="BQ14" i="16"/>
  <c r="BQ13" i="16"/>
  <c r="BO13" i="16"/>
  <c r="I2" i="10"/>
  <c r="I3" i="10"/>
  <c r="F2" i="8"/>
  <c r="I2" i="8"/>
  <c r="F3" i="8"/>
  <c r="I3" i="8"/>
  <c r="F3" i="16" s="1"/>
  <c r="F4" i="8"/>
  <c r="I4" i="8"/>
  <c r="F5" i="8"/>
  <c r="I5" i="8"/>
  <c r="G4" i="16" l="1"/>
  <c r="G5" i="16"/>
  <c r="G3" i="16"/>
  <c r="G2" i="16"/>
  <c r="F5" i="16"/>
  <c r="F4" i="16"/>
  <c r="F2" i="16"/>
  <c r="BQ19" i="16"/>
  <c r="E2" i="7"/>
  <c r="E1" i="5"/>
  <c r="D1" i="5"/>
  <c r="E1" i="4"/>
  <c r="D1" i="4"/>
  <c r="K21" i="14"/>
  <c r="J21" i="14"/>
  <c r="I21" i="14"/>
  <c r="H21" i="14"/>
  <c r="G21" i="14"/>
  <c r="F21" i="14"/>
  <c r="E21" i="14"/>
  <c r="D21" i="14"/>
  <c r="K20" i="14"/>
  <c r="J20" i="14"/>
  <c r="I20" i="14"/>
  <c r="H20" i="14"/>
  <c r="G20" i="14"/>
  <c r="F20" i="14"/>
  <c r="E20" i="14"/>
  <c r="D20" i="14"/>
  <c r="K19" i="14"/>
  <c r="J19" i="14"/>
  <c r="I19" i="14"/>
  <c r="H19" i="14"/>
  <c r="G19" i="14"/>
  <c r="F19" i="14"/>
  <c r="E19" i="14"/>
  <c r="D19" i="14"/>
  <c r="K18" i="14"/>
  <c r="J18" i="14"/>
  <c r="I18" i="14"/>
  <c r="H18" i="14"/>
  <c r="G18" i="14"/>
  <c r="F18" i="14"/>
  <c r="E18" i="14"/>
  <c r="D18" i="14"/>
  <c r="K17" i="14"/>
  <c r="J17" i="14"/>
  <c r="I17" i="14"/>
  <c r="H17" i="14"/>
  <c r="G17" i="14"/>
  <c r="F17" i="14"/>
  <c r="E17" i="14"/>
  <c r="D17" i="14"/>
  <c r="K16" i="14"/>
  <c r="J16" i="14"/>
  <c r="I16" i="14"/>
  <c r="H16" i="14"/>
  <c r="G16" i="14"/>
  <c r="F16" i="14"/>
  <c r="E16" i="14"/>
  <c r="D16" i="14"/>
  <c r="K15" i="14"/>
  <c r="J15" i="14"/>
  <c r="I15" i="14"/>
  <c r="H15" i="14"/>
  <c r="G15" i="14"/>
  <c r="F15" i="14"/>
  <c r="E15" i="14"/>
  <c r="D15" i="14"/>
  <c r="K14" i="14"/>
  <c r="J14" i="14"/>
  <c r="I14" i="14"/>
  <c r="H14" i="14"/>
  <c r="G14" i="14"/>
  <c r="F14" i="14"/>
  <c r="E14" i="14"/>
  <c r="D14" i="14"/>
  <c r="K13" i="14"/>
  <c r="J13" i="14"/>
  <c r="I13" i="14"/>
  <c r="H13" i="14"/>
  <c r="G13" i="14"/>
  <c r="F13" i="14"/>
  <c r="E13" i="14"/>
  <c r="D13" i="14"/>
  <c r="K12" i="14"/>
  <c r="J12" i="14"/>
  <c r="I12" i="14"/>
  <c r="H12" i="14"/>
  <c r="G12" i="14"/>
  <c r="F12" i="14"/>
  <c r="E12" i="14"/>
  <c r="D12" i="14"/>
  <c r="K10" i="14"/>
  <c r="J10" i="14"/>
  <c r="I10" i="14"/>
  <c r="H10" i="14"/>
  <c r="G10" i="14"/>
  <c r="F10" i="14"/>
  <c r="E10" i="14"/>
  <c r="D10" i="14"/>
  <c r="K9" i="14"/>
  <c r="J9" i="14"/>
  <c r="I9" i="14"/>
  <c r="H9" i="14"/>
  <c r="G9" i="14"/>
  <c r="F9" i="14"/>
  <c r="E9" i="14"/>
  <c r="D9" i="14"/>
  <c r="K8" i="14"/>
  <c r="J8" i="14"/>
  <c r="I8" i="14"/>
  <c r="H8" i="14"/>
  <c r="G8" i="14"/>
  <c r="F8" i="14"/>
  <c r="E8" i="14"/>
  <c r="D8" i="14"/>
  <c r="K7" i="14"/>
  <c r="J7" i="14"/>
  <c r="I7" i="14"/>
  <c r="H7" i="14"/>
  <c r="G7" i="14"/>
  <c r="F7" i="14"/>
  <c r="E7" i="14"/>
  <c r="D7" i="14"/>
  <c r="K6" i="14"/>
  <c r="J6" i="14"/>
  <c r="I6" i="14"/>
  <c r="H6" i="14"/>
  <c r="G6" i="14"/>
  <c r="F6" i="14"/>
  <c r="E6" i="14"/>
  <c r="D6" i="14"/>
  <c r="K5" i="14"/>
  <c r="J5" i="14"/>
  <c r="I5" i="14"/>
  <c r="H5" i="14"/>
  <c r="G5" i="14"/>
  <c r="F5" i="14"/>
  <c r="E5" i="14"/>
  <c r="D5" i="14"/>
  <c r="K4" i="14"/>
  <c r="J4" i="14"/>
  <c r="I4" i="14"/>
  <c r="H4" i="14"/>
  <c r="G4" i="14"/>
  <c r="F4" i="14"/>
  <c r="E4" i="14"/>
  <c r="D4" i="14"/>
  <c r="K3" i="14"/>
  <c r="J3" i="14"/>
  <c r="I3" i="14"/>
  <c r="H3" i="14"/>
  <c r="G3" i="14"/>
  <c r="F3" i="14"/>
  <c r="E3" i="14"/>
  <c r="D3" i="14"/>
  <c r="K2" i="14"/>
  <c r="J2" i="14"/>
  <c r="I2" i="14"/>
  <c r="H2" i="14"/>
  <c r="G2" i="14"/>
  <c r="F2" i="14"/>
  <c r="E2" i="14"/>
  <c r="D2" i="14"/>
  <c r="B115" i="15"/>
  <c r="B109" i="15"/>
  <c r="B103" i="15"/>
  <c r="B97" i="15"/>
  <c r="B91" i="15"/>
  <c r="B85" i="15"/>
  <c r="B79" i="15"/>
  <c r="B73" i="15"/>
  <c r="B67" i="15"/>
  <c r="B61" i="15"/>
  <c r="B55" i="15"/>
  <c r="B49" i="15"/>
  <c r="B43" i="15"/>
  <c r="B37" i="15"/>
  <c r="B31" i="15"/>
  <c r="B25" i="15"/>
  <c r="B19" i="15"/>
  <c r="B13" i="15"/>
  <c r="B7" i="15"/>
  <c r="B1" i="15"/>
  <c r="A21" i="14"/>
  <c r="C21" i="14" s="1"/>
  <c r="B21" i="14" s="1"/>
  <c r="A20" i="14"/>
  <c r="C20" i="14" s="1"/>
  <c r="B20" i="14" s="1"/>
  <c r="A19" i="14"/>
  <c r="C19" i="14" s="1"/>
  <c r="B19" i="14" s="1"/>
  <c r="A18" i="14"/>
  <c r="C18" i="14" s="1"/>
  <c r="B18" i="14" s="1"/>
  <c r="A17" i="14"/>
  <c r="C17" i="14" s="1"/>
  <c r="B17" i="14" s="1"/>
  <c r="A16" i="14"/>
  <c r="C16" i="14" s="1"/>
  <c r="B16" i="14" s="1"/>
  <c r="A15" i="14"/>
  <c r="C15" i="14" s="1"/>
  <c r="B15" i="14" s="1"/>
  <c r="A14" i="14"/>
  <c r="C14" i="14" s="1"/>
  <c r="B14" i="14" s="1"/>
  <c r="A13" i="14"/>
  <c r="C13" i="14" s="1"/>
  <c r="B13" i="14" s="1"/>
  <c r="A12" i="14"/>
  <c r="A11" i="14"/>
  <c r="A10" i="14"/>
  <c r="A9" i="14"/>
  <c r="C9" i="14" s="1"/>
  <c r="B9" i="14" s="1"/>
  <c r="A8" i="14"/>
  <c r="C8" i="14" s="1"/>
  <c r="B8" i="14" s="1"/>
  <c r="A7" i="14"/>
  <c r="A6" i="14"/>
  <c r="A5" i="14"/>
  <c r="A4" i="14"/>
  <c r="A3" i="14"/>
  <c r="A2" i="14"/>
  <c r="C2" i="14" s="1"/>
  <c r="B2" i="14" s="1"/>
  <c r="AH2" i="7"/>
  <c r="AI2" i="7"/>
  <c r="AJ2" i="7"/>
  <c r="AK2" i="7"/>
  <c r="AH3" i="7"/>
  <c r="AI3" i="7"/>
  <c r="AJ3" i="7"/>
  <c r="AK3" i="7"/>
  <c r="AH4" i="7"/>
  <c r="AI4" i="7"/>
  <c r="AJ4" i="7"/>
  <c r="AK4" i="7"/>
  <c r="AH5" i="7"/>
  <c r="AI5" i="7"/>
  <c r="AJ5" i="7"/>
  <c r="AK5" i="7"/>
  <c r="AH6" i="7"/>
  <c r="AI6" i="7"/>
  <c r="AJ6" i="7"/>
  <c r="AK6" i="7"/>
  <c r="AH7" i="7"/>
  <c r="AI7" i="7"/>
  <c r="AJ7" i="7"/>
  <c r="AK7" i="7"/>
  <c r="AH8" i="7"/>
  <c r="AI8" i="7"/>
  <c r="AJ8" i="7"/>
  <c r="AK8" i="7"/>
  <c r="AH9" i="7"/>
  <c r="AI9" i="7"/>
  <c r="AJ9" i="7"/>
  <c r="AK9" i="7"/>
  <c r="AH10" i="7"/>
  <c r="AI10" i="7"/>
  <c r="AJ10" i="7"/>
  <c r="AK10" i="7"/>
  <c r="AH12" i="7"/>
  <c r="AI12" i="7"/>
  <c r="AJ12" i="7"/>
  <c r="AK12" i="7"/>
  <c r="AH13" i="7"/>
  <c r="AI13" i="7"/>
  <c r="AJ13" i="7"/>
  <c r="AK13" i="7"/>
  <c r="AH14" i="7"/>
  <c r="AI14" i="7"/>
  <c r="AJ14" i="7"/>
  <c r="AK14" i="7"/>
  <c r="AH15" i="7"/>
  <c r="AI15" i="7"/>
  <c r="AJ15" i="7"/>
  <c r="AK15" i="7"/>
  <c r="AH16" i="7"/>
  <c r="AI16" i="7"/>
  <c r="AJ16" i="7"/>
  <c r="AK16" i="7"/>
  <c r="AH17" i="7"/>
  <c r="AI17" i="7"/>
  <c r="AJ17" i="7"/>
  <c r="AK17" i="7"/>
  <c r="AH18" i="7"/>
  <c r="AI18" i="7"/>
  <c r="AJ18" i="7"/>
  <c r="AK18" i="7"/>
  <c r="AH19" i="7"/>
  <c r="AI19" i="7"/>
  <c r="AJ19" i="7"/>
  <c r="AK19" i="7"/>
  <c r="AH20" i="7"/>
  <c r="AI20" i="7"/>
  <c r="AJ20" i="7"/>
  <c r="AK20" i="7"/>
  <c r="AH21" i="7"/>
  <c r="AI21" i="7"/>
  <c r="AJ21" i="7"/>
  <c r="AK21" i="7"/>
  <c r="X2" i="7"/>
  <c r="Y2" i="7"/>
  <c r="Z2" i="7"/>
  <c r="AA2" i="7"/>
  <c r="X3" i="7"/>
  <c r="Y3" i="7"/>
  <c r="Z3" i="7"/>
  <c r="AA3" i="7"/>
  <c r="X4" i="7"/>
  <c r="Y4" i="7"/>
  <c r="Z4" i="7"/>
  <c r="AA4" i="7"/>
  <c r="X5" i="7"/>
  <c r="Y5" i="7"/>
  <c r="Z5" i="7"/>
  <c r="AA5" i="7"/>
  <c r="X6" i="7"/>
  <c r="Y6" i="7"/>
  <c r="Z6" i="7"/>
  <c r="AA6" i="7"/>
  <c r="X7" i="7"/>
  <c r="Y7" i="7"/>
  <c r="Z7" i="7"/>
  <c r="AA7" i="7"/>
  <c r="X8" i="7"/>
  <c r="Y8" i="7"/>
  <c r="Z8" i="7"/>
  <c r="AA8" i="7"/>
  <c r="X9" i="7"/>
  <c r="Y9" i="7"/>
  <c r="Z9" i="7"/>
  <c r="AA9" i="7"/>
  <c r="X10" i="7"/>
  <c r="Y10" i="7"/>
  <c r="Z10" i="7"/>
  <c r="AA10" i="7"/>
  <c r="X12" i="7"/>
  <c r="Y12" i="7"/>
  <c r="Z12" i="7"/>
  <c r="AA12" i="7"/>
  <c r="X13" i="7"/>
  <c r="Y13" i="7"/>
  <c r="Z13" i="7"/>
  <c r="AA13" i="7"/>
  <c r="X14" i="7"/>
  <c r="Y14" i="7"/>
  <c r="Z14" i="7"/>
  <c r="AA14" i="7"/>
  <c r="X15" i="7"/>
  <c r="Y15" i="7"/>
  <c r="Z15" i="7"/>
  <c r="AA15" i="7"/>
  <c r="X16" i="7"/>
  <c r="Y16" i="7"/>
  <c r="Z16" i="7"/>
  <c r="AA16" i="7"/>
  <c r="X17" i="7"/>
  <c r="Y17" i="7"/>
  <c r="Z17" i="7"/>
  <c r="AA17" i="7"/>
  <c r="X18" i="7"/>
  <c r="Y18" i="7"/>
  <c r="Z18" i="7"/>
  <c r="AA18" i="7"/>
  <c r="X19" i="7"/>
  <c r="Y19" i="7"/>
  <c r="Z19" i="7"/>
  <c r="AA19" i="7"/>
  <c r="X20" i="7"/>
  <c r="Y20" i="7"/>
  <c r="Z20" i="7"/>
  <c r="AA20" i="7"/>
  <c r="X21" i="7"/>
  <c r="Y21" i="7"/>
  <c r="Z21" i="7"/>
  <c r="AA21" i="7"/>
  <c r="N2" i="7"/>
  <c r="O2" i="7"/>
  <c r="P2" i="7"/>
  <c r="Q2" i="7"/>
  <c r="N3" i="7"/>
  <c r="O3" i="7"/>
  <c r="P3" i="7"/>
  <c r="Q3" i="7"/>
  <c r="N4" i="7"/>
  <c r="O4" i="7"/>
  <c r="P4" i="7"/>
  <c r="Q4" i="7"/>
  <c r="N5" i="7"/>
  <c r="O5" i="7"/>
  <c r="P5" i="7"/>
  <c r="Q5" i="7"/>
  <c r="N6" i="7"/>
  <c r="O6" i="7"/>
  <c r="P6" i="7"/>
  <c r="Q6" i="7"/>
  <c r="N7" i="7"/>
  <c r="O7" i="7"/>
  <c r="P7" i="7"/>
  <c r="Q7" i="7"/>
  <c r="N8" i="7"/>
  <c r="O8" i="7"/>
  <c r="P8" i="7"/>
  <c r="Q8" i="7"/>
  <c r="N9" i="7"/>
  <c r="O9" i="7"/>
  <c r="P9" i="7"/>
  <c r="Q9" i="7"/>
  <c r="N10" i="7"/>
  <c r="O10" i="7"/>
  <c r="P10" i="7"/>
  <c r="Q10" i="7"/>
  <c r="N12" i="7"/>
  <c r="O12" i="7"/>
  <c r="P12" i="7"/>
  <c r="Q12" i="7"/>
  <c r="N13" i="7"/>
  <c r="O13" i="7"/>
  <c r="P13" i="7"/>
  <c r="Q13" i="7"/>
  <c r="N14" i="7"/>
  <c r="O14" i="7"/>
  <c r="P14" i="7"/>
  <c r="Q14" i="7"/>
  <c r="N15" i="7"/>
  <c r="O15" i="7"/>
  <c r="P15" i="7"/>
  <c r="Q15" i="7"/>
  <c r="N16" i="7"/>
  <c r="O16" i="7"/>
  <c r="P16" i="7"/>
  <c r="Q16" i="7"/>
  <c r="N17" i="7"/>
  <c r="O17" i="7"/>
  <c r="P17" i="7"/>
  <c r="Q17" i="7"/>
  <c r="N18" i="7"/>
  <c r="O18" i="7"/>
  <c r="P18" i="7"/>
  <c r="Q18" i="7"/>
  <c r="N19" i="7"/>
  <c r="O19" i="7"/>
  <c r="P19" i="7"/>
  <c r="Q19" i="7"/>
  <c r="N20" i="7"/>
  <c r="O20" i="7"/>
  <c r="P20" i="7"/>
  <c r="Q20" i="7"/>
  <c r="N21" i="7"/>
  <c r="O21" i="7"/>
  <c r="P21" i="7"/>
  <c r="Q21" i="7"/>
  <c r="D2" i="7"/>
  <c r="F2" i="7"/>
  <c r="G2" i="7"/>
  <c r="D3" i="7"/>
  <c r="E3" i="7"/>
  <c r="F3" i="7"/>
  <c r="G3" i="7"/>
  <c r="D4" i="7"/>
  <c r="E4" i="7"/>
  <c r="F4" i="7"/>
  <c r="G4" i="7"/>
  <c r="D5" i="7"/>
  <c r="E5" i="7"/>
  <c r="F5" i="7"/>
  <c r="G5" i="7"/>
  <c r="D6" i="7"/>
  <c r="E6" i="7"/>
  <c r="F6" i="7"/>
  <c r="G6" i="7"/>
  <c r="D7" i="7"/>
  <c r="E7" i="7"/>
  <c r="F7" i="7"/>
  <c r="G7" i="7"/>
  <c r="D8" i="7"/>
  <c r="E8" i="7"/>
  <c r="F8" i="7"/>
  <c r="G8" i="7"/>
  <c r="D9" i="7"/>
  <c r="E9" i="7"/>
  <c r="F9" i="7"/>
  <c r="G9" i="7"/>
  <c r="D10" i="7"/>
  <c r="E10" i="7"/>
  <c r="F10" i="7"/>
  <c r="G10" i="7"/>
  <c r="D12" i="7"/>
  <c r="E12" i="7"/>
  <c r="F12" i="7"/>
  <c r="G12" i="7"/>
  <c r="D13" i="7"/>
  <c r="E13" i="7"/>
  <c r="F13" i="7"/>
  <c r="G13" i="7"/>
  <c r="D14" i="7"/>
  <c r="E14" i="7"/>
  <c r="F14" i="7"/>
  <c r="G14" i="7"/>
  <c r="D15" i="7"/>
  <c r="E15" i="7"/>
  <c r="F15" i="7"/>
  <c r="G15" i="7"/>
  <c r="D16" i="7"/>
  <c r="E16" i="7"/>
  <c r="F16" i="7"/>
  <c r="G16" i="7"/>
  <c r="D17" i="7"/>
  <c r="E17" i="7"/>
  <c r="F17" i="7"/>
  <c r="G17" i="7"/>
  <c r="D18" i="7"/>
  <c r="E18" i="7"/>
  <c r="F18" i="7"/>
  <c r="G18" i="7"/>
  <c r="D19" i="7"/>
  <c r="E19" i="7"/>
  <c r="F19" i="7"/>
  <c r="G19" i="7"/>
  <c r="D20" i="7"/>
  <c r="E20" i="7"/>
  <c r="F20" i="7"/>
  <c r="G20" i="7"/>
  <c r="D21" i="7"/>
  <c r="E21" i="7"/>
  <c r="F21" i="7"/>
  <c r="G21" i="7"/>
  <c r="AQ21" i="7"/>
  <c r="AP21" i="7"/>
  <c r="AO21" i="7"/>
  <c r="AN21" i="7"/>
  <c r="AM21" i="7"/>
  <c r="AL21" i="7"/>
  <c r="AG21" i="7"/>
  <c r="AF21" i="7"/>
  <c r="AE21" i="7"/>
  <c r="AD21" i="7"/>
  <c r="AC21" i="7"/>
  <c r="AB21" i="7"/>
  <c r="W21" i="7"/>
  <c r="V21" i="7"/>
  <c r="U21" i="7"/>
  <c r="T21" i="7"/>
  <c r="S21" i="7"/>
  <c r="R21" i="7"/>
  <c r="M21" i="7"/>
  <c r="L21" i="7"/>
  <c r="K21" i="7"/>
  <c r="J21" i="7"/>
  <c r="I21" i="7"/>
  <c r="H21" i="7"/>
  <c r="AQ20" i="7"/>
  <c r="AP20" i="7"/>
  <c r="AO20" i="7"/>
  <c r="AN20" i="7"/>
  <c r="AM20" i="7"/>
  <c r="AL20" i="7"/>
  <c r="AG20" i="7"/>
  <c r="AF20" i="7"/>
  <c r="AE20" i="7"/>
  <c r="AD20" i="7"/>
  <c r="AC20" i="7"/>
  <c r="AB20" i="7"/>
  <c r="W20" i="7"/>
  <c r="V20" i="7"/>
  <c r="U20" i="7"/>
  <c r="T20" i="7"/>
  <c r="S20" i="7"/>
  <c r="R20" i="7"/>
  <c r="M20" i="7"/>
  <c r="L20" i="7"/>
  <c r="K20" i="7"/>
  <c r="J20" i="7"/>
  <c r="I20" i="7"/>
  <c r="H20" i="7"/>
  <c r="AQ19" i="7"/>
  <c r="AP19" i="7"/>
  <c r="AO19" i="7"/>
  <c r="AN19" i="7"/>
  <c r="AM19" i="7"/>
  <c r="AL19" i="7"/>
  <c r="AG19" i="7"/>
  <c r="AF19" i="7"/>
  <c r="AE19" i="7"/>
  <c r="AD19" i="7"/>
  <c r="AC19" i="7"/>
  <c r="AB19" i="7"/>
  <c r="W19" i="7"/>
  <c r="V19" i="7"/>
  <c r="U19" i="7"/>
  <c r="T19" i="7"/>
  <c r="S19" i="7"/>
  <c r="R19" i="7"/>
  <c r="M19" i="7"/>
  <c r="L19" i="7"/>
  <c r="K19" i="7"/>
  <c r="J19" i="7"/>
  <c r="I19" i="7"/>
  <c r="H19" i="7"/>
  <c r="AQ18" i="7"/>
  <c r="AP18" i="7"/>
  <c r="AO18" i="7"/>
  <c r="AN18" i="7"/>
  <c r="AM18" i="7"/>
  <c r="AL18" i="7"/>
  <c r="AG18" i="7"/>
  <c r="AF18" i="7"/>
  <c r="AE18" i="7"/>
  <c r="AD18" i="7"/>
  <c r="AC18" i="7"/>
  <c r="AB18" i="7"/>
  <c r="W18" i="7"/>
  <c r="V18" i="7"/>
  <c r="U18" i="7"/>
  <c r="T18" i="7"/>
  <c r="S18" i="7"/>
  <c r="R18" i="7"/>
  <c r="M18" i="7"/>
  <c r="L18" i="7"/>
  <c r="K18" i="7"/>
  <c r="J18" i="7"/>
  <c r="I18" i="7"/>
  <c r="H18" i="7"/>
  <c r="AQ17" i="7"/>
  <c r="AP17" i="7"/>
  <c r="AO17" i="7"/>
  <c r="AN17" i="7"/>
  <c r="AM17" i="7"/>
  <c r="AL17" i="7"/>
  <c r="AG17" i="7"/>
  <c r="AF17" i="7"/>
  <c r="AE17" i="7"/>
  <c r="AD17" i="7"/>
  <c r="AC17" i="7"/>
  <c r="AB17" i="7"/>
  <c r="W17" i="7"/>
  <c r="V17" i="7"/>
  <c r="U17" i="7"/>
  <c r="T17" i="7"/>
  <c r="S17" i="7"/>
  <c r="R17" i="7"/>
  <c r="M17" i="7"/>
  <c r="L17" i="7"/>
  <c r="K17" i="7"/>
  <c r="J17" i="7"/>
  <c r="I17" i="7"/>
  <c r="H17" i="7"/>
  <c r="AQ16" i="7"/>
  <c r="AP16" i="7"/>
  <c r="AO16" i="7"/>
  <c r="AN16" i="7"/>
  <c r="AM16" i="7"/>
  <c r="AL16" i="7"/>
  <c r="AG16" i="7"/>
  <c r="AF16" i="7"/>
  <c r="AE16" i="7"/>
  <c r="AD16" i="7"/>
  <c r="AC16" i="7"/>
  <c r="AB16" i="7"/>
  <c r="W16" i="7"/>
  <c r="V16" i="7"/>
  <c r="U16" i="7"/>
  <c r="T16" i="7"/>
  <c r="S16" i="7"/>
  <c r="R16" i="7"/>
  <c r="M16" i="7"/>
  <c r="L16" i="7"/>
  <c r="K16" i="7"/>
  <c r="J16" i="7"/>
  <c r="I16" i="7"/>
  <c r="H16" i="7"/>
  <c r="AQ15" i="7"/>
  <c r="AP15" i="7"/>
  <c r="AO15" i="7"/>
  <c r="AN15" i="7"/>
  <c r="AM15" i="7"/>
  <c r="AL15" i="7"/>
  <c r="AG15" i="7"/>
  <c r="AF15" i="7"/>
  <c r="AE15" i="7"/>
  <c r="AD15" i="7"/>
  <c r="AC15" i="7"/>
  <c r="AB15" i="7"/>
  <c r="W15" i="7"/>
  <c r="V15" i="7"/>
  <c r="U15" i="7"/>
  <c r="T15" i="7"/>
  <c r="S15" i="7"/>
  <c r="R15" i="7"/>
  <c r="M15" i="7"/>
  <c r="L15" i="7"/>
  <c r="K15" i="7"/>
  <c r="J15" i="7"/>
  <c r="I15" i="7"/>
  <c r="H15" i="7"/>
  <c r="AQ14" i="7"/>
  <c r="AP14" i="7"/>
  <c r="AO14" i="7"/>
  <c r="AN14" i="7"/>
  <c r="AM14" i="7"/>
  <c r="AL14" i="7"/>
  <c r="AG14" i="7"/>
  <c r="AF14" i="7"/>
  <c r="AE14" i="7"/>
  <c r="AD14" i="7"/>
  <c r="AC14" i="7"/>
  <c r="AB14" i="7"/>
  <c r="W14" i="7"/>
  <c r="V14" i="7"/>
  <c r="U14" i="7"/>
  <c r="T14" i="7"/>
  <c r="S14" i="7"/>
  <c r="R14" i="7"/>
  <c r="M14" i="7"/>
  <c r="L14" i="7"/>
  <c r="K14" i="7"/>
  <c r="J14" i="7"/>
  <c r="I14" i="7"/>
  <c r="H14" i="7"/>
  <c r="AQ13" i="7"/>
  <c r="AP13" i="7"/>
  <c r="AO13" i="7"/>
  <c r="AN13" i="7"/>
  <c r="AM13" i="7"/>
  <c r="AL13" i="7"/>
  <c r="AG13" i="7"/>
  <c r="AF13" i="7"/>
  <c r="AE13" i="7"/>
  <c r="AD13" i="7"/>
  <c r="AC13" i="7"/>
  <c r="AB13" i="7"/>
  <c r="W13" i="7"/>
  <c r="V13" i="7"/>
  <c r="U13" i="7"/>
  <c r="T13" i="7"/>
  <c r="S13" i="7"/>
  <c r="R13" i="7"/>
  <c r="M13" i="7"/>
  <c r="L13" i="7"/>
  <c r="K13" i="7"/>
  <c r="J13" i="7"/>
  <c r="I13" i="7"/>
  <c r="H13" i="7"/>
  <c r="AQ12" i="7"/>
  <c r="AP12" i="7"/>
  <c r="AO12" i="7"/>
  <c r="AN12" i="7"/>
  <c r="AM12" i="7"/>
  <c r="AL12" i="7"/>
  <c r="AG12" i="7"/>
  <c r="AF12" i="7"/>
  <c r="AE12" i="7"/>
  <c r="AD12" i="7"/>
  <c r="AC12" i="7"/>
  <c r="AB12" i="7"/>
  <c r="W12" i="7"/>
  <c r="V12" i="7"/>
  <c r="U12" i="7"/>
  <c r="T12" i="7"/>
  <c r="S12" i="7"/>
  <c r="R12" i="7"/>
  <c r="M12" i="7"/>
  <c r="L12" i="7"/>
  <c r="K12" i="7"/>
  <c r="J12" i="7"/>
  <c r="I12" i="7"/>
  <c r="H12" i="7"/>
  <c r="AQ10" i="7"/>
  <c r="AP10" i="7"/>
  <c r="AO10" i="7"/>
  <c r="AN10" i="7"/>
  <c r="AM10" i="7"/>
  <c r="AL10" i="7"/>
  <c r="AG10" i="7"/>
  <c r="AF10" i="7"/>
  <c r="AE10" i="7"/>
  <c r="AD10" i="7"/>
  <c r="AC10" i="7"/>
  <c r="AB10" i="7"/>
  <c r="W10" i="7"/>
  <c r="V10" i="7"/>
  <c r="U10" i="7"/>
  <c r="T10" i="7"/>
  <c r="S10" i="7"/>
  <c r="R10" i="7"/>
  <c r="M10" i="7"/>
  <c r="L10" i="7"/>
  <c r="K10" i="7"/>
  <c r="J10" i="7"/>
  <c r="I10" i="7"/>
  <c r="H10" i="7"/>
  <c r="AQ9" i="7"/>
  <c r="AP9" i="7"/>
  <c r="AO9" i="7"/>
  <c r="AN9" i="7"/>
  <c r="AM9" i="7"/>
  <c r="AL9" i="7"/>
  <c r="AG9" i="7"/>
  <c r="AF9" i="7"/>
  <c r="AE9" i="7"/>
  <c r="AD9" i="7"/>
  <c r="AC9" i="7"/>
  <c r="AB9" i="7"/>
  <c r="W9" i="7"/>
  <c r="V9" i="7"/>
  <c r="U9" i="7"/>
  <c r="T9" i="7"/>
  <c r="S9" i="7"/>
  <c r="R9" i="7"/>
  <c r="M9" i="7"/>
  <c r="L9" i="7"/>
  <c r="K9" i="7"/>
  <c r="J9" i="7"/>
  <c r="I9" i="7"/>
  <c r="H9" i="7"/>
  <c r="AQ8" i="7"/>
  <c r="AP8" i="7"/>
  <c r="AO8" i="7"/>
  <c r="AN8" i="7"/>
  <c r="AM8" i="7"/>
  <c r="AL8" i="7"/>
  <c r="AG8" i="7"/>
  <c r="AF8" i="7"/>
  <c r="AE8" i="7"/>
  <c r="AD8" i="7"/>
  <c r="AC8" i="7"/>
  <c r="AB8" i="7"/>
  <c r="W8" i="7"/>
  <c r="V8" i="7"/>
  <c r="U8" i="7"/>
  <c r="T8" i="7"/>
  <c r="S8" i="7"/>
  <c r="R8" i="7"/>
  <c r="M8" i="7"/>
  <c r="L8" i="7"/>
  <c r="K8" i="7"/>
  <c r="J8" i="7"/>
  <c r="I8" i="7"/>
  <c r="H8" i="7"/>
  <c r="AQ7" i="7"/>
  <c r="AP7" i="7"/>
  <c r="AO7" i="7"/>
  <c r="AN7" i="7"/>
  <c r="AM7" i="7"/>
  <c r="AL7" i="7"/>
  <c r="AG7" i="7"/>
  <c r="AF7" i="7"/>
  <c r="AE7" i="7"/>
  <c r="AD7" i="7"/>
  <c r="AC7" i="7"/>
  <c r="AB7" i="7"/>
  <c r="W7" i="7"/>
  <c r="V7" i="7"/>
  <c r="U7" i="7"/>
  <c r="T7" i="7"/>
  <c r="S7" i="7"/>
  <c r="R7" i="7"/>
  <c r="M7" i="7"/>
  <c r="L7" i="7"/>
  <c r="K7" i="7"/>
  <c r="J7" i="7"/>
  <c r="I7" i="7"/>
  <c r="H7" i="7"/>
  <c r="AQ6" i="7"/>
  <c r="AP6" i="7"/>
  <c r="AO6" i="7"/>
  <c r="AN6" i="7"/>
  <c r="AM6" i="7"/>
  <c r="AL6" i="7"/>
  <c r="AG6" i="7"/>
  <c r="AF6" i="7"/>
  <c r="AE6" i="7"/>
  <c r="AD6" i="7"/>
  <c r="AC6" i="7"/>
  <c r="AB6" i="7"/>
  <c r="W6" i="7"/>
  <c r="V6" i="7"/>
  <c r="U6" i="7"/>
  <c r="T6" i="7"/>
  <c r="S6" i="7"/>
  <c r="R6" i="7"/>
  <c r="M6" i="7"/>
  <c r="L6" i="7"/>
  <c r="K6" i="7"/>
  <c r="J6" i="7"/>
  <c r="I6" i="7"/>
  <c r="H6" i="7"/>
  <c r="AQ5" i="7"/>
  <c r="AP5" i="7"/>
  <c r="AO5" i="7"/>
  <c r="AN5" i="7"/>
  <c r="AM5" i="7"/>
  <c r="AL5" i="7"/>
  <c r="AG5" i="7"/>
  <c r="AF5" i="7"/>
  <c r="AE5" i="7"/>
  <c r="AD5" i="7"/>
  <c r="AC5" i="7"/>
  <c r="AB5" i="7"/>
  <c r="W5" i="7"/>
  <c r="V5" i="7"/>
  <c r="U5" i="7"/>
  <c r="T5" i="7"/>
  <c r="S5" i="7"/>
  <c r="R5" i="7"/>
  <c r="M5" i="7"/>
  <c r="L5" i="7"/>
  <c r="K5" i="7"/>
  <c r="J5" i="7"/>
  <c r="I5" i="7"/>
  <c r="H5" i="7"/>
  <c r="AQ4" i="7"/>
  <c r="AP4" i="7"/>
  <c r="AO4" i="7"/>
  <c r="AN4" i="7"/>
  <c r="AM4" i="7"/>
  <c r="AL4" i="7"/>
  <c r="AG4" i="7"/>
  <c r="AF4" i="7"/>
  <c r="AE4" i="7"/>
  <c r="AD4" i="7"/>
  <c r="AC4" i="7"/>
  <c r="AB4" i="7"/>
  <c r="W4" i="7"/>
  <c r="V4" i="7"/>
  <c r="U4" i="7"/>
  <c r="T4" i="7"/>
  <c r="S4" i="7"/>
  <c r="R4" i="7"/>
  <c r="M4" i="7"/>
  <c r="L4" i="7"/>
  <c r="K4" i="7"/>
  <c r="J4" i="7"/>
  <c r="I4" i="7"/>
  <c r="H4" i="7"/>
  <c r="AQ3" i="7"/>
  <c r="AP3" i="7"/>
  <c r="AO3" i="7"/>
  <c r="AN3" i="7"/>
  <c r="AM3" i="7"/>
  <c r="AL3" i="7"/>
  <c r="AG3" i="7"/>
  <c r="AF3" i="7"/>
  <c r="AE3" i="7"/>
  <c r="AD3" i="7"/>
  <c r="AC3" i="7"/>
  <c r="AB3" i="7"/>
  <c r="W3" i="7"/>
  <c r="V3" i="7"/>
  <c r="U3" i="7"/>
  <c r="T3" i="7"/>
  <c r="S3" i="7"/>
  <c r="R3" i="7"/>
  <c r="M3" i="7"/>
  <c r="L3" i="7"/>
  <c r="K3" i="7"/>
  <c r="J3" i="7"/>
  <c r="I3" i="7"/>
  <c r="H3" i="7"/>
  <c r="AQ2" i="7"/>
  <c r="AP2" i="7"/>
  <c r="AO2" i="7"/>
  <c r="AN2" i="7"/>
  <c r="AM2" i="7"/>
  <c r="AL2" i="7"/>
  <c r="AG2" i="7"/>
  <c r="AF2" i="7"/>
  <c r="AE2" i="7"/>
  <c r="AD2" i="7"/>
  <c r="AC2" i="7"/>
  <c r="AB2" i="7"/>
  <c r="W2" i="7"/>
  <c r="V2" i="7"/>
  <c r="U2" i="7"/>
  <c r="T2" i="7"/>
  <c r="S2" i="7"/>
  <c r="R2" i="7"/>
  <c r="M2" i="7"/>
  <c r="L2" i="7"/>
  <c r="K2" i="7"/>
  <c r="J2" i="7"/>
  <c r="I2" i="7"/>
  <c r="H2" i="7"/>
  <c r="B115" i="13"/>
  <c r="B109" i="13"/>
  <c r="B103" i="13"/>
  <c r="B97" i="13"/>
  <c r="B91" i="13"/>
  <c r="B85" i="13"/>
  <c r="B79" i="13"/>
  <c r="B73" i="13"/>
  <c r="B67" i="13"/>
  <c r="B61" i="13"/>
  <c r="B55" i="13"/>
  <c r="B49" i="13"/>
  <c r="B43" i="13"/>
  <c r="B37" i="13"/>
  <c r="B31" i="13"/>
  <c r="B25" i="13"/>
  <c r="B19" i="13"/>
  <c r="B13" i="13"/>
  <c r="B7" i="13"/>
  <c r="B1" i="13"/>
  <c r="A21" i="7"/>
  <c r="C21" i="7" s="1"/>
  <c r="B21" i="7" s="1"/>
  <c r="A20" i="7"/>
  <c r="C20" i="7" s="1"/>
  <c r="B20" i="7" s="1"/>
  <c r="A19" i="7"/>
  <c r="C19" i="7" s="1"/>
  <c r="B19" i="7" s="1"/>
  <c r="A18" i="7"/>
  <c r="C18" i="7" s="1"/>
  <c r="B18" i="7" s="1"/>
  <c r="A17" i="7"/>
  <c r="C17" i="7" s="1"/>
  <c r="B17" i="7" s="1"/>
  <c r="A16" i="7"/>
  <c r="C16" i="7" s="1"/>
  <c r="B16" i="7" s="1"/>
  <c r="A15" i="7"/>
  <c r="C15" i="7" s="1"/>
  <c r="B15" i="7" s="1"/>
  <c r="A14" i="7"/>
  <c r="C14" i="7" s="1"/>
  <c r="B14" i="7" s="1"/>
  <c r="A13" i="7"/>
  <c r="C13" i="7" s="1"/>
  <c r="B13" i="7" s="1"/>
  <c r="A10" i="7"/>
  <c r="A9" i="7"/>
  <c r="A8" i="7"/>
  <c r="C8" i="7" s="1"/>
  <c r="B8" i="7" s="1"/>
  <c r="A7" i="7"/>
  <c r="A6" i="7"/>
  <c r="A5" i="7"/>
  <c r="A4" i="7"/>
  <c r="A3" i="7"/>
  <c r="A2" i="7"/>
  <c r="C2" i="7" s="1"/>
  <c r="B2" i="7" s="1"/>
  <c r="AT12" i="16" l="1"/>
  <c r="AU12" i="16"/>
  <c r="AU11" i="16"/>
  <c r="AT11" i="16"/>
  <c r="AS12" i="16"/>
  <c r="AR12" i="16"/>
  <c r="AR11" i="16"/>
  <c r="AS11" i="16"/>
  <c r="AS9" i="16"/>
  <c r="AR9" i="16"/>
  <c r="AT9" i="16"/>
  <c r="AU9" i="16"/>
  <c r="AT8" i="16"/>
  <c r="AU8" i="16"/>
  <c r="AS8" i="16"/>
  <c r="AR8" i="16"/>
  <c r="AU4" i="16"/>
  <c r="AT4" i="16"/>
  <c r="AR4" i="16"/>
  <c r="AS4" i="16"/>
  <c r="AS10" i="16"/>
  <c r="AR10" i="16"/>
  <c r="AU10" i="16"/>
  <c r="AT10" i="16"/>
  <c r="AS7" i="16"/>
  <c r="AR7" i="16"/>
  <c r="AT7" i="16"/>
  <c r="AU7" i="16"/>
  <c r="AU6" i="16"/>
  <c r="AT6" i="16"/>
  <c r="AS6" i="16"/>
  <c r="AR6" i="16"/>
  <c r="AS5" i="16"/>
  <c r="AR5" i="16"/>
  <c r="AU5" i="16"/>
  <c r="AT5" i="16"/>
  <c r="AS3" i="16"/>
  <c r="AR3" i="16"/>
  <c r="AT3" i="16"/>
  <c r="AU3" i="16"/>
  <c r="AS2" i="16"/>
  <c r="AR2" i="16"/>
  <c r="AU2" i="16"/>
  <c r="AT2" i="16"/>
  <c r="AA14" i="16"/>
  <c r="Z14" i="16"/>
  <c r="AW14" i="16" s="1"/>
  <c r="AA17" i="16"/>
  <c r="Z17" i="16"/>
  <c r="AA8" i="16"/>
  <c r="Z8" i="16"/>
  <c r="AE19" i="16"/>
  <c r="AD19" i="16"/>
  <c r="BA19" i="16" s="1"/>
  <c r="AE13" i="16"/>
  <c r="AD13" i="16"/>
  <c r="BA13" i="16" s="1"/>
  <c r="AE10" i="16"/>
  <c r="AD10" i="16"/>
  <c r="AB16" i="16"/>
  <c r="AY16" i="16" s="1"/>
  <c r="AC16" i="16"/>
  <c r="AC13" i="16"/>
  <c r="AB13" i="16"/>
  <c r="AY13" i="16" s="1"/>
  <c r="AC10" i="16"/>
  <c r="AB10" i="16"/>
  <c r="AA19" i="16"/>
  <c r="Z19" i="16"/>
  <c r="AA16" i="16"/>
  <c r="Z16" i="16"/>
  <c r="AA13" i="16"/>
  <c r="Z13" i="16"/>
  <c r="Z10" i="16"/>
  <c r="AA10" i="16"/>
  <c r="Z7" i="16"/>
  <c r="AA7" i="16"/>
  <c r="AA4" i="16"/>
  <c r="Z4" i="16"/>
  <c r="AC7" i="16"/>
  <c r="AB7" i="16"/>
  <c r="AF4" i="16"/>
  <c r="AG4" i="16"/>
  <c r="AG5" i="16"/>
  <c r="AF5" i="16"/>
  <c r="AG6" i="16"/>
  <c r="AF6" i="16"/>
  <c r="AG7" i="16"/>
  <c r="AF7" i="16"/>
  <c r="AG8" i="16"/>
  <c r="AF8" i="16"/>
  <c r="AG9" i="16"/>
  <c r="AF9" i="16"/>
  <c r="AG10" i="16"/>
  <c r="AF10" i="16"/>
  <c r="AG11" i="16"/>
  <c r="AF11" i="16"/>
  <c r="AF12" i="16"/>
  <c r="AG12" i="16"/>
  <c r="AG13" i="16"/>
  <c r="AF13" i="16"/>
  <c r="BC13" i="16" s="1"/>
  <c r="AG14" i="16"/>
  <c r="AF14" i="16"/>
  <c r="BC14" i="16" s="1"/>
  <c r="AF15" i="16"/>
  <c r="BC15" i="16" s="1"/>
  <c r="AG15" i="16"/>
  <c r="AG16" i="16"/>
  <c r="AF16" i="16"/>
  <c r="BC16" i="16" s="1"/>
  <c r="AF17" i="16"/>
  <c r="BC17" i="16" s="1"/>
  <c r="AG17" i="16"/>
  <c r="AF18" i="16"/>
  <c r="BC18" i="16" s="1"/>
  <c r="AG18" i="16"/>
  <c r="AF19" i="16"/>
  <c r="BC19" i="16" s="1"/>
  <c r="AG19" i="16"/>
  <c r="AG20" i="16"/>
  <c r="AF20" i="16"/>
  <c r="BC20" i="16" s="1"/>
  <c r="AG21" i="16"/>
  <c r="AF21" i="16"/>
  <c r="BC21" i="16" s="1"/>
  <c r="AE21" i="16"/>
  <c r="AD21" i="16"/>
  <c r="BA21" i="16" s="1"/>
  <c r="AE18" i="16"/>
  <c r="AD18" i="16"/>
  <c r="BA18" i="16" s="1"/>
  <c r="AE15" i="16"/>
  <c r="AD15" i="16"/>
  <c r="BA15" i="16" s="1"/>
  <c r="AE12" i="16"/>
  <c r="AD12" i="16"/>
  <c r="AE9" i="16"/>
  <c r="AD9" i="16"/>
  <c r="AE6" i="16"/>
  <c r="AD6" i="16"/>
  <c r="AA20" i="16"/>
  <c r="Z20" i="16"/>
  <c r="AC4" i="16"/>
  <c r="AB4" i="16"/>
  <c r="AH4" i="16"/>
  <c r="AI4" i="16"/>
  <c r="AI5" i="16"/>
  <c r="AH5" i="16"/>
  <c r="AH6" i="16"/>
  <c r="AI6" i="16"/>
  <c r="AI7" i="16"/>
  <c r="AH7" i="16"/>
  <c r="AI8" i="16"/>
  <c r="AH8" i="16"/>
  <c r="AI9" i="16"/>
  <c r="AH9" i="16"/>
  <c r="AI10" i="16"/>
  <c r="AH10" i="16"/>
  <c r="AI11" i="16"/>
  <c r="AH11" i="16"/>
  <c r="AI12" i="16"/>
  <c r="AH12" i="16"/>
  <c r="AH13" i="16"/>
  <c r="BE13" i="16" s="1"/>
  <c r="AI13" i="16"/>
  <c r="AI14" i="16"/>
  <c r="AH14" i="16"/>
  <c r="AH15" i="16"/>
  <c r="AI15" i="16"/>
  <c r="AH16" i="16"/>
  <c r="BE16" i="16" s="1"/>
  <c r="AI16" i="16"/>
  <c r="AH17" i="16"/>
  <c r="BE17" i="16" s="1"/>
  <c r="AI17" i="16"/>
  <c r="AI18" i="16"/>
  <c r="AH18" i="16"/>
  <c r="BE18" i="16" s="1"/>
  <c r="AI19" i="16"/>
  <c r="AH19" i="16"/>
  <c r="BE19" i="16" s="1"/>
  <c r="AI20" i="16"/>
  <c r="AH20" i="16"/>
  <c r="BE20" i="16" s="1"/>
  <c r="AI21" i="16"/>
  <c r="AH21" i="16"/>
  <c r="BE21" i="16" s="1"/>
  <c r="AC21" i="16"/>
  <c r="AB21" i="16"/>
  <c r="AY21" i="16" s="1"/>
  <c r="AC18" i="16"/>
  <c r="AB18" i="16"/>
  <c r="AY18" i="16" s="1"/>
  <c r="AC15" i="16"/>
  <c r="AB15" i="16"/>
  <c r="AY15" i="16" s="1"/>
  <c r="AB12" i="16"/>
  <c r="AC12" i="16"/>
  <c r="AB9" i="16"/>
  <c r="AC9" i="16"/>
  <c r="AC6" i="16"/>
  <c r="AB6" i="16"/>
  <c r="AE16" i="16"/>
  <c r="AD16" i="16"/>
  <c r="BA16" i="16" s="1"/>
  <c r="AJ4" i="16"/>
  <c r="AK4" i="16"/>
  <c r="AJ5" i="16"/>
  <c r="AK5" i="16"/>
  <c r="AK6" i="16"/>
  <c r="AJ6" i="16"/>
  <c r="AK7" i="16"/>
  <c r="AJ7" i="16"/>
  <c r="AJ8" i="16"/>
  <c r="AK8" i="16"/>
  <c r="AK9" i="16"/>
  <c r="AJ9" i="16"/>
  <c r="AK10" i="16"/>
  <c r="AJ10" i="16"/>
  <c r="AJ11" i="16"/>
  <c r="AK11" i="16"/>
  <c r="AK12" i="16"/>
  <c r="AJ12" i="16"/>
  <c r="AK13" i="16"/>
  <c r="AJ13" i="16"/>
  <c r="BG13" i="16" s="1"/>
  <c r="AJ14" i="16"/>
  <c r="BG14" i="16" s="1"/>
  <c r="AK14" i="16"/>
  <c r="AJ15" i="16"/>
  <c r="BG15" i="16" s="1"/>
  <c r="AK15" i="16"/>
  <c r="AK16" i="16"/>
  <c r="AJ16" i="16"/>
  <c r="BG16" i="16" s="1"/>
  <c r="AK17" i="16"/>
  <c r="AJ17" i="16"/>
  <c r="BG17" i="16" s="1"/>
  <c r="AK18" i="16"/>
  <c r="AJ18" i="16"/>
  <c r="BG18" i="16" s="1"/>
  <c r="AK19" i="16"/>
  <c r="AJ19" i="16"/>
  <c r="BG19" i="16" s="1"/>
  <c r="AK20" i="16"/>
  <c r="AJ20" i="16"/>
  <c r="BG20" i="16" s="1"/>
  <c r="AK21" i="16"/>
  <c r="AJ21" i="16"/>
  <c r="BG21" i="16" s="1"/>
  <c r="AA11" i="16"/>
  <c r="Z11" i="16"/>
  <c r="AB19" i="16"/>
  <c r="AY19" i="16" s="1"/>
  <c r="AC19" i="16"/>
  <c r="AM4" i="16"/>
  <c r="AL4" i="16"/>
  <c r="AM5" i="16"/>
  <c r="AL5" i="16"/>
  <c r="AL6" i="16"/>
  <c r="AM6" i="16"/>
  <c r="AL7" i="16"/>
  <c r="AM7" i="16"/>
  <c r="AL8" i="16"/>
  <c r="AM8" i="16"/>
  <c r="AM9" i="16"/>
  <c r="AL9" i="16"/>
  <c r="AL10" i="16"/>
  <c r="AM10" i="16"/>
  <c r="AM11" i="16"/>
  <c r="AL11" i="16"/>
  <c r="AM12" i="16"/>
  <c r="AL12" i="16"/>
  <c r="AL13" i="16"/>
  <c r="BI13" i="16" s="1"/>
  <c r="AM13" i="16"/>
  <c r="AM14" i="16"/>
  <c r="AL14" i="16"/>
  <c r="BI14" i="16" s="1"/>
  <c r="AM15" i="16"/>
  <c r="AL15" i="16"/>
  <c r="BI15" i="16" s="1"/>
  <c r="AM16" i="16"/>
  <c r="AL16" i="16"/>
  <c r="BI16" i="16" s="1"/>
  <c r="AM17" i="16"/>
  <c r="AL17" i="16"/>
  <c r="BI17" i="16" s="1"/>
  <c r="AL18" i="16"/>
  <c r="BI18" i="16" s="1"/>
  <c r="AM18" i="16"/>
  <c r="AM19" i="16"/>
  <c r="AL19" i="16"/>
  <c r="BI19" i="16" s="1"/>
  <c r="AM20" i="16"/>
  <c r="AL20" i="16"/>
  <c r="BI20" i="16" s="1"/>
  <c r="AL21" i="16"/>
  <c r="BI21" i="16" s="1"/>
  <c r="AM21" i="16"/>
  <c r="Z21" i="16"/>
  <c r="AA21" i="16"/>
  <c r="Z18" i="16"/>
  <c r="AA18" i="16"/>
  <c r="AA15" i="16"/>
  <c r="Z15" i="16"/>
  <c r="AW15" i="16" s="1"/>
  <c r="AA12" i="16"/>
  <c r="Z12" i="16"/>
  <c r="AA9" i="16"/>
  <c r="Z9" i="16"/>
  <c r="Z6" i="16"/>
  <c r="AA6" i="16"/>
  <c r="AA5" i="16"/>
  <c r="Z5" i="16"/>
  <c r="AE4" i="16"/>
  <c r="AD4" i="16"/>
  <c r="AN19" i="16"/>
  <c r="BK19" i="16" s="1"/>
  <c r="AO19" i="16"/>
  <c r="AO20" i="16"/>
  <c r="AN20" i="16"/>
  <c r="BK20" i="16" s="1"/>
  <c r="AO21" i="16"/>
  <c r="AN21" i="16"/>
  <c r="BK21" i="16" s="1"/>
  <c r="AD20" i="16"/>
  <c r="BA20" i="16" s="1"/>
  <c r="AE20" i="16"/>
  <c r="AD17" i="16"/>
  <c r="BA17" i="16" s="1"/>
  <c r="AE17" i="16"/>
  <c r="AD14" i="16"/>
  <c r="BA14" i="16" s="1"/>
  <c r="AE14" i="16"/>
  <c r="AD11" i="16"/>
  <c r="AE11" i="16"/>
  <c r="AE8" i="16"/>
  <c r="AD8" i="16"/>
  <c r="AE5" i="16"/>
  <c r="AD5" i="16"/>
  <c r="AE7" i="16"/>
  <c r="AD7" i="16"/>
  <c r="AO4" i="16"/>
  <c r="AN4" i="16"/>
  <c r="AO5" i="16"/>
  <c r="AN5" i="16"/>
  <c r="AO6" i="16"/>
  <c r="AN6" i="16"/>
  <c r="AO7" i="16"/>
  <c r="AN7" i="16"/>
  <c r="AN8" i="16"/>
  <c r="AO8" i="16"/>
  <c r="AN9" i="16"/>
  <c r="AO9" i="16"/>
  <c r="AN10" i="16"/>
  <c r="AO10" i="16"/>
  <c r="AO11" i="16"/>
  <c r="AN11" i="16"/>
  <c r="AN12" i="16"/>
  <c r="AO12" i="16"/>
  <c r="AO13" i="16"/>
  <c r="AN13" i="16"/>
  <c r="BK13" i="16" s="1"/>
  <c r="AO14" i="16"/>
  <c r="AN14" i="16"/>
  <c r="BK14" i="16" s="1"/>
  <c r="AO15" i="16"/>
  <c r="AN15" i="16"/>
  <c r="BK15" i="16" s="1"/>
  <c r="AN16" i="16"/>
  <c r="BK16" i="16" s="1"/>
  <c r="AO16" i="16"/>
  <c r="AO17" i="16"/>
  <c r="AN17" i="16"/>
  <c r="BK17" i="16" s="1"/>
  <c r="AO18" i="16"/>
  <c r="AN18" i="16"/>
  <c r="BK18" i="16" s="1"/>
  <c r="AQ4" i="16"/>
  <c r="AP4" i="16"/>
  <c r="AP5" i="16"/>
  <c r="AQ5" i="16"/>
  <c r="AQ6" i="16"/>
  <c r="AP6" i="16"/>
  <c r="AQ7" i="16"/>
  <c r="AP7" i="16"/>
  <c r="AQ8" i="16"/>
  <c r="AP8" i="16"/>
  <c r="AQ9" i="16"/>
  <c r="AP9" i="16"/>
  <c r="AP10" i="16"/>
  <c r="AQ10" i="16"/>
  <c r="AP11" i="16"/>
  <c r="AQ11" i="16"/>
  <c r="AQ12" i="16"/>
  <c r="AP12" i="16"/>
  <c r="AQ13" i="16"/>
  <c r="AP13" i="16"/>
  <c r="BM13" i="16" s="1"/>
  <c r="AQ14" i="16"/>
  <c r="AP14" i="16"/>
  <c r="BM14" i="16" s="1"/>
  <c r="AQ15" i="16"/>
  <c r="AP15" i="16"/>
  <c r="BM15" i="16" s="1"/>
  <c r="AQ16" i="16"/>
  <c r="AP16" i="16"/>
  <c r="BM16" i="16" s="1"/>
  <c r="AP17" i="16"/>
  <c r="BM17" i="16" s="1"/>
  <c r="AQ17" i="16"/>
  <c r="AQ18" i="16"/>
  <c r="AP18" i="16"/>
  <c r="BM18" i="16" s="1"/>
  <c r="AQ19" i="16"/>
  <c r="AP19" i="16"/>
  <c r="BM19" i="16" s="1"/>
  <c r="AP20" i="16"/>
  <c r="BM20" i="16" s="1"/>
  <c r="AQ20" i="16"/>
  <c r="AP21" i="16"/>
  <c r="BM21" i="16" s="1"/>
  <c r="AQ21" i="16"/>
  <c r="AC20" i="16"/>
  <c r="AB20" i="16"/>
  <c r="AY20" i="16" s="1"/>
  <c r="AC17" i="16"/>
  <c r="AB17" i="16"/>
  <c r="AY17" i="16" s="1"/>
  <c r="AC14" i="16"/>
  <c r="AB14" i="16"/>
  <c r="AY14" i="16" s="1"/>
  <c r="AC11" i="16"/>
  <c r="AB11" i="16"/>
  <c r="AB8" i="16"/>
  <c r="AC8" i="16"/>
  <c r="AC5" i="16"/>
  <c r="AB5" i="16"/>
  <c r="AG3" i="16"/>
  <c r="AF3" i="16"/>
  <c r="AK3" i="16"/>
  <c r="AJ3" i="16"/>
  <c r="AM3" i="16"/>
  <c r="AL3" i="16"/>
  <c r="BI3" i="16" s="1"/>
  <c r="AA3" i="16"/>
  <c r="Z3" i="16"/>
  <c r="AE3" i="16"/>
  <c r="AD3" i="16"/>
  <c r="AH3" i="16"/>
  <c r="AI3" i="16"/>
  <c r="AC3" i="16"/>
  <c r="AB3" i="16"/>
  <c r="AY3" i="16" s="1"/>
  <c r="AO3" i="16"/>
  <c r="AN3" i="16"/>
  <c r="BK3" i="16" s="1"/>
  <c r="AQ3" i="16"/>
  <c r="AP3" i="16"/>
  <c r="BM3" i="16" s="1"/>
  <c r="AG2" i="16"/>
  <c r="AF2" i="16"/>
  <c r="AJ2" i="16"/>
  <c r="AK2" i="16"/>
  <c r="AM2" i="16"/>
  <c r="AL2" i="16"/>
  <c r="BI2" i="16" s="1"/>
  <c r="AI2" i="16"/>
  <c r="AH2" i="16"/>
  <c r="BE2" i="16" s="1"/>
  <c r="AQ2" i="16"/>
  <c r="AP2" i="16"/>
  <c r="BM2" i="16" s="1"/>
  <c r="AC2" i="16"/>
  <c r="AB2" i="16"/>
  <c r="AY2" i="16" s="1"/>
  <c r="AO2" i="16"/>
  <c r="AN2" i="16"/>
  <c r="BK2" i="16" s="1"/>
  <c r="AE2" i="16"/>
  <c r="AD2" i="16"/>
  <c r="BA2" i="16" s="1"/>
  <c r="AA2" i="16"/>
  <c r="Z2" i="16"/>
  <c r="C9" i="7"/>
  <c r="B9" i="7" s="1"/>
  <c r="C10" i="14"/>
  <c r="B10" i="14" s="1"/>
  <c r="C6" i="7"/>
  <c r="B6" i="7" s="1"/>
  <c r="C11" i="14"/>
  <c r="B11" i="14" s="1"/>
  <c r="C12" i="7"/>
  <c r="B12" i="7" s="1"/>
  <c r="C10" i="7"/>
  <c r="B10" i="7" s="1"/>
  <c r="C12" i="14"/>
  <c r="B12" i="14" s="1"/>
  <c r="C6" i="14"/>
  <c r="B6" i="14" s="1"/>
  <c r="C3" i="14"/>
  <c r="B3" i="14" s="1"/>
  <c r="C4" i="14"/>
  <c r="B4" i="14" s="1"/>
  <c r="C7" i="14"/>
  <c r="B7" i="14" s="1"/>
  <c r="C5" i="14"/>
  <c r="B5" i="14" s="1"/>
  <c r="C4" i="7"/>
  <c r="B4" i="7" s="1"/>
  <c r="C5" i="7"/>
  <c r="B5" i="7" s="1"/>
  <c r="C7" i="7"/>
  <c r="B7" i="7" s="1"/>
  <c r="C3" i="7"/>
  <c r="B3" i="7" s="1"/>
  <c r="BR14" i="16" l="1"/>
  <c r="BE14" i="16"/>
  <c r="BR8" i="16"/>
  <c r="AW20" i="16"/>
  <c r="BR20" i="16"/>
  <c r="AW16" i="16"/>
  <c r="BR16" i="16"/>
  <c r="BR18" i="16"/>
  <c r="AW18" i="16"/>
  <c r="BR15" i="16"/>
  <c r="BE15" i="16"/>
  <c r="AW21" i="16"/>
  <c r="BR21" i="16"/>
  <c r="BR4" i="16"/>
  <c r="BR6" i="16"/>
  <c r="AW13" i="16"/>
  <c r="BR13" i="16"/>
  <c r="BR5" i="16"/>
  <c r="BR9" i="16"/>
  <c r="BR11" i="16"/>
  <c r="AW17" i="16"/>
  <c r="BR17" i="16"/>
  <c r="BR7" i="16"/>
  <c r="BR12" i="16"/>
  <c r="AW19" i="16"/>
  <c r="BR19" i="16"/>
  <c r="BR10" i="16"/>
  <c r="BR3" i="16"/>
  <c r="BR2" i="16"/>
  <c r="U18" i="16"/>
  <c r="T18" i="16"/>
  <c r="B115" i="11"/>
  <c r="B109" i="11"/>
  <c r="B103" i="11"/>
  <c r="B97" i="11"/>
  <c r="B91" i="11"/>
  <c r="B85" i="11"/>
  <c r="B79" i="11"/>
  <c r="B73" i="11"/>
  <c r="B67" i="11"/>
  <c r="B61" i="11"/>
  <c r="B55" i="11"/>
  <c r="U21" i="16"/>
  <c r="T21" i="16"/>
  <c r="U20" i="16"/>
  <c r="T20" i="16"/>
  <c r="U19" i="16"/>
  <c r="T19" i="16"/>
  <c r="U17" i="16"/>
  <c r="T17" i="16"/>
  <c r="U16" i="16"/>
  <c r="T16" i="16"/>
  <c r="U15" i="16"/>
  <c r="T15" i="16"/>
  <c r="U14" i="16"/>
  <c r="T14" i="16"/>
  <c r="U13" i="16"/>
  <c r="T13" i="16"/>
  <c r="T12" i="16"/>
  <c r="T11" i="16"/>
  <c r="U10" i="16"/>
  <c r="T10" i="16"/>
  <c r="T9" i="16"/>
  <c r="U8" i="16"/>
  <c r="T8" i="16"/>
  <c r="T7" i="16"/>
  <c r="U6" i="16"/>
  <c r="T6" i="16"/>
  <c r="T5" i="16"/>
  <c r="U4" i="16"/>
  <c r="T4" i="16"/>
  <c r="B49" i="11"/>
  <c r="B43" i="11"/>
  <c r="B37" i="11"/>
  <c r="B31" i="11"/>
  <c r="B25" i="11"/>
  <c r="B19" i="11"/>
  <c r="B13" i="11"/>
  <c r="B7" i="11"/>
  <c r="B1" i="11"/>
  <c r="A21" i="6"/>
  <c r="C21" i="6" s="1"/>
  <c r="B21" i="6" s="1"/>
  <c r="A20" i="6"/>
  <c r="C20" i="6" s="1"/>
  <c r="B20" i="6" s="1"/>
  <c r="A19" i="6"/>
  <c r="C19" i="6" s="1"/>
  <c r="B19" i="6" s="1"/>
  <c r="A18" i="6"/>
  <c r="C18" i="6" s="1"/>
  <c r="B18" i="6" s="1"/>
  <c r="A17" i="6"/>
  <c r="C17" i="6" s="1"/>
  <c r="B17" i="6" s="1"/>
  <c r="A16" i="6"/>
  <c r="C16" i="6" s="1"/>
  <c r="B16" i="6" s="1"/>
  <c r="A15" i="6"/>
  <c r="C15" i="6" s="1"/>
  <c r="B15" i="6" s="1"/>
  <c r="A14" i="6"/>
  <c r="C14" i="6" s="1"/>
  <c r="B14" i="6" s="1"/>
  <c r="A13" i="6"/>
  <c r="C13" i="6" s="1"/>
  <c r="B13" i="6" s="1"/>
  <c r="A12" i="6"/>
  <c r="A11" i="6"/>
  <c r="A10" i="6"/>
  <c r="A9" i="6"/>
  <c r="C9" i="6" s="1"/>
  <c r="A8" i="6"/>
  <c r="C8" i="6" s="1"/>
  <c r="A7" i="6"/>
  <c r="A6" i="6"/>
  <c r="A5" i="6"/>
  <c r="A4" i="6"/>
  <c r="A3" i="6"/>
  <c r="A2" i="6"/>
  <c r="C2" i="6" s="1"/>
  <c r="B2" i="6" s="1"/>
  <c r="A22" i="5"/>
  <c r="C22" i="5" s="1"/>
  <c r="B22" i="5" s="1"/>
  <c r="A21" i="5"/>
  <c r="C21" i="5" s="1"/>
  <c r="B21" i="5" s="1"/>
  <c r="A20" i="5"/>
  <c r="C20" i="5" s="1"/>
  <c r="B20" i="5" s="1"/>
  <c r="A19" i="5"/>
  <c r="C19" i="5" s="1"/>
  <c r="B19" i="5" s="1"/>
  <c r="A18" i="5"/>
  <c r="C18" i="5" s="1"/>
  <c r="B18" i="5" s="1"/>
  <c r="A17" i="5"/>
  <c r="C17" i="5" s="1"/>
  <c r="B17" i="5" s="1"/>
  <c r="A16" i="5"/>
  <c r="C16" i="5" s="1"/>
  <c r="B16" i="5" s="1"/>
  <c r="A15" i="5"/>
  <c r="C15" i="5" s="1"/>
  <c r="B15" i="5" s="1"/>
  <c r="A14" i="5"/>
  <c r="C14" i="5" s="1"/>
  <c r="B14" i="5" s="1"/>
  <c r="A13" i="5"/>
  <c r="A12" i="5"/>
  <c r="A11" i="5"/>
  <c r="A10" i="5"/>
  <c r="A9" i="5"/>
  <c r="D3" i="10"/>
  <c r="D4" i="10"/>
  <c r="I4" i="10"/>
  <c r="D2" i="10"/>
  <c r="A4" i="5"/>
  <c r="A5" i="5"/>
  <c r="A6" i="5"/>
  <c r="A7" i="5"/>
  <c r="A8" i="5"/>
  <c r="A3" i="5"/>
  <c r="C3" i="5" s="1"/>
  <c r="B3" i="5" s="1"/>
  <c r="A4" i="4"/>
  <c r="A5" i="4"/>
  <c r="A6" i="4"/>
  <c r="A7" i="4"/>
  <c r="A8" i="4"/>
  <c r="A9" i="4"/>
  <c r="A10" i="4"/>
  <c r="A11" i="4"/>
  <c r="A12" i="4"/>
  <c r="A13" i="4"/>
  <c r="A14" i="4"/>
  <c r="C14" i="4" s="1"/>
  <c r="B14" i="4" s="1"/>
  <c r="A15" i="4"/>
  <c r="C15" i="4" s="1"/>
  <c r="B15" i="4" s="1"/>
  <c r="A16" i="4"/>
  <c r="C16" i="4" s="1"/>
  <c r="B16" i="4" s="1"/>
  <c r="A17" i="4"/>
  <c r="C17" i="4" s="1"/>
  <c r="B17" i="4" s="1"/>
  <c r="A18" i="4"/>
  <c r="C18" i="4" s="1"/>
  <c r="B18" i="4" s="1"/>
  <c r="A19" i="4"/>
  <c r="C19" i="4" s="1"/>
  <c r="B19" i="4" s="1"/>
  <c r="A20" i="4"/>
  <c r="C20" i="4" s="1"/>
  <c r="B20" i="4" s="1"/>
  <c r="A21" i="4"/>
  <c r="C21" i="4" s="1"/>
  <c r="B21" i="4" s="1"/>
  <c r="A22" i="4"/>
  <c r="C22" i="4" s="1"/>
  <c r="B22" i="4" s="1"/>
  <c r="A3" i="4"/>
  <c r="C13" i="8"/>
  <c r="C13" i="16" s="1"/>
  <c r="C14" i="8"/>
  <c r="C14" i="16" s="1"/>
  <c r="C15" i="8"/>
  <c r="C15" i="16" s="1"/>
  <c r="C16" i="8"/>
  <c r="C16" i="16" s="1"/>
  <c r="C17" i="8"/>
  <c r="C17" i="16" s="1"/>
  <c r="C18" i="8"/>
  <c r="C18" i="16" s="1"/>
  <c r="C19" i="8"/>
  <c r="C19" i="16" s="1"/>
  <c r="C20" i="8"/>
  <c r="C20" i="16" s="1"/>
  <c r="C21" i="8"/>
  <c r="C21" i="16" s="1"/>
  <c r="U11" i="16" l="1"/>
  <c r="U12" i="16"/>
  <c r="U9" i="16"/>
  <c r="U7" i="16"/>
  <c r="U5" i="16"/>
  <c r="T3" i="16"/>
  <c r="T2" i="16"/>
  <c r="O8" i="16"/>
  <c r="N8" i="16"/>
  <c r="O18" i="16"/>
  <c r="N18" i="16"/>
  <c r="O4" i="16"/>
  <c r="N4" i="16"/>
  <c r="N6" i="16"/>
  <c r="O6" i="16"/>
  <c r="N11" i="16"/>
  <c r="O11" i="16"/>
  <c r="O13" i="16"/>
  <c r="N13" i="16"/>
  <c r="O15" i="16"/>
  <c r="N15" i="16"/>
  <c r="O17" i="16"/>
  <c r="N17" i="16"/>
  <c r="O19" i="16"/>
  <c r="N19" i="16"/>
  <c r="O21" i="16"/>
  <c r="N21" i="16"/>
  <c r="Y18" i="16"/>
  <c r="X18" i="16"/>
  <c r="Y9" i="16"/>
  <c r="X9" i="16"/>
  <c r="N5" i="16"/>
  <c r="O5" i="16"/>
  <c r="O7" i="16"/>
  <c r="N7" i="16"/>
  <c r="Y8" i="16"/>
  <c r="X8" i="16"/>
  <c r="V9" i="16"/>
  <c r="W9" i="16"/>
  <c r="N10" i="16"/>
  <c r="O10" i="16"/>
  <c r="N12" i="16"/>
  <c r="O12" i="16"/>
  <c r="N14" i="16"/>
  <c r="O14" i="16"/>
  <c r="O16" i="16"/>
  <c r="N16" i="16"/>
  <c r="N20" i="16"/>
  <c r="O20" i="16"/>
  <c r="W4" i="16"/>
  <c r="V4" i="16"/>
  <c r="Y5" i="16"/>
  <c r="X5" i="16"/>
  <c r="Y6" i="16"/>
  <c r="X6" i="16"/>
  <c r="X7" i="16"/>
  <c r="Y7" i="16"/>
  <c r="W8" i="16"/>
  <c r="V8" i="16"/>
  <c r="Q10" i="16"/>
  <c r="P10" i="16"/>
  <c r="Q11" i="16"/>
  <c r="P11" i="16"/>
  <c r="Q12" i="16"/>
  <c r="P12" i="16"/>
  <c r="P13" i="16"/>
  <c r="Q13" i="16"/>
  <c r="Q14" i="16"/>
  <c r="P14" i="16"/>
  <c r="Q15" i="16"/>
  <c r="P15" i="16"/>
  <c r="P16" i="16"/>
  <c r="Q16" i="16"/>
  <c r="Q17" i="16"/>
  <c r="P17" i="16"/>
  <c r="Q19" i="16"/>
  <c r="P19" i="16"/>
  <c r="Q20" i="16"/>
  <c r="P20" i="16"/>
  <c r="Q21" i="16"/>
  <c r="P21" i="16"/>
  <c r="W18" i="16"/>
  <c r="V18" i="16"/>
  <c r="S16" i="16"/>
  <c r="R16" i="16"/>
  <c r="S6" i="16"/>
  <c r="R6" i="16"/>
  <c r="W12" i="16"/>
  <c r="V12" i="16"/>
  <c r="W19" i="16"/>
  <c r="V19" i="16"/>
  <c r="Y4" i="16"/>
  <c r="X4" i="16"/>
  <c r="Y17" i="16"/>
  <c r="X17" i="16"/>
  <c r="S12" i="16"/>
  <c r="R12" i="16"/>
  <c r="S17" i="16"/>
  <c r="R17" i="16"/>
  <c r="Q4" i="16"/>
  <c r="P4" i="16"/>
  <c r="Q8" i="16"/>
  <c r="P8" i="16"/>
  <c r="W10" i="16"/>
  <c r="V10" i="16"/>
  <c r="V14" i="16"/>
  <c r="W14" i="16"/>
  <c r="W21" i="16"/>
  <c r="V21" i="16"/>
  <c r="Q6" i="16"/>
  <c r="P6" i="16"/>
  <c r="Y10" i="16"/>
  <c r="X10" i="16"/>
  <c r="Y12" i="16"/>
  <c r="X12" i="16"/>
  <c r="Y14" i="16"/>
  <c r="X14" i="16"/>
  <c r="X16" i="16"/>
  <c r="Y16" i="16"/>
  <c r="Y20" i="16"/>
  <c r="X20" i="16"/>
  <c r="V6" i="16"/>
  <c r="W6" i="16"/>
  <c r="S10" i="16"/>
  <c r="R10" i="16"/>
  <c r="S14" i="16"/>
  <c r="R14" i="16"/>
  <c r="S21" i="16"/>
  <c r="R21" i="16"/>
  <c r="S8" i="16"/>
  <c r="R8" i="16"/>
  <c r="S18" i="16"/>
  <c r="R18" i="16"/>
  <c r="W15" i="16"/>
  <c r="V15" i="16"/>
  <c r="Q5" i="16"/>
  <c r="P5" i="16"/>
  <c r="Q7" i="16"/>
  <c r="P7" i="16"/>
  <c r="Y11" i="16"/>
  <c r="X11" i="16"/>
  <c r="Y13" i="16"/>
  <c r="X13" i="16"/>
  <c r="Y15" i="16"/>
  <c r="X15" i="16"/>
  <c r="Y19" i="16"/>
  <c r="X19" i="16"/>
  <c r="X21" i="16"/>
  <c r="Y21" i="16"/>
  <c r="V5" i="16"/>
  <c r="W5" i="16"/>
  <c r="S4" i="16"/>
  <c r="R4" i="16"/>
  <c r="S13" i="16"/>
  <c r="R13" i="16"/>
  <c r="S19" i="16"/>
  <c r="R19" i="16"/>
  <c r="P9" i="16"/>
  <c r="Q9" i="16"/>
  <c r="W16" i="16"/>
  <c r="V16" i="16"/>
  <c r="Q18" i="16"/>
  <c r="P18" i="16"/>
  <c r="V7" i="16"/>
  <c r="W7" i="16"/>
  <c r="S9" i="16"/>
  <c r="R9" i="16"/>
  <c r="S11" i="16"/>
  <c r="R11" i="16"/>
  <c r="S15" i="16"/>
  <c r="R15" i="16"/>
  <c r="S20" i="16"/>
  <c r="R20" i="16"/>
  <c r="S5" i="16"/>
  <c r="R5" i="16"/>
  <c r="S7" i="16"/>
  <c r="R7" i="16"/>
  <c r="V11" i="16"/>
  <c r="W11" i="16"/>
  <c r="W13" i="16"/>
  <c r="V13" i="16"/>
  <c r="V17" i="16"/>
  <c r="W17" i="16"/>
  <c r="V20" i="16"/>
  <c r="W20" i="16"/>
  <c r="U2" i="16"/>
  <c r="N9" i="16"/>
  <c r="O9" i="16"/>
  <c r="U3" i="16"/>
  <c r="Y3" i="16"/>
  <c r="X3" i="16"/>
  <c r="V3" i="16"/>
  <c r="W3" i="16"/>
  <c r="S3" i="16"/>
  <c r="R3" i="16"/>
  <c r="O3" i="16"/>
  <c r="N3" i="16"/>
  <c r="Q3" i="16"/>
  <c r="P3" i="16"/>
  <c r="W2" i="16"/>
  <c r="V2" i="16"/>
  <c r="Y2" i="16"/>
  <c r="X2" i="16"/>
  <c r="S2" i="16"/>
  <c r="R2" i="16"/>
  <c r="Q2" i="16"/>
  <c r="P2" i="16"/>
  <c r="N2" i="16"/>
  <c r="O2" i="16"/>
  <c r="K2" i="10"/>
  <c r="J2" i="10"/>
  <c r="E2" i="10"/>
  <c r="F2" i="10"/>
  <c r="C9" i="5"/>
  <c r="B9" i="5" s="1"/>
  <c r="C10" i="5"/>
  <c r="B10" i="5" s="1"/>
  <c r="C11" i="6"/>
  <c r="B11" i="6" s="1"/>
  <c r="C8" i="5"/>
  <c r="B8" i="5" s="1"/>
  <c r="C12" i="5"/>
  <c r="B12" i="5" s="1"/>
  <c r="C7" i="5"/>
  <c r="B7" i="5" s="1"/>
  <c r="C13" i="5"/>
  <c r="B13" i="5" s="1"/>
  <c r="C5" i="5"/>
  <c r="B5" i="5" s="1"/>
  <c r="C13" i="4"/>
  <c r="B13" i="4" s="1"/>
  <c r="C5" i="6"/>
  <c r="B5" i="6" s="1"/>
  <c r="C7" i="6"/>
  <c r="B7" i="6" s="1"/>
  <c r="C9" i="4"/>
  <c r="B9" i="4" s="1"/>
  <c r="C6" i="6"/>
  <c r="B6" i="6" s="1"/>
  <c r="C7" i="4"/>
  <c r="B7" i="4" s="1"/>
  <c r="C6" i="4"/>
  <c r="B6" i="4" s="1"/>
  <c r="C5" i="4"/>
  <c r="B5" i="4" s="1"/>
  <c r="C10" i="6"/>
  <c r="B10" i="6" s="1"/>
  <c r="C11" i="5"/>
  <c r="B11" i="5" s="1"/>
  <c r="C12" i="6"/>
  <c r="B12" i="6" s="1"/>
  <c r="C11" i="4"/>
  <c r="B11" i="4" s="1"/>
  <c r="C10" i="4"/>
  <c r="B10" i="4" s="1"/>
  <c r="C12" i="4"/>
  <c r="B12" i="4" s="1"/>
  <c r="C3" i="4"/>
  <c r="B3" i="4" s="1"/>
  <c r="B18" i="8"/>
  <c r="B18" i="16" s="1"/>
  <c r="B19" i="8"/>
  <c r="B19" i="16" s="1"/>
  <c r="C4" i="4"/>
  <c r="B4" i="4" s="1"/>
  <c r="B8" i="6"/>
  <c r="B20" i="8"/>
  <c r="B20" i="16" s="1"/>
  <c r="B15" i="8"/>
  <c r="B15" i="16" s="1"/>
  <c r="C6" i="5"/>
  <c r="B6" i="5" s="1"/>
  <c r="C4" i="5"/>
  <c r="B4" i="5" s="1"/>
  <c r="C3" i="6"/>
  <c r="B3" i="6" s="1"/>
  <c r="C4" i="6"/>
  <c r="B4" i="6" s="1"/>
  <c r="B21" i="8"/>
  <c r="B21" i="16" s="1"/>
  <c r="B17" i="8"/>
  <c r="B17" i="16" s="1"/>
  <c r="B9" i="6"/>
  <c r="B16" i="8"/>
  <c r="B16" i="16" s="1"/>
  <c r="B14" i="8"/>
  <c r="B14" i="16" s="1"/>
  <c r="B13" i="8"/>
  <c r="B13" i="16" s="1"/>
  <c r="C8" i="4"/>
  <c r="B8" i="4" s="1"/>
  <c r="BE12" i="16" l="1"/>
  <c r="BO12" i="16"/>
  <c r="BQ12" i="16"/>
  <c r="BI12" i="16"/>
  <c r="BM12" i="16"/>
  <c r="BK12" i="16"/>
  <c r="BC12" i="16"/>
  <c r="AW12" i="16"/>
  <c r="BA12" i="16"/>
  <c r="BG12" i="16"/>
  <c r="AY12" i="16"/>
  <c r="BC11" i="16"/>
  <c r="BG11" i="16"/>
  <c r="BQ11" i="16"/>
  <c r="BM11" i="16"/>
  <c r="AW11" i="16"/>
  <c r="BK11" i="16"/>
  <c r="BI11" i="16"/>
  <c r="BE11" i="16"/>
  <c r="AY11" i="16"/>
  <c r="BA11" i="16"/>
  <c r="BO11" i="16"/>
  <c r="BA10" i="16"/>
  <c r="BC10" i="16"/>
  <c r="BG10" i="16"/>
  <c r="BK10" i="16"/>
  <c r="BI10" i="16"/>
  <c r="BM10" i="16"/>
  <c r="BO10" i="16"/>
  <c r="BE10" i="16"/>
  <c r="BQ10" i="16"/>
  <c r="AW10" i="16"/>
  <c r="AY10" i="16"/>
  <c r="BG9" i="16"/>
  <c r="BO9" i="16"/>
  <c r="BM9" i="16"/>
  <c r="BE9" i="16"/>
  <c r="BC9" i="16"/>
  <c r="BI9" i="16"/>
  <c r="BQ9" i="16"/>
  <c r="BA9" i="16"/>
  <c r="AY9" i="16"/>
  <c r="AW9" i="16"/>
  <c r="BK9" i="16"/>
  <c r="BM8" i="16"/>
  <c r="AW8" i="16"/>
  <c r="BE8" i="16"/>
  <c r="BC8" i="16"/>
  <c r="BO8" i="16"/>
  <c r="BQ8" i="16"/>
  <c r="BG8" i="16"/>
  <c r="AY8" i="16"/>
  <c r="BA8" i="16"/>
  <c r="BK8" i="16"/>
  <c r="BI8" i="16"/>
  <c r="BC7" i="16"/>
  <c r="AY7" i="16"/>
  <c r="BO7" i="16"/>
  <c r="BA7" i="16"/>
  <c r="BM7" i="16"/>
  <c r="BK7" i="16"/>
  <c r="BE7" i="16"/>
  <c r="AW7" i="16"/>
  <c r="BG7" i="16"/>
  <c r="BQ7" i="16"/>
  <c r="BI7" i="16"/>
  <c r="BK6" i="16"/>
  <c r="AW6" i="16"/>
  <c r="BQ6" i="16"/>
  <c r="BG6" i="16"/>
  <c r="BO6" i="16"/>
  <c r="BC6" i="16"/>
  <c r="BA6" i="16"/>
  <c r="BE6" i="16"/>
  <c r="BI6" i="16"/>
  <c r="BM6" i="16"/>
  <c r="AY6" i="16"/>
  <c r="BQ5" i="16"/>
  <c r="BM5" i="16"/>
  <c r="BO5" i="16"/>
  <c r="BG5" i="16"/>
  <c r="AY5" i="16"/>
  <c r="BK5" i="16"/>
  <c r="BE5" i="16"/>
  <c r="AW5" i="16"/>
  <c r="BC5" i="16"/>
  <c r="BI5" i="16"/>
  <c r="BA5" i="16"/>
  <c r="BI4" i="16"/>
  <c r="AY4" i="16"/>
  <c r="BK4" i="16"/>
  <c r="BQ4" i="16"/>
  <c r="BG4" i="16"/>
  <c r="BE4" i="16"/>
  <c r="BC4" i="16"/>
  <c r="BM4" i="16"/>
  <c r="BO4" i="16"/>
  <c r="BA4" i="16"/>
  <c r="AW4" i="16"/>
  <c r="BO3" i="16"/>
  <c r="BC3" i="16"/>
  <c r="BA3" i="16"/>
  <c r="BQ3" i="16"/>
  <c r="AW3" i="16"/>
  <c r="BG3" i="16"/>
  <c r="BE3" i="16"/>
  <c r="BQ2" i="16"/>
  <c r="BG2" i="16"/>
  <c r="BO2" i="16"/>
  <c r="AW2" i="16"/>
  <c r="BC2" i="16"/>
  <c r="AZ12" i="16"/>
  <c r="AV12" i="16"/>
  <c r="BD12" i="16"/>
  <c r="BP12" i="16"/>
  <c r="BF12" i="16"/>
  <c r="AX12" i="16"/>
  <c r="BJ12" i="16"/>
  <c r="BH12" i="16"/>
  <c r="BN12" i="16"/>
  <c r="BB12" i="16"/>
  <c r="BL12" i="16"/>
  <c r="BN6" i="16"/>
  <c r="BJ6" i="16"/>
  <c r="BF6" i="16"/>
  <c r="BD6" i="16"/>
  <c r="BP6" i="16"/>
  <c r="BB6" i="16"/>
  <c r="BH6" i="16"/>
  <c r="AX6" i="16"/>
  <c r="BL6" i="16"/>
  <c r="AV6" i="16"/>
  <c r="AZ6" i="16"/>
  <c r="BD10" i="16"/>
  <c r="BF10" i="16"/>
  <c r="BB10" i="16"/>
  <c r="AX10" i="16"/>
  <c r="AZ10" i="16"/>
  <c r="BL10" i="16"/>
  <c r="BP10" i="16"/>
  <c r="BJ10" i="16"/>
  <c r="AV10" i="16"/>
  <c r="BN10" i="16"/>
  <c r="BH10" i="16"/>
  <c r="BB21" i="16"/>
  <c r="BN21" i="16"/>
  <c r="AX21" i="16"/>
  <c r="BJ21" i="16"/>
  <c r="AZ21" i="16"/>
  <c r="BH21" i="16"/>
  <c r="BL21" i="16"/>
  <c r="BD21" i="16"/>
  <c r="BF21" i="16"/>
  <c r="BP21" i="16"/>
  <c r="AV21" i="16"/>
  <c r="AX15" i="16"/>
  <c r="BF15" i="16"/>
  <c r="BN15" i="16"/>
  <c r="BJ15" i="16"/>
  <c r="AZ15" i="16"/>
  <c r="AV15" i="16"/>
  <c r="BL15" i="16"/>
  <c r="BH15" i="16"/>
  <c r="BD15" i="16"/>
  <c r="BP15" i="16"/>
  <c r="BB15" i="16"/>
  <c r="BB20" i="16"/>
  <c r="BN20" i="16"/>
  <c r="BF20" i="16"/>
  <c r="BD20" i="16"/>
  <c r="AV20" i="16"/>
  <c r="BJ20" i="16"/>
  <c r="AZ20" i="16"/>
  <c r="BH20" i="16"/>
  <c r="BL20" i="16"/>
  <c r="BP20" i="16"/>
  <c r="AX20" i="16"/>
  <c r="BB8" i="16"/>
  <c r="BF8" i="16"/>
  <c r="BN8" i="16"/>
  <c r="BH8" i="16"/>
  <c r="AV8" i="16"/>
  <c r="AX8" i="16"/>
  <c r="BJ8" i="16"/>
  <c r="AZ8" i="16"/>
  <c r="BL8" i="16"/>
  <c r="BD8" i="16"/>
  <c r="BP8" i="16"/>
  <c r="BL17" i="16"/>
  <c r="BD17" i="16"/>
  <c r="BH17" i="16"/>
  <c r="AV17" i="16"/>
  <c r="AX17" i="16"/>
  <c r="BN17" i="16"/>
  <c r="BB17" i="16"/>
  <c r="BP17" i="16"/>
  <c r="BF17" i="16"/>
  <c r="BJ17" i="16"/>
  <c r="AZ17" i="16"/>
  <c r="BF18" i="16"/>
  <c r="BD18" i="16"/>
  <c r="BP18" i="16"/>
  <c r="AV18" i="16"/>
  <c r="AZ18" i="16"/>
  <c r="BL18" i="16"/>
  <c r="AX18" i="16"/>
  <c r="BN18" i="16"/>
  <c r="BH18" i="16"/>
  <c r="BB18" i="16"/>
  <c r="BJ18" i="16"/>
  <c r="BP16" i="16"/>
  <c r="AX16" i="16"/>
  <c r="AZ16" i="16"/>
  <c r="BL16" i="16"/>
  <c r="BF16" i="16"/>
  <c r="BD16" i="16"/>
  <c r="BJ16" i="16"/>
  <c r="BN16" i="16"/>
  <c r="AV16" i="16"/>
  <c r="BH16" i="16"/>
  <c r="BB16" i="16"/>
  <c r="BN19" i="16"/>
  <c r="BB19" i="16"/>
  <c r="BJ19" i="16"/>
  <c r="AX19" i="16"/>
  <c r="BF19" i="16"/>
  <c r="AV19" i="16"/>
  <c r="BD19" i="16"/>
  <c r="BH19" i="16"/>
  <c r="AZ19" i="16"/>
  <c r="BL19" i="16"/>
  <c r="BP19" i="16"/>
  <c r="AX11" i="16"/>
  <c r="BF11" i="16"/>
  <c r="BB11" i="16"/>
  <c r="BN11" i="16"/>
  <c r="BL11" i="16"/>
  <c r="BH11" i="16"/>
  <c r="BD11" i="16"/>
  <c r="BJ11" i="16"/>
  <c r="BP11" i="16"/>
  <c r="AV11" i="16"/>
  <c r="AZ11" i="16"/>
  <c r="BP14" i="16"/>
  <c r="BF14" i="16"/>
  <c r="BN14" i="16"/>
  <c r="BD14" i="16"/>
  <c r="BH14" i="16"/>
  <c r="AV14" i="16"/>
  <c r="AX14" i="16"/>
  <c r="BJ14" i="16"/>
  <c r="BL14" i="16"/>
  <c r="AZ14" i="16"/>
  <c r="BB14" i="16"/>
  <c r="BF4" i="16"/>
  <c r="BD4" i="16"/>
  <c r="BP4" i="16"/>
  <c r="BJ4" i="16"/>
  <c r="BN4" i="16"/>
  <c r="AZ4" i="16"/>
  <c r="BL4" i="16"/>
  <c r="BB4" i="16"/>
  <c r="AX4" i="16"/>
  <c r="AV4" i="16"/>
  <c r="BH4" i="16"/>
  <c r="AZ9" i="16"/>
  <c r="BJ9" i="16"/>
  <c r="BH9" i="16"/>
  <c r="BF9" i="16"/>
  <c r="AV9" i="16"/>
  <c r="BN9" i="16"/>
  <c r="AX9" i="16"/>
  <c r="BD9" i="16"/>
  <c r="BP9" i="16"/>
  <c r="BB9" i="16"/>
  <c r="BL9" i="16"/>
  <c r="BB5" i="16"/>
  <c r="BD5" i="16"/>
  <c r="BN5" i="16"/>
  <c r="BL5" i="16"/>
  <c r="BF5" i="16"/>
  <c r="AZ5" i="16"/>
  <c r="AX5" i="16"/>
  <c r="BJ5" i="16"/>
  <c r="AV5" i="16"/>
  <c r="BH5" i="16"/>
  <c r="BP5" i="16"/>
  <c r="BD13" i="16"/>
  <c r="BN13" i="16"/>
  <c r="AZ13" i="16"/>
  <c r="BB13" i="16"/>
  <c r="BL13" i="16"/>
  <c r="BF13" i="16"/>
  <c r="AV13" i="16"/>
  <c r="BH13" i="16"/>
  <c r="AX13" i="16"/>
  <c r="BJ13" i="16"/>
  <c r="BP13" i="16"/>
  <c r="AX7" i="16"/>
  <c r="BF7" i="16"/>
  <c r="BJ7" i="16"/>
  <c r="BN7" i="16"/>
  <c r="AZ7" i="16"/>
  <c r="BL7" i="16"/>
  <c r="AV7" i="16"/>
  <c r="BH7" i="16"/>
  <c r="BB7" i="16"/>
  <c r="BD7" i="16"/>
  <c r="BP7" i="16"/>
  <c r="BJ3" i="16"/>
  <c r="AX3" i="16"/>
  <c r="BF3" i="16"/>
  <c r="AZ3" i="16"/>
  <c r="BD3" i="16"/>
  <c r="BL3" i="16"/>
  <c r="BP3" i="16"/>
  <c r="BN3" i="16"/>
  <c r="BB3" i="16"/>
  <c r="AV3" i="16"/>
  <c r="BH3" i="16"/>
  <c r="BB2" i="16"/>
  <c r="BP2" i="16"/>
  <c r="BN2" i="16"/>
  <c r="BF2" i="16"/>
  <c r="BD2" i="16"/>
  <c r="AZ2" i="16"/>
  <c r="BL2" i="16"/>
  <c r="BJ2" i="16"/>
  <c r="BH2" i="16"/>
  <c r="AX2" i="16"/>
  <c r="AV2" i="16"/>
  <c r="I2" i="16"/>
  <c r="H2" i="16"/>
  <c r="C3" i="8"/>
  <c r="C3" i="16" s="1"/>
  <c r="C4" i="8"/>
  <c r="C4" i="16" s="1"/>
  <c r="C5" i="8"/>
  <c r="C5" i="16" s="1"/>
  <c r="C6" i="8"/>
  <c r="C6" i="16" s="1"/>
  <c r="C7" i="8"/>
  <c r="C7" i="16" s="1"/>
  <c r="C8" i="8"/>
  <c r="C8" i="16" s="1"/>
  <c r="C9" i="8"/>
  <c r="C9" i="16" s="1"/>
  <c r="C10" i="8"/>
  <c r="C10" i="16" s="1"/>
  <c r="C11" i="8"/>
  <c r="C11" i="16" s="1"/>
  <c r="C12" i="8"/>
  <c r="C12" i="16" s="1"/>
  <c r="C2" i="8"/>
  <c r="C2" i="16" s="1"/>
  <c r="B4" i="8" l="1"/>
  <c r="B4" i="16" s="1"/>
  <c r="B3" i="8"/>
  <c r="B3" i="16" s="1"/>
  <c r="B2" i="8"/>
  <c r="B2" i="16" s="1"/>
  <c r="B12" i="8"/>
  <c r="B12" i="16" s="1"/>
  <c r="B11" i="8"/>
  <c r="B11" i="16" s="1"/>
  <c r="B10" i="8"/>
  <c r="B10" i="16" s="1"/>
  <c r="B9" i="8"/>
  <c r="B9" i="16" s="1"/>
  <c r="B8" i="8"/>
  <c r="B8" i="16" s="1"/>
  <c r="B7" i="8"/>
  <c r="B7" i="16" s="1"/>
  <c r="B6" i="8"/>
  <c r="B6" i="16" s="1"/>
  <c r="B5" i="8"/>
  <c r="B5" i="16" s="1"/>
  <c r="F6" i="8"/>
  <c r="F7" i="8"/>
  <c r="F8" i="8"/>
  <c r="F9" i="8"/>
  <c r="F10" i="8"/>
  <c r="F11" i="8"/>
  <c r="F13" i="8"/>
  <c r="F14" i="8"/>
  <c r="F15" i="8"/>
  <c r="F16" i="8"/>
  <c r="F17" i="8"/>
  <c r="F18" i="8"/>
  <c r="F19" i="8"/>
  <c r="F20" i="8"/>
  <c r="F21" i="8"/>
  <c r="I6" i="8"/>
  <c r="I7" i="8"/>
  <c r="I8" i="8"/>
  <c r="I9" i="8"/>
  <c r="I10" i="8"/>
  <c r="I11" i="8"/>
  <c r="I13" i="8"/>
  <c r="F13" i="16" s="1"/>
  <c r="I14" i="8"/>
  <c r="I15" i="8"/>
  <c r="I16" i="8"/>
  <c r="I17" i="8"/>
  <c r="I18" i="8"/>
  <c r="I19" i="8"/>
  <c r="I20" i="8"/>
  <c r="I21" i="8"/>
  <c r="I29" i="3"/>
  <c r="E30" i="3"/>
  <c r="E31" i="3" s="1"/>
  <c r="J30" i="3" s="1"/>
  <c r="J31" i="3" s="1"/>
  <c r="E24" i="3"/>
  <c r="E25" i="3" s="1"/>
  <c r="D12" i="3"/>
  <c r="G11" i="3"/>
  <c r="G6" i="16" l="1"/>
  <c r="F6" i="16"/>
  <c r="G11" i="16"/>
  <c r="F11" i="16"/>
  <c r="G10" i="16"/>
  <c r="F10" i="16"/>
  <c r="G9" i="16"/>
  <c r="F9" i="16"/>
  <c r="F8" i="16"/>
  <c r="G8" i="16"/>
  <c r="G7" i="16"/>
  <c r="F7" i="16"/>
  <c r="F12" i="8"/>
  <c r="I12" i="8"/>
  <c r="F12" i="16" l="1"/>
  <c r="G1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EFF5BE31-13A9-4723-A437-3EA7B02AD190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Explain the goals, strains used and other experimental details in a short sentence, only write in cell A1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F2891A32-FC64-4CAD-ADFD-BB4ED07D9895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1 through 16 for lab B0.670, 1-u through 8-u for lab B1.230</t>
        </r>
      </text>
    </comment>
    <comment ref="C1" authorId="0" shapeId="0" xr:uid="{40D2CE29-FB54-464C-BB63-BFCFFA39D58B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strain name, don't use special characters, write CBS strains with space (CBS 1483)</t>
        </r>
      </text>
    </comment>
    <comment ref="D1" authorId="0" shapeId="0" xr:uid="{63992D9E-5797-4BEF-9B23-994A9529E1B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Choose closest starting gravity, not the measured value but the intended gravity</t>
        </r>
      </text>
    </comment>
    <comment ref="E1" authorId="0" shapeId="0" xr:uid="{9B602102-B6F6-4751-B1F4-61570E57B115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For data visualization, choose closest density, not the measured value but the intended value</t>
        </r>
      </text>
    </comment>
    <comment ref="F1" authorId="0" shapeId="0" xr:uid="{F0F150F5-89B9-476A-B53C-7D0C6A5BC05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Temperature, 12 or 20 degrees</t>
        </r>
      </text>
    </comment>
    <comment ref="G1" authorId="0" shapeId="0" xr:uid="{CF91F6C7-6E31-4310-B184-D1F2F7720379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number to designate experiment, should be unique so follow count from previous experiment</t>
        </r>
      </text>
    </comment>
    <comment ref="H1" authorId="0" shapeId="0" xr:uid="{A1242628-9CEA-4E33-950E-FDBAE1816DDF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Fill in dd-mm-yyyy format (excel date)</t>
        </r>
      </text>
    </comment>
    <comment ref="I1" authorId="0" shapeId="0" xr:uid="{5E7E0240-DDBE-44CD-A74A-225031D14FBC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Either 1 or 2, if more than that, split over multiple experiments and excel files</t>
        </r>
      </text>
    </comment>
    <comment ref="J1" authorId="0" shapeId="0" xr:uid="{14896609-4313-479C-90A2-AE486999B23D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Usually 1 for normally inoculated fermentations from shake flask cultures, higher number if cells were transferred from a previous tall tube experiment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Ewout Knibbe</author>
  </authors>
  <commentList>
    <comment ref="A1" authorId="0" shapeId="0" xr:uid="{74479594-8DED-45CB-A061-48DD6856F8A7}">
      <text>
        <r>
          <rPr>
            <b/>
            <sz val="9"/>
            <color indexed="81"/>
            <rFont val="Tahoma"/>
            <family val="2"/>
          </rPr>
          <t>Ewout Knibbe:</t>
        </r>
        <r>
          <rPr>
            <sz val="9"/>
            <color indexed="81"/>
            <rFont val="Tahoma"/>
            <family val="2"/>
          </rPr>
          <t xml:space="preserve">
Insert CO2 data with TT1 and TT2 as headers</t>
        </r>
      </text>
    </comment>
  </commentList>
</comments>
</file>

<file path=xl/sharedStrings.xml><?xml version="1.0" encoding="utf-8"?>
<sst xmlns="http://schemas.openxmlformats.org/spreadsheetml/2006/main" count="1485" uniqueCount="325">
  <si>
    <t>Date</t>
  </si>
  <si>
    <t>Time (h)</t>
  </si>
  <si>
    <t>Time (days)</t>
  </si>
  <si>
    <t>Tall tubes</t>
  </si>
  <si>
    <t>Strain</t>
  </si>
  <si>
    <t>PROCEDURE</t>
  </si>
  <si>
    <t>Inoculate wake-up cultures: Stock in 100mL YPD.</t>
  </si>
  <si>
    <t>Incubate at 12°C and 200rpm.</t>
  </si>
  <si>
    <t>Transfer wake-up culture to YPM6% preculture at an OD of 0.8 in 4x100mL Shake Flasks.</t>
  </si>
  <si>
    <t>Details wake-up culture:</t>
  </si>
  <si>
    <t>Dilution</t>
  </si>
  <si>
    <t>Volume to transfer to preculture:</t>
  </si>
  <si>
    <t>OD1</t>
  </si>
  <si>
    <t>OD2</t>
  </si>
  <si>
    <t>mL</t>
  </si>
  <si>
    <t>OD660</t>
  </si>
  <si>
    <t>Start Tall Tube experiment</t>
  </si>
  <si>
    <t>1.</t>
  </si>
  <si>
    <t>Inoculum preparation.</t>
  </si>
  <si>
    <t>Details preculture:</t>
  </si>
  <si>
    <t>Resuspension volume for OD660 = ~20</t>
  </si>
  <si>
    <t>mL →→</t>
  </si>
  <si>
    <t>Spin down and resuspend in</t>
  </si>
  <si>
    <t>Cell count resuspension:</t>
  </si>
  <si>
    <t>Inoculum</t>
  </si>
  <si>
    <t>Total count</t>
  </si>
  <si>
    <t>Dead count</t>
  </si>
  <si>
    <t>Resuspension:</t>
  </si>
  <si>
    <t>Viability</t>
  </si>
  <si>
    <t>Water:</t>
  </si>
  <si>
    <t>Viable count</t>
  </si>
  <si>
    <t>cells/mL</t>
  </si>
  <si>
    <t>2.</t>
  </si>
  <si>
    <r>
      <t>Fill each Tall Tube with 2395g of inoculated 21</t>
    </r>
    <r>
      <rPr>
        <sz val="11"/>
        <color theme="1"/>
        <rFont val="Calibri"/>
        <family val="2"/>
      </rPr>
      <t>°P wort</t>
    </r>
  </si>
  <si>
    <t>3.</t>
  </si>
  <si>
    <t>Start logging of MFM</t>
  </si>
  <si>
    <t>First sample</t>
  </si>
  <si>
    <t>Last sample</t>
  </si>
  <si>
    <t>Diacetyl &lt; threshold</t>
  </si>
  <si>
    <t>°P End?</t>
  </si>
  <si>
    <t>Viability at the cone</t>
  </si>
  <si>
    <t>Volume</t>
  </si>
  <si>
    <t>ml</t>
  </si>
  <si>
    <t>Cell count</t>
  </si>
  <si>
    <t>Cell/ml</t>
  </si>
  <si>
    <t>1 Dead cells</t>
  </si>
  <si>
    <t>1 Total cells</t>
  </si>
  <si>
    <t>1 Viability (%)</t>
  </si>
  <si>
    <t>2 Dead cells</t>
  </si>
  <si>
    <t>2 Total cells</t>
  </si>
  <si>
    <t>2 Viability (%)</t>
  </si>
  <si>
    <t>Cone viability</t>
  </si>
  <si>
    <t>Date start experiment</t>
  </si>
  <si>
    <t>Experiment number</t>
  </si>
  <si>
    <t>T1</t>
  </si>
  <si>
    <t>Maltohexaose</t>
  </si>
  <si>
    <t>Maltopentao
se</t>
  </si>
  <si>
    <t>Maltotetraose</t>
  </si>
  <si>
    <t>Maltotriose</t>
  </si>
  <si>
    <t>Maltose</t>
  </si>
  <si>
    <t>Glucose</t>
  </si>
  <si>
    <t>Fructose</t>
  </si>
  <si>
    <t>Glycerol</t>
  </si>
  <si>
    <t>Ethanol</t>
  </si>
  <si>
    <t>MT01-MTT-260_CBS1483_17P-s10a</t>
  </si>
  <si>
    <t>D2F-A3</t>
  </si>
  <si>
    <t>1</t>
  </si>
  <si>
    <t>MT01-MTT-260_CBS1483_17P-s10b</t>
  </si>
  <si>
    <t>D2F-B3</t>
  </si>
  <si>
    <t>MT02-MTT-260_CBS1483_17P-s10a</t>
  </si>
  <si>
    <t>D2F-C3</t>
  </si>
  <si>
    <t>MT02-MTT-260_CBS1483_17P-s10b</t>
  </si>
  <si>
    <t>D2F-D3</t>
  </si>
  <si>
    <t>Maltoheptaose</t>
  </si>
  <si>
    <t>T2</t>
  </si>
  <si>
    <t>T3</t>
  </si>
  <si>
    <t>T4</t>
  </si>
  <si>
    <t>T5</t>
  </si>
  <si>
    <t>T6</t>
  </si>
  <si>
    <t>T7</t>
  </si>
  <si>
    <t>T8</t>
  </si>
  <si>
    <t>T9</t>
  </si>
  <si>
    <t>MT01-MTT-260_CBS1483_17P-S2a</t>
  </si>
  <si>
    <t>D2F-A4</t>
  </si>
  <si>
    <t>MT01-MTT-260_CBS1483_17P-S2b</t>
  </si>
  <si>
    <t>D2F-B4</t>
  </si>
  <si>
    <t>MT02-MTT-260_CBS1483_17P-S2a</t>
  </si>
  <si>
    <t>D2F-C4</t>
  </si>
  <si>
    <t>MT02-MTT-260_CBS1483_17P-S2b</t>
  </si>
  <si>
    <t>D2F-D4</t>
  </si>
  <si>
    <t>MT01-MTT-260_CBS1483_17P-S3a</t>
  </si>
  <si>
    <t>D2F-A6</t>
  </si>
  <si>
    <t>MT01-MTT-260_CBS1483_17P-S3b</t>
  </si>
  <si>
    <t>D2F-B6</t>
  </si>
  <si>
    <t>MT02-MTT-260_CBS1483_17P-S3a</t>
  </si>
  <si>
    <t>D2F-C6</t>
  </si>
  <si>
    <t>MT02-MTT-260_CBS1483_17P-S3b</t>
  </si>
  <si>
    <t>D2F-D6</t>
  </si>
  <si>
    <t>MT01-MTT-260_CBS1483_17P-S4a</t>
  </si>
  <si>
    <t>D2B-A1</t>
  </si>
  <si>
    <t>MT01-MTT-260_CBS1483_17P-S4b</t>
  </si>
  <si>
    <t>D2B-B1</t>
  </si>
  <si>
    <t>MT02-MTT-260_CBS1483_17P-S4a</t>
  </si>
  <si>
    <t>D2B-C1</t>
  </si>
  <si>
    <t>MT02-MTT-260_CBS1483_17P-S4b</t>
  </si>
  <si>
    <t>D2B-D1</t>
  </si>
  <si>
    <t>MT01-MTT-260_CBS1483_17P-S5a</t>
  </si>
  <si>
    <t>D2F-A1</t>
  </si>
  <si>
    <t>MT01-MTT-260_CBS1483_17P-S5b</t>
  </si>
  <si>
    <t>D2F-B1</t>
  </si>
  <si>
    <t>MT02-MTT-260_CBS1483_17P-S5a</t>
  </si>
  <si>
    <t>D2F-C1</t>
  </si>
  <si>
    <t>MT02-MTT-260_CBS1483_17P-S5b</t>
  </si>
  <si>
    <t>D2F-D1</t>
  </si>
  <si>
    <t>MT01-MTT-260_CBS1483_17P-S6a</t>
  </si>
  <si>
    <t>D2F-A2</t>
  </si>
  <si>
    <t>MT01-MTT-260_CBS1483_17P-S6b</t>
  </si>
  <si>
    <t>D2F-B2</t>
  </si>
  <si>
    <t>MT02-MTT-260_CBS1483_17P-S6a</t>
  </si>
  <si>
    <t>D2F-C2</t>
  </si>
  <si>
    <t>MT02-MTT-260_CBS1483_17P-S6b</t>
  </si>
  <si>
    <t>D2F-D2</t>
  </si>
  <si>
    <t>Species</t>
  </si>
  <si>
    <t>Temperature</t>
  </si>
  <si>
    <t>Saccharomyces pastorianus</t>
  </si>
  <si>
    <t>Saccharomyces cerevisiae</t>
  </si>
  <si>
    <t>Saccharomyces eubayanus</t>
  </si>
  <si>
    <t>Starting gravity</t>
  </si>
  <si>
    <t>Inoculum density</t>
  </si>
  <si>
    <t>4-u</t>
  </si>
  <si>
    <t>1-u</t>
  </si>
  <si>
    <t>2-u</t>
  </si>
  <si>
    <t>3-u</t>
  </si>
  <si>
    <t>5-u</t>
  </si>
  <si>
    <t>6-u</t>
  </si>
  <si>
    <t>7-u</t>
  </si>
  <si>
    <t>8-u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</si>
  <si>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</si>
  <si>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</si>
  <si>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</si>
  <si>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</si>
  <si>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</si>
  <si>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</si>
  <si>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</si>
  <si>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</si>
  <si>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</si>
  <si>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</si>
  <si>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</si>
  <si>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Ethyl acetate</t>
  </si>
  <si>
    <t>Isobutyl
acetate</t>
  </si>
  <si>
    <t>Ethyl butyrate</t>
  </si>
  <si>
    <t>Isobutanol</t>
  </si>
  <si>
    <t>Isoamyl
acetate</t>
  </si>
  <si>
    <t>Isoamyl
alcohol</t>
  </si>
  <si>
    <t>Ethyl
hexanoate</t>
  </si>
  <si>
    <t>Ethyl
octanoate</t>
  </si>
  <si>
    <t>Ethyl
decanoate</t>
  </si>
  <si>
    <t>201</t>
  </si>
  <si>
    <t>202</t>
  </si>
  <si>
    <t>203</t>
  </si>
  <si>
    <t>204</t>
  </si>
  <si>
    <t>1 Ethyl acetate</t>
  </si>
  <si>
    <t>1 Ethanol</t>
  </si>
  <si>
    <t>1 Ethyl butyrate</t>
  </si>
  <si>
    <t>1 Isobutanol</t>
  </si>
  <si>
    <t>2 Ethyl acetate</t>
  </si>
  <si>
    <t>2 Ethanol</t>
  </si>
  <si>
    <t>2 Ethyl butyrate</t>
  </si>
  <si>
    <t>2 Isobutanol</t>
  </si>
  <si>
    <t>1 Isobutyl acetate</t>
  </si>
  <si>
    <t>1 Isoamyl acetate</t>
  </si>
  <si>
    <t>1 Isoamyl alcohol</t>
  </si>
  <si>
    <t>1 Ethyl hexanoate</t>
  </si>
  <si>
    <t>1 Ethyl octanoate</t>
  </si>
  <si>
    <t>1 Ethyl decanoate</t>
  </si>
  <si>
    <t>2 Isobutyl acetate</t>
  </si>
  <si>
    <t>2 Isoamyl acetate</t>
  </si>
  <si>
    <t>2 Isoamyl alcohol</t>
  </si>
  <si>
    <t>2 Ethyl hexanoate</t>
  </si>
  <si>
    <t>2 Ethyl octanoate</t>
  </si>
  <si>
    <t>2 Ethyl decanoate</t>
  </si>
  <si>
    <t>209</t>
  </si>
  <si>
    <t>210</t>
  </si>
  <si>
    <t>211</t>
  </si>
  <si>
    <t>212</t>
  </si>
  <si>
    <t>2,3-diacetyl</t>
  </si>
  <si>
    <t>2,3-
pentadione</t>
  </si>
  <si>
    <t>1 Diacetyl</t>
  </si>
  <si>
    <t>2 Diacetyl</t>
  </si>
  <si>
    <t>2 2,3-Pentanedione</t>
  </si>
  <si>
    <t>1 2,3-Pentanedione</t>
  </si>
  <si>
    <t>Starting gravity (Plato)</t>
  </si>
  <si>
    <t>Inoculum density (cells/mL)</t>
  </si>
  <si>
    <r>
      <t>Temperature (</t>
    </r>
    <r>
      <rPr>
        <sz val="12"/>
        <color theme="1"/>
        <rFont val="Arial"/>
        <family val="2"/>
      </rPr>
      <t>°</t>
    </r>
    <r>
      <rPr>
        <sz val="12"/>
        <color theme="1"/>
        <rFont val="Aptos Narrow"/>
        <family val="2"/>
      </rPr>
      <t>C)</t>
    </r>
  </si>
  <si>
    <t>StDev 1 Ethyl acetate</t>
  </si>
  <si>
    <t>StDev 1 Ethanol</t>
  </si>
  <si>
    <t>StDev 1 Ethyl butyrate</t>
  </si>
  <si>
    <t>StDev 1 Isobutanol</t>
  </si>
  <si>
    <t>StDev 2 Ethyl acetate</t>
  </si>
  <si>
    <t>StDev 2 Ethanol</t>
  </si>
  <si>
    <t>StDev 2 Ethyl butyrate</t>
  </si>
  <si>
    <t>StDev 2 Isobutanol</t>
  </si>
  <si>
    <t>StDev 1 Diacetyl</t>
  </si>
  <si>
    <t>StDev 1 2,3-Pentanedione</t>
  </si>
  <si>
    <t>StDev 2 Diacetyl</t>
  </si>
  <si>
    <t>StDev 2 2,3-Pentanedione</t>
  </si>
  <si>
    <t>StDev 1 Isobutyl acetate</t>
  </si>
  <si>
    <t>StDev 1 Isoamyl acetate</t>
  </si>
  <si>
    <t>StDev 1 Isoamyl alcohol</t>
  </si>
  <si>
    <t>StDev 1 Ethyl hexanoate</t>
  </si>
  <si>
    <t>StDev 1 Ethyl octanoate</t>
  </si>
  <si>
    <t>StDev 1 Ethyl decanoate</t>
  </si>
  <si>
    <t>StDev 2 Isobutyl acetate</t>
  </si>
  <si>
    <t>StDev 2 Isoamyl acetate</t>
  </si>
  <si>
    <t>StDev 2 Isoamyl alcohol</t>
  </si>
  <si>
    <t>StDev 2 Ethyl hexanoate</t>
  </si>
  <si>
    <t>StDev 2 Ethyl octanoate</t>
  </si>
  <si>
    <t>StDev 2 Ethyl decanoate</t>
  </si>
  <si>
    <t>CellCount_average</t>
  </si>
  <si>
    <t>CellCount_stdev</t>
  </si>
  <si>
    <t>Viability_average</t>
  </si>
  <si>
    <t>Viability_stdev</t>
  </si>
  <si>
    <t>Cone_viability_average</t>
  </si>
  <si>
    <t>Stdev_cone_viability</t>
  </si>
  <si>
    <t>Attenuation_average</t>
  </si>
  <si>
    <t>Attenuation_stdev</t>
  </si>
  <si>
    <t>pH_average</t>
  </si>
  <si>
    <t>pH_stdev</t>
  </si>
  <si>
    <t>Maltotriose_avg</t>
  </si>
  <si>
    <t>Maltotriose_stdev</t>
  </si>
  <si>
    <t>Maltose_avg</t>
  </si>
  <si>
    <t>Maltose_stdev</t>
  </si>
  <si>
    <t>Glucose_avg</t>
  </si>
  <si>
    <t>Glucose_stdev</t>
  </si>
  <si>
    <t>Fructose_avg</t>
  </si>
  <si>
    <t>Glycerol_avg</t>
  </si>
  <si>
    <t>Fructose_stdev</t>
  </si>
  <si>
    <t>Glycerol_stdev</t>
  </si>
  <si>
    <t>Ethanol_avg</t>
  </si>
  <si>
    <t>Ethanol_stdev</t>
  </si>
  <si>
    <t>Ethyl_acetate_avg</t>
  </si>
  <si>
    <t>Ethyl_acetate_stdev</t>
  </si>
  <si>
    <t>Isobutyl_acetate_avg</t>
  </si>
  <si>
    <t>Isobutyl_acetate_stdev</t>
  </si>
  <si>
    <t>Ethyl_butyrate_avg</t>
  </si>
  <si>
    <t>Ethyl_butyrate_stdev</t>
  </si>
  <si>
    <t>Isobutanol_avg</t>
  </si>
  <si>
    <t>Isobutanol_stdev</t>
  </si>
  <si>
    <t>Isoamyl_acetate_avg</t>
  </si>
  <si>
    <t>Isoamyl_acetate_stdev</t>
  </si>
  <si>
    <t>Isoamyl_alcohol_avg</t>
  </si>
  <si>
    <t>Isoamyl_alcohol_stdev</t>
  </si>
  <si>
    <t>Ethyl_hexanoate_avg</t>
  </si>
  <si>
    <t>Ethyl_hexanoate_stdev</t>
  </si>
  <si>
    <t>Ethyl_octanoate_avg</t>
  </si>
  <si>
    <t>Ethyl_octanoate_stdev</t>
  </si>
  <si>
    <t>Ethyl_decanoate_avg</t>
  </si>
  <si>
    <t>Ethyl_decanoate_stdev</t>
  </si>
  <si>
    <t>Diacetyl_avg</t>
  </si>
  <si>
    <t>Diacetyl_stdev</t>
  </si>
  <si>
    <t>2,3-pentanedione_avg</t>
  </si>
  <si>
    <t>2,3-pentanedione_stdev</t>
  </si>
  <si>
    <t>Ethyl_acetate_avg_normalized</t>
  </si>
  <si>
    <t>Ethyl_acetate_stdev_normalized</t>
  </si>
  <si>
    <t>Isobutyl_acetate_avg_normalized</t>
  </si>
  <si>
    <t>Isobutyl_acetate_stdev_normalized</t>
  </si>
  <si>
    <t>Ethyl_butyrate_avg_normalized</t>
  </si>
  <si>
    <t>Ethyl_butyrate_stdev_normalized</t>
  </si>
  <si>
    <t>Isobutanol_avg_normalized</t>
  </si>
  <si>
    <t>Isobutanol_stdev_normalized</t>
  </si>
  <si>
    <t>Isoamyl_acetate_avg_normalized</t>
  </si>
  <si>
    <t>Isoamyl_acetate_stdev_normalized</t>
  </si>
  <si>
    <t>Isoamyl_alcohol_avg_normalized</t>
  </si>
  <si>
    <t>Isoamyl_alcohol_stdev_normalized</t>
  </si>
  <si>
    <t>Ethyl_hexanoate_avg_normalized</t>
  </si>
  <si>
    <t>Ethyl_hexanoate_stdev_normalized</t>
  </si>
  <si>
    <t>Ethyl_octanoate_avg_normalized</t>
  </si>
  <si>
    <t>Ethyl_octanoate_stdev_normalized</t>
  </si>
  <si>
    <t>Ethyl_decanoate_avg_normalized</t>
  </si>
  <si>
    <t>Ethyl_decanoate_stdev_normalized</t>
  </si>
  <si>
    <t>Diacetyl_avg_normalized</t>
  </si>
  <si>
    <t>Diacetyl_stdev_normalized</t>
  </si>
  <si>
    <t>2,3-pentanedione_avg_normalized</t>
  </si>
  <si>
    <t>2,3-pentanedione_stdev_normalized</t>
  </si>
  <si>
    <t>Ratio_Ethylacetate_isoamyl_acetate</t>
  </si>
  <si>
    <t>TT1 average</t>
  </si>
  <si>
    <t>TT1 stdev</t>
  </si>
  <si>
    <t>TT2 average</t>
  </si>
  <si>
    <t>TT2 stdev</t>
  </si>
  <si>
    <t>c</t>
  </si>
  <si>
    <t>TT1</t>
  </si>
  <si>
    <t>TT2</t>
  </si>
  <si>
    <t>other</t>
  </si>
  <si>
    <t>1 Maltotriose</t>
  </si>
  <si>
    <t>1 Maltose</t>
  </si>
  <si>
    <t>1 Glucose</t>
  </si>
  <si>
    <t>1 Fructose</t>
  </si>
  <si>
    <t>1 Glycerol</t>
  </si>
  <si>
    <t>2 Maltotriose</t>
  </si>
  <si>
    <t>2 Maltose</t>
  </si>
  <si>
    <t>2 Glucose</t>
  </si>
  <si>
    <t>2 Fructose</t>
  </si>
  <si>
    <t>2 Glycerol</t>
  </si>
  <si>
    <t>StDev 1 Maltotriose</t>
  </si>
  <si>
    <t>StDev 1 Maltose</t>
  </si>
  <si>
    <t>StDev 1 Glucose</t>
  </si>
  <si>
    <t>StDev 1 Fructose</t>
  </si>
  <si>
    <t>StDev 1 Glycerol</t>
  </si>
  <si>
    <t>StDev 2 Maltotriose</t>
  </si>
  <si>
    <t>StDev 2 Maltose</t>
  </si>
  <si>
    <t>StDev 2 Glucose</t>
  </si>
  <si>
    <t>StDev 2 Fructose</t>
  </si>
  <si>
    <t>StDev 2 Glycerol</t>
  </si>
  <si>
    <t>Pitch</t>
  </si>
  <si>
    <t># of replicates</t>
  </si>
  <si>
    <t>This is an example sheet with made-up data to showcase visualization</t>
  </si>
  <si>
    <t>strain-1</t>
  </si>
  <si>
    <t>109</t>
  </si>
  <si>
    <t>110</t>
  </si>
  <si>
    <t>111</t>
  </si>
  <si>
    <t>112</t>
  </si>
  <si>
    <t>309</t>
  </si>
  <si>
    <t>310</t>
  </si>
  <si>
    <t>311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</si>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</sst>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m/yy\ h:mm;@"/>
    <numFmt numFmtId="165" formatCode="0.0%"/>
    <numFmt numFmtId="166" formatCode="0.0"/>
    <numFmt numFmtId="167" formatCode="0.000"/>
    <numFmt numFmtId="169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Aptos Narrow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rial"/>
      <family val="2"/>
    </font>
    <font>
      <b/>
      <sz val="8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3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0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9" xfId="0" applyNumberFormat="1" applyBorder="1"/>
    <xf numFmtId="2" fontId="0" fillId="0" borderId="10" xfId="0" applyNumberFormat="1" applyBorder="1"/>
    <xf numFmtId="11" fontId="0" fillId="0" borderId="9" xfId="0" applyNumberFormat="1" applyBorder="1"/>
    <xf numFmtId="11" fontId="0" fillId="0" borderId="0" xfId="0" applyNumberFormat="1"/>
    <xf numFmtId="165" fontId="3" fillId="0" borderId="11" xfId="1" applyNumberFormat="1" applyFont="1" applyBorder="1"/>
    <xf numFmtId="165" fontId="3" fillId="0" borderId="10" xfId="1" applyNumberFormat="1" applyFont="1" applyBorder="1"/>
    <xf numFmtId="11" fontId="0" fillId="0" borderId="12" xfId="0" applyNumberFormat="1" applyBorder="1"/>
    <xf numFmtId="0" fontId="0" fillId="0" borderId="9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0" xfId="0" applyAlignment="1">
      <alignment horizontal="center"/>
    </xf>
    <xf numFmtId="0" fontId="4" fillId="0" borderId="16" xfId="3" applyFont="1" applyBorder="1" applyAlignment="1">
      <alignment horizontal="left" vertical="top"/>
    </xf>
    <xf numFmtId="0" fontId="4" fillId="0" borderId="17" xfId="3" applyFont="1" applyBorder="1" applyAlignment="1">
      <alignment vertical="top"/>
    </xf>
    <xf numFmtId="0" fontId="4" fillId="0" borderId="17" xfId="3" applyFont="1" applyBorder="1"/>
    <xf numFmtId="0" fontId="4" fillId="0" borderId="0" xfId="3" applyFont="1" applyAlignment="1">
      <alignment horizontal="right" vertical="top"/>
    </xf>
    <xf numFmtId="0" fontId="1" fillId="0" borderId="0" xfId="3" applyAlignment="1">
      <alignment vertical="top"/>
    </xf>
    <xf numFmtId="0" fontId="5" fillId="0" borderId="0" xfId="3" applyFont="1"/>
    <xf numFmtId="0" fontId="1" fillId="0" borderId="0" xfId="3"/>
    <xf numFmtId="14" fontId="1" fillId="0" borderId="0" xfId="3" applyNumberFormat="1" applyAlignment="1">
      <alignment horizontal="right" vertical="top"/>
    </xf>
    <xf numFmtId="0" fontId="0" fillId="0" borderId="0" xfId="3" applyFont="1" applyAlignment="1">
      <alignment vertical="top"/>
    </xf>
    <xf numFmtId="0" fontId="0" fillId="0" borderId="0" xfId="3" applyFont="1" applyAlignment="1">
      <alignment horizontal="right"/>
    </xf>
    <xf numFmtId="0" fontId="0" fillId="0" borderId="0" xfId="3" applyFont="1"/>
    <xf numFmtId="0" fontId="1" fillId="3" borderId="21" xfId="3" applyFill="1" applyBorder="1"/>
    <xf numFmtId="0" fontId="1" fillId="3" borderId="0" xfId="3" applyFill="1"/>
    <xf numFmtId="0" fontId="1" fillId="3" borderId="22" xfId="3" applyFill="1" applyBorder="1"/>
    <xf numFmtId="0" fontId="1" fillId="3" borderId="23" xfId="3" applyFill="1" applyBorder="1"/>
    <xf numFmtId="166" fontId="1" fillId="3" borderId="24" xfId="3" applyNumberFormat="1" applyFill="1" applyBorder="1"/>
    <xf numFmtId="0" fontId="0" fillId="3" borderId="24" xfId="3" applyFont="1" applyFill="1" applyBorder="1"/>
    <xf numFmtId="0" fontId="1" fillId="3" borderId="25" xfId="3" applyFill="1" applyBorder="1"/>
    <xf numFmtId="0" fontId="1" fillId="0" borderId="0" xfId="3" applyAlignment="1">
      <alignment horizontal="right" vertical="top"/>
    </xf>
    <xf numFmtId="0" fontId="4" fillId="0" borderId="0" xfId="3" quotePrefix="1" applyFont="1" applyAlignment="1">
      <alignment horizontal="right" vertical="top"/>
    </xf>
    <xf numFmtId="0" fontId="6" fillId="0" borderId="0" xfId="3" applyFont="1"/>
    <xf numFmtId="11" fontId="1" fillId="0" borderId="0" xfId="3" applyNumberFormat="1"/>
    <xf numFmtId="165" fontId="1" fillId="0" borderId="0" xfId="1" applyNumberFormat="1"/>
    <xf numFmtId="0" fontId="0" fillId="0" borderId="0" xfId="3" applyFont="1" applyAlignment="1">
      <alignment horizontal="left"/>
    </xf>
    <xf numFmtId="0" fontId="6" fillId="3" borderId="26" xfId="3" applyFont="1" applyFill="1" applyBorder="1" applyAlignment="1">
      <alignment vertical="top"/>
    </xf>
    <xf numFmtId="0" fontId="0" fillId="3" borderId="27" xfId="3" applyFont="1" applyFill="1" applyBorder="1" applyAlignment="1">
      <alignment vertical="top"/>
    </xf>
    <xf numFmtId="14" fontId="0" fillId="3" borderId="21" xfId="0" applyNumberFormat="1" applyFill="1" applyBorder="1"/>
    <xf numFmtId="2" fontId="0" fillId="3" borderId="22" xfId="0" applyNumberFormat="1" applyFill="1" applyBorder="1"/>
    <xf numFmtId="14" fontId="0" fillId="3" borderId="23" xfId="0" applyNumberFormat="1" applyFill="1" applyBorder="1"/>
    <xf numFmtId="2" fontId="0" fillId="3" borderId="25" xfId="0" applyNumberFormat="1" applyFill="1" applyBorder="1"/>
    <xf numFmtId="165" fontId="0" fillId="3" borderId="22" xfId="0" applyNumberFormat="1" applyFill="1" applyBorder="1"/>
    <xf numFmtId="165" fontId="0" fillId="3" borderId="25" xfId="0" applyNumberFormat="1" applyFill="1" applyBorder="1"/>
    <xf numFmtId="0" fontId="2" fillId="2" borderId="1" xfId="2"/>
    <xf numFmtId="0" fontId="2" fillId="2" borderId="1" xfId="2" applyAlignment="1">
      <alignment horizontal="right"/>
    </xf>
    <xf numFmtId="1" fontId="2" fillId="2" borderId="1" xfId="2" applyNumberFormat="1"/>
    <xf numFmtId="0" fontId="2" fillId="2" borderId="1" xfId="2" applyAlignment="1">
      <alignment horizontal="center"/>
    </xf>
    <xf numFmtId="0" fontId="7" fillId="0" borderId="28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65" fontId="0" fillId="0" borderId="0" xfId="0" applyNumberFormat="1"/>
    <xf numFmtId="2" fontId="0" fillId="0" borderId="0" xfId="0" applyNumberFormat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" fontId="0" fillId="0" borderId="0" xfId="0" applyNumberFormat="1"/>
    <xf numFmtId="0" fontId="11" fillId="0" borderId="0" xfId="0" applyFont="1"/>
    <xf numFmtId="0" fontId="14" fillId="0" borderId="0" xfId="0" applyFont="1"/>
    <xf numFmtId="0" fontId="0" fillId="0" borderId="0" xfId="0" applyProtection="1">
      <protection locked="0"/>
    </xf>
    <xf numFmtId="0" fontId="11" fillId="0" borderId="0" xfId="0" applyFont="1" applyProtection="1">
      <protection locked="0"/>
    </xf>
    <xf numFmtId="11" fontId="11" fillId="0" borderId="0" xfId="0" applyNumberFormat="1" applyFont="1" applyProtection="1">
      <protection locked="0"/>
    </xf>
    <xf numFmtId="14" fontId="11" fillId="0" borderId="0" xfId="0" applyNumberFormat="1" applyFont="1" applyProtection="1">
      <protection locked="0"/>
    </xf>
    <xf numFmtId="0" fontId="10" fillId="0" borderId="0" xfId="0" applyFont="1"/>
    <xf numFmtId="0" fontId="13" fillId="0" borderId="0" xfId="0" applyFont="1"/>
    <xf numFmtId="0" fontId="16" fillId="0" borderId="35" xfId="0" applyFont="1" applyBorder="1" applyAlignment="1">
      <alignment horizontal="center"/>
    </xf>
    <xf numFmtId="0" fontId="0" fillId="0" borderId="35" xfId="0" applyBorder="1" applyAlignment="1">
      <alignment horizontal="center" wrapText="1"/>
    </xf>
    <xf numFmtId="0" fontId="0" fillId="0" borderId="36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37" xfId="0" applyBorder="1" applyAlignment="1">
      <alignment wrapText="1"/>
    </xf>
    <xf numFmtId="0" fontId="1" fillId="4" borderId="0" xfId="4"/>
    <xf numFmtId="0" fontId="1" fillId="4" borderId="35" xfId="4" applyBorder="1" applyAlignment="1">
      <alignment horizontal="center"/>
    </xf>
    <xf numFmtId="0" fontId="1" fillId="5" borderId="35" xfId="5" applyBorder="1" applyAlignment="1">
      <alignment horizontal="center"/>
    </xf>
    <xf numFmtId="0" fontId="1" fillId="5" borderId="0" xfId="5"/>
    <xf numFmtId="0" fontId="17" fillId="0" borderId="0" xfId="0" applyFont="1" applyAlignment="1">
      <alignment horizontal="left" vertical="top" wrapText="1"/>
    </xf>
    <xf numFmtId="0" fontId="0" fillId="4" borderId="0" xfId="4" applyFont="1"/>
    <xf numFmtId="0" fontId="0" fillId="5" borderId="35" xfId="5" applyFont="1" applyBorder="1" applyAlignment="1">
      <alignment horizontal="center"/>
    </xf>
    <xf numFmtId="0" fontId="1" fillId="4" borderId="0" xfId="4" applyAlignment="1">
      <alignment wrapText="1"/>
    </xf>
    <xf numFmtId="0" fontId="1" fillId="4" borderId="35" xfId="4" applyBorder="1" applyAlignment="1">
      <alignment horizontal="center" wrapText="1"/>
    </xf>
    <xf numFmtId="9" fontId="0" fillId="0" borderId="0" xfId="1" applyFont="1"/>
    <xf numFmtId="0" fontId="7" fillId="0" borderId="0" xfId="0" applyFont="1"/>
    <xf numFmtId="167" fontId="0" fillId="0" borderId="0" xfId="0" applyNumberFormat="1"/>
    <xf numFmtId="14" fontId="0" fillId="0" borderId="0" xfId="3" applyNumberFormat="1" applyFont="1" applyAlignment="1">
      <alignment horizontal="right" vertical="top"/>
    </xf>
    <xf numFmtId="0" fontId="0" fillId="0" borderId="0" xfId="1" applyNumberFormat="1" applyFont="1"/>
    <xf numFmtId="167" fontId="9" fillId="0" borderId="0" xfId="0" applyNumberFormat="1" applyFont="1" applyAlignment="1">
      <alignment horizontal="left" vertical="top" wrapText="1"/>
    </xf>
    <xf numFmtId="3" fontId="0" fillId="0" borderId="0" xfId="0" applyNumberFormat="1"/>
    <xf numFmtId="0" fontId="0" fillId="3" borderId="18" xfId="3" applyFont="1" applyFill="1" applyBorder="1" applyAlignment="1">
      <alignment horizontal="center"/>
    </xf>
    <xf numFmtId="0" fontId="0" fillId="3" borderId="19" xfId="3" applyFont="1" applyFill="1" applyBorder="1" applyAlignment="1">
      <alignment horizontal="center"/>
    </xf>
    <xf numFmtId="0" fontId="0" fillId="3" borderId="20" xfId="3" applyFont="1" applyFill="1" applyBorder="1" applyAlignment="1">
      <alignment horizontal="center"/>
    </xf>
    <xf numFmtId="0" fontId="0" fillId="3" borderId="18" xfId="3" applyFont="1" applyFill="1" applyBorder="1" applyAlignment="1">
      <alignment horizontal="center" vertical="top"/>
    </xf>
    <xf numFmtId="0" fontId="0" fillId="3" borderId="20" xfId="3" applyFont="1" applyFill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7" fillId="0" borderId="0" xfId="0" applyFont="1" applyAlignment="1">
      <alignment horizontal="left" vertical="top" wrapText="1"/>
    </xf>
    <xf numFmtId="169" fontId="0" fillId="0" borderId="0" xfId="0" applyNumberFormat="1"/>
  </cellXfs>
  <cellStyles count="6">
    <cellStyle name="20% - Accent1" xfId="4" builtinId="30"/>
    <cellStyle name="40% - Accent1" xfId="5" builtinId="31"/>
    <cellStyle name="Check Cell" xfId="2" builtinId="23"/>
    <cellStyle name="Normal" xfId="0" builtinId="0"/>
    <cellStyle name="Normal 2 2" xfId="3" xr:uid="{0B60E7A2-CA3F-4132-932E-A9EE041BD7F9}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</a:t>
            </a:r>
            <a:r>
              <a:rPr lang="en-US" baseline="0"/>
              <a:t> count and viability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85787401574803"/>
          <c:y val="0.12729310024854826"/>
          <c:w val="0.76222165354330706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CellCount_Viability!$E$1</c:f>
              <c:strCache>
                <c:ptCount val="1"/>
                <c:pt idx="0">
                  <c:v>1 Total cells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CellCount_Viability!$E$2:$E$21</c:f>
              <c:numCache>
                <c:formatCode>0.00E+00</c:formatCode>
                <c:ptCount val="20"/>
                <c:pt idx="0">
                  <c:v>4862000</c:v>
                </c:pt>
                <c:pt idx="1">
                  <c:v>14175000</c:v>
                </c:pt>
                <c:pt idx="2">
                  <c:v>32590800</c:v>
                </c:pt>
                <c:pt idx="3">
                  <c:v>40902000</c:v>
                </c:pt>
                <c:pt idx="4">
                  <c:v>38494000</c:v>
                </c:pt>
                <c:pt idx="5">
                  <c:v>37886800</c:v>
                </c:pt>
                <c:pt idx="6">
                  <c:v>15606000</c:v>
                </c:pt>
                <c:pt idx="7">
                  <c:v>5220800</c:v>
                </c:pt>
                <c:pt idx="8">
                  <c:v>2475000</c:v>
                </c:pt>
                <c:pt idx="9">
                  <c:v>2310800</c:v>
                </c:pt>
                <c:pt idx="10">
                  <c:v>1710000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 formatCode="General">
                  <c:v>#N/A</c:v>
                </c:pt>
                <c:pt idx="16" formatCode="General">
                  <c:v>#N/A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B-43DA-92AA-0543BD8E43DB}"/>
            </c:ext>
          </c:extLst>
        </c:ser>
        <c:ser>
          <c:idx val="2"/>
          <c:order val="1"/>
          <c:tx>
            <c:strRef>
              <c:f>CellCount_Viability!$H$1</c:f>
              <c:strCache>
                <c:ptCount val="1"/>
                <c:pt idx="0">
                  <c:v>2 Total cells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CellCount_Viability!$H$2:$H$21</c:f>
              <c:numCache>
                <c:formatCode>0.00E+00</c:formatCode>
                <c:ptCount val="20"/>
                <c:pt idx="0">
                  <c:v>4732200</c:v>
                </c:pt>
                <c:pt idx="1">
                  <c:v>13974000</c:v>
                </c:pt>
                <c:pt idx="2">
                  <c:v>31570000.000000004</c:v>
                </c:pt>
                <c:pt idx="3">
                  <c:v>43804800</c:v>
                </c:pt>
                <c:pt idx="4">
                  <c:v>40986000</c:v>
                </c:pt>
                <c:pt idx="5">
                  <c:v>37788800</c:v>
                </c:pt>
                <c:pt idx="6">
                  <c:v>10925000</c:v>
                </c:pt>
                <c:pt idx="7">
                  <c:v>5777000</c:v>
                </c:pt>
                <c:pt idx="8">
                  <c:v>2998800</c:v>
                </c:pt>
                <c:pt idx="9">
                  <c:v>2415000</c:v>
                </c:pt>
                <c:pt idx="10">
                  <c:v>1900000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 formatCode="General">
                  <c:v>#N/A</c:v>
                </c:pt>
                <c:pt idx="16" formatCode="General">
                  <c:v>#N/A</c:v>
                </c:pt>
                <c:pt idx="17" formatCode="General">
                  <c:v>#N/A</c:v>
                </c:pt>
                <c:pt idx="18" formatCode="General">
                  <c:v>#N/A</c:v>
                </c:pt>
                <c:pt idx="19" formatCode="General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3B-43DA-92AA-0543BD8E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scatterChart>
        <c:scatterStyle val="lineMarker"/>
        <c:varyColors val="0"/>
        <c:ser>
          <c:idx val="1"/>
          <c:order val="2"/>
          <c:tx>
            <c:strRef>
              <c:f>CellCount_Viability!$F$1</c:f>
              <c:strCache>
                <c:ptCount val="1"/>
                <c:pt idx="0">
                  <c:v>1 Viability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CellCount_Viability!$F$2:$F$21</c:f>
              <c:numCache>
                <c:formatCode>0.0%</c:formatCode>
                <c:ptCount val="20"/>
                <c:pt idx="0">
                  <c:v>0.9979432332373509</c:v>
                </c:pt>
                <c:pt idx="1">
                  <c:v>0.99858906525573188</c:v>
                </c:pt>
                <c:pt idx="2">
                  <c:v>0.99907949482676095</c:v>
                </c:pt>
                <c:pt idx="3">
                  <c:v>0.99902205271135891</c:v>
                </c:pt>
                <c:pt idx="4">
                  <c:v>0.99870109627474413</c:v>
                </c:pt>
                <c:pt idx="5">
                  <c:v>0.99841633497682569</c:v>
                </c:pt>
                <c:pt idx="6">
                  <c:v>0.99551454568755604</c:v>
                </c:pt>
                <c:pt idx="7">
                  <c:v>0.98467667790376956</c:v>
                </c:pt>
                <c:pt idx="8">
                  <c:v>0.96363636363636362</c:v>
                </c:pt>
                <c:pt idx="9">
                  <c:v>0.95672494374242689</c:v>
                </c:pt>
                <c:pt idx="10">
                  <c:v>0.93567251461988299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B-43DA-92AA-0543BD8E43DB}"/>
            </c:ext>
          </c:extLst>
        </c:ser>
        <c:ser>
          <c:idx val="3"/>
          <c:order val="3"/>
          <c:tx>
            <c:strRef>
              <c:f>CellCount_Viability!$I$1</c:f>
              <c:strCache>
                <c:ptCount val="1"/>
                <c:pt idx="0">
                  <c:v>2 Viability (%)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CellCount_Viability!$B$2:$B$21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CellCount_Viability!$I$2:$I$21</c:f>
              <c:numCache>
                <c:formatCode>0.0%</c:formatCode>
                <c:ptCount val="20"/>
                <c:pt idx="0">
                  <c:v>0.99788681797049994</c:v>
                </c:pt>
                <c:pt idx="1">
                  <c:v>0.99856877057392301</c:v>
                </c:pt>
                <c:pt idx="2">
                  <c:v>0.99904973075704784</c:v>
                </c:pt>
                <c:pt idx="3">
                  <c:v>0.999086858061217</c:v>
                </c:pt>
                <c:pt idx="4">
                  <c:v>0.99878007124383938</c:v>
                </c:pt>
                <c:pt idx="5">
                  <c:v>0.99841222796172413</c:v>
                </c:pt>
                <c:pt idx="6">
                  <c:v>0.9935926773455378</c:v>
                </c:pt>
                <c:pt idx="7">
                  <c:v>0.98615198199757659</c:v>
                </c:pt>
                <c:pt idx="8">
                  <c:v>0.96998799519807921</c:v>
                </c:pt>
                <c:pt idx="9">
                  <c:v>0.95859213250517594</c:v>
                </c:pt>
                <c:pt idx="10">
                  <c:v>0.94210526315789478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3B-43DA-92AA-0543BD8E4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160159"/>
        <c:axId val="186515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Cell count (cells/mL)</a:t>
                </a:r>
              </a:p>
            </c:rich>
          </c:tx>
          <c:layout>
            <c:manualLayout>
              <c:xMode val="edge"/>
              <c:yMode val="edge"/>
              <c:x val="1.3692519685039367E-2"/>
              <c:y val="0.336018904977449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  <c:valAx>
        <c:axId val="1865157279"/>
        <c:scaling>
          <c:orientation val="minMax"/>
          <c:max val="1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865160159"/>
        <c:crosses val="max"/>
        <c:crossBetween val="midCat"/>
      </c:valAx>
      <c:valAx>
        <c:axId val="1865160159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1865157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158356250344371"/>
          <c:y val="0.3321889501051985"/>
          <c:w val="0.1478012096079051"/>
          <c:h val="0.232259461968189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Attenuation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900264550264572E-2"/>
          <c:y val="0.12729310024854826"/>
          <c:w val="0.79917936507936504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Attenuation!$D$1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Attenuation!$B$3:$B$22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 formatCode="0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Attenuation!$D$3:$D$22</c:f>
              <c:numCache>
                <c:formatCode>General</c:formatCode>
                <c:ptCount val="20"/>
                <c:pt idx="0">
                  <c:v>17.3</c:v>
                </c:pt>
                <c:pt idx="1">
                  <c:v>16.5</c:v>
                </c:pt>
                <c:pt idx="2">
                  <c:v>13.959</c:v>
                </c:pt>
                <c:pt idx="3">
                  <c:v>12.138</c:v>
                </c:pt>
                <c:pt idx="4">
                  <c:v>8.7399999999999984</c:v>
                </c:pt>
                <c:pt idx="5">
                  <c:v>6.8599999999999994</c:v>
                </c:pt>
                <c:pt idx="6">
                  <c:v>4.9980000000000002</c:v>
                </c:pt>
                <c:pt idx="7">
                  <c:v>4.7839999999999998</c:v>
                </c:pt>
                <c:pt idx="8">
                  <c:v>4.3559999999999999</c:v>
                </c:pt>
                <c:pt idx="9">
                  <c:v>4.7960000000000012</c:v>
                </c:pt>
                <c:pt idx="10">
                  <c:v>4.085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35-4968-92CB-52DF8AF0A87A}"/>
            </c:ext>
          </c:extLst>
        </c:ser>
        <c:ser>
          <c:idx val="2"/>
          <c:order val="1"/>
          <c:tx>
            <c:strRef>
              <c:f>Attenuation!$E$1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Attenuation!$B$3:$B$22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 formatCode="0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Attenuation!$E$3:$E$22</c:f>
              <c:numCache>
                <c:formatCode>General</c:formatCode>
                <c:ptCount val="20"/>
                <c:pt idx="0">
                  <c:v>17.126999999999999</c:v>
                </c:pt>
                <c:pt idx="1">
                  <c:v>17.033999999999999</c:v>
                </c:pt>
                <c:pt idx="2">
                  <c:v>15.290000000000001</c:v>
                </c:pt>
                <c:pt idx="3">
                  <c:v>12.376000000000001</c:v>
                </c:pt>
                <c:pt idx="4">
                  <c:v>9.1079999999999988</c:v>
                </c:pt>
                <c:pt idx="5">
                  <c:v>6.8599999999999994</c:v>
                </c:pt>
                <c:pt idx="6">
                  <c:v>4.6550000000000002</c:v>
                </c:pt>
                <c:pt idx="7">
                  <c:v>4.9050000000000002</c:v>
                </c:pt>
                <c:pt idx="8">
                  <c:v>4.3860000000000001</c:v>
                </c:pt>
                <c:pt idx="9">
                  <c:v>4.5149999999999997</c:v>
                </c:pt>
                <c:pt idx="10">
                  <c:v>3.9899999999999998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35-4968-92CB-52DF8AF0A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Attenuation</a:t>
                </a:r>
                <a:r>
                  <a:rPr lang="nl-NL" sz="1200" baseline="0"/>
                  <a:t> (</a:t>
                </a:r>
                <a:r>
                  <a:rPr lang="nl-NL" sz="1200" baseline="0">
                    <a:latin typeface="Arial" panose="020B0604020202020204" pitchFamily="34" charset="0"/>
                    <a:cs typeface="Arial" panose="020B0604020202020204" pitchFamily="34" charset="0"/>
                  </a:rPr>
                  <a:t>°P)</a:t>
                </a:r>
                <a:endParaRPr lang="nl-NL" sz="1200"/>
              </a:p>
            </c:rich>
          </c:tx>
          <c:layout>
            <c:manualLayout>
              <c:xMode val="edge"/>
              <c:yMode val="edge"/>
              <c:x val="1.7052211436161424E-2"/>
              <c:y val="0.310596337142572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165436438969913"/>
          <c:y val="0.11344112568321607"/>
          <c:w val="8.5781651655025215E-2"/>
          <c:h val="0.21776033564996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</a:t>
            </a:r>
          </a:p>
        </c:rich>
      </c:tx>
      <c:layout>
        <c:manualLayout>
          <c:xMode val="edge"/>
          <c:yMode val="edge"/>
          <c:x val="0.44326986050546491"/>
          <c:y val="2.11480152920687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900264550264572E-2"/>
          <c:y val="0.12729310024854826"/>
          <c:w val="0.79917936507936504"/>
          <c:h val="0.73797192912814114"/>
        </c:manualLayout>
      </c:layout>
      <c:scatterChart>
        <c:scatterStyle val="lineMarker"/>
        <c:varyColors val="0"/>
        <c:ser>
          <c:idx val="0"/>
          <c:order val="0"/>
          <c:tx>
            <c:strRef>
              <c:f>pH!$D$1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pH!$B$3:$B$22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pH!$D$3:$D$22</c:f>
              <c:numCache>
                <c:formatCode>General</c:formatCode>
                <c:ptCount val="20"/>
                <c:pt idx="0">
                  <c:v>5.5330000000000004</c:v>
                </c:pt>
                <c:pt idx="1">
                  <c:v>4.76</c:v>
                </c:pt>
                <c:pt idx="2">
                  <c:v>4.4747999999999992</c:v>
                </c:pt>
                <c:pt idx="3">
                  <c:v>4.4880000000000004</c:v>
                </c:pt>
                <c:pt idx="4">
                  <c:v>4.0944999999999991</c:v>
                </c:pt>
                <c:pt idx="5">
                  <c:v>4.1845999999999997</c:v>
                </c:pt>
                <c:pt idx="6">
                  <c:v>4.3452000000000002</c:v>
                </c:pt>
                <c:pt idx="7">
                  <c:v>4.4824000000000002</c:v>
                </c:pt>
                <c:pt idx="8">
                  <c:v>4.2668999999999997</c:v>
                </c:pt>
                <c:pt idx="9">
                  <c:v>4.7305999999999999</c:v>
                </c:pt>
                <c:pt idx="10">
                  <c:v>4.1420000000000003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B7-40EA-9E86-D7304B6916CA}"/>
            </c:ext>
          </c:extLst>
        </c:ser>
        <c:ser>
          <c:idx val="2"/>
          <c:order val="1"/>
          <c:tx>
            <c:strRef>
              <c:f>pH!$E$1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pH!$B$3:$B$22</c:f>
              <c:numCache>
                <c:formatCode>General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pH!$E$3:$E$22</c:f>
              <c:numCache>
                <c:formatCode>General</c:formatCode>
                <c:ptCount val="20"/>
                <c:pt idx="0">
                  <c:v>4.9697999999999993</c:v>
                </c:pt>
                <c:pt idx="1">
                  <c:v>4.8756000000000004</c:v>
                </c:pt>
                <c:pt idx="2">
                  <c:v>4.9830000000000005</c:v>
                </c:pt>
                <c:pt idx="3">
                  <c:v>4.6176000000000004</c:v>
                </c:pt>
                <c:pt idx="4">
                  <c:v>4.2768000000000006</c:v>
                </c:pt>
                <c:pt idx="5">
                  <c:v>4.1845999999999997</c:v>
                </c:pt>
                <c:pt idx="6">
                  <c:v>4.0469999999999997</c:v>
                </c:pt>
                <c:pt idx="7">
                  <c:v>4.6870000000000003</c:v>
                </c:pt>
                <c:pt idx="8">
                  <c:v>4.4268000000000001</c:v>
                </c:pt>
                <c:pt idx="9">
                  <c:v>4.5570000000000004</c:v>
                </c:pt>
                <c:pt idx="10">
                  <c:v>4.1324999999999994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B7-40EA-9E86-D7304B691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624879"/>
        <c:axId val="1376627279"/>
      </c:scatterChart>
      <c:valAx>
        <c:axId val="137662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46114370078740158"/>
              <c:y val="0.9276073107683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7279"/>
        <c:crosses val="autoZero"/>
        <c:crossBetween val="midCat"/>
      </c:valAx>
      <c:valAx>
        <c:axId val="1376627279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pH</a:t>
                </a:r>
              </a:p>
            </c:rich>
          </c:tx>
          <c:layout>
            <c:manualLayout>
              <c:xMode val="edge"/>
              <c:yMode val="edge"/>
              <c:x val="2.0413467296119734E-2"/>
              <c:y val="0.4621571253130919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76624879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5165436438969913"/>
          <c:y val="0.11344112568321607"/>
          <c:w val="0.11269383714269632"/>
          <c:h val="0.217760335649965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Cone viability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7057866790510984"/>
          <c:y val="0.15782407407407409"/>
          <c:w val="0.72226049868766407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Cone_viability!$D$1</c:f>
              <c:strCache>
                <c:ptCount val="1"/>
                <c:pt idx="0">
                  <c:v>1 Viability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Cone_viability!$F$2</c:f>
                <c:numCache>
                  <c:formatCode>General</c:formatCode>
                  <c:ptCount val="1"/>
                  <c:pt idx="0">
                    <c:v>1.8067555350234819E-2</c:v>
                  </c:pt>
                </c:numCache>
              </c:numRef>
            </c:plus>
            <c:minus>
              <c:numRef>
                <c:f>Cone_viability!$F$2</c:f>
                <c:numCache>
                  <c:formatCode>General</c:formatCode>
                  <c:ptCount val="1"/>
                  <c:pt idx="0">
                    <c:v>1.8067555350234819E-2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Cone_viability!$E$2</c:f>
              <c:numCache>
                <c:formatCode>0.0%</c:formatCode>
                <c:ptCount val="1"/>
                <c:pt idx="0">
                  <c:v>0.91571373755569263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2-4D27-AAE1-DB7E340A5B15}"/>
            </c:ext>
          </c:extLst>
        </c:ser>
        <c:ser>
          <c:idx val="1"/>
          <c:order val="1"/>
          <c:tx>
            <c:strRef>
              <c:f>Cone_viability!$I$1</c:f>
              <c:strCache>
                <c:ptCount val="1"/>
                <c:pt idx="0">
                  <c:v>2 Viability 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Cone_viability!$K$2</c:f>
                <c:numCache>
                  <c:formatCode>General</c:formatCode>
                  <c:ptCount val="1"/>
                  <c:pt idx="0">
                    <c:v>3.5961174321029257E-2</c:v>
                  </c:pt>
                </c:numCache>
              </c:numRef>
            </c:plus>
            <c:minus>
              <c:numRef>
                <c:f>Cone_viability!$K$2</c:f>
                <c:numCache>
                  <c:formatCode>General</c:formatCode>
                  <c:ptCount val="1"/>
                  <c:pt idx="0">
                    <c:v>3.5961174321029257E-2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Cone_viability!$J$2</c:f>
              <c:numCache>
                <c:formatCode>0.0%</c:formatCode>
                <c:ptCount val="1"/>
                <c:pt idx="0">
                  <c:v>0.92144058168598042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2-4D27-AAE1-DB7E340A5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4850703"/>
        <c:axId val="1324851183"/>
      </c:barChart>
      <c:catAx>
        <c:axId val="132485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851183"/>
        <c:crosses val="autoZero"/>
        <c:auto val="1"/>
        <c:lblAlgn val="ctr"/>
        <c:lblOffset val="100"/>
        <c:noMultiLvlLbl val="0"/>
      </c:catAx>
      <c:valAx>
        <c:axId val="13248511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2485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681386701662285"/>
          <c:y val="1.0045567220764046E-2"/>
          <c:w val="0.17845667878877597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Metabolites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7200008100839248"/>
          <c:h val="0.7278177385367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HPLC!$D$1</c:f>
              <c:strCache>
                <c:ptCount val="1"/>
                <c:pt idx="0">
                  <c:v>1 Maltotriose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HPLC!$P$2:$P$15</c:f>
                <c:numCache>
                  <c:formatCode>General</c:formatCode>
                  <c:ptCount val="14"/>
                  <c:pt idx="0">
                    <c:v>1.7325745811625923</c:v>
                  </c:pt>
                  <c:pt idx="1">
                    <c:v>1.3496362694640205</c:v>
                  </c:pt>
                  <c:pt idx="2">
                    <c:v>1.2011409066798366</c:v>
                  </c:pt>
                  <c:pt idx="3">
                    <c:v>0.24549942942008451</c:v>
                  </c:pt>
                  <c:pt idx="4">
                    <c:v>0.75552862025041456</c:v>
                  </c:pt>
                  <c:pt idx="5">
                    <c:v>0.14154166217400493</c:v>
                  </c:pt>
                  <c:pt idx="6">
                    <c:v>1.0833229761887959</c:v>
                  </c:pt>
                  <c:pt idx="7">
                    <c:v>0.40071887252463934</c:v>
                  </c:pt>
                  <c:pt idx="8">
                    <c:v>0.9291803320689942</c:v>
                  </c:pt>
                  <c:pt idx="9">
                    <c:v>0.32653897685176309</c:v>
                  </c:pt>
                  <c:pt idx="10">
                    <c:v>0.94419916221892153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HPLC!$P$2:$P$15</c:f>
                <c:numCache>
                  <c:formatCode>General</c:formatCode>
                  <c:ptCount val="14"/>
                  <c:pt idx="0">
                    <c:v>1.7325745811625923</c:v>
                  </c:pt>
                  <c:pt idx="1">
                    <c:v>1.3496362694640205</c:v>
                  </c:pt>
                  <c:pt idx="2">
                    <c:v>1.2011409066798366</c:v>
                  </c:pt>
                  <c:pt idx="3">
                    <c:v>0.24549942942008451</c:v>
                  </c:pt>
                  <c:pt idx="4">
                    <c:v>0.75552862025041456</c:v>
                  </c:pt>
                  <c:pt idx="5">
                    <c:v>0.14154166217400493</c:v>
                  </c:pt>
                  <c:pt idx="6">
                    <c:v>1.0833229761887959</c:v>
                  </c:pt>
                  <c:pt idx="7">
                    <c:v>0.40071887252463934</c:v>
                  </c:pt>
                  <c:pt idx="8">
                    <c:v>0.9291803320689942</c:v>
                  </c:pt>
                  <c:pt idx="9">
                    <c:v>0.32653897685176309</c:v>
                  </c:pt>
                  <c:pt idx="10">
                    <c:v>0.94419916221892153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HPLC!$D$2:$D$21</c:f>
              <c:numCache>
                <c:formatCode>General</c:formatCode>
                <c:ptCount val="20"/>
                <c:pt idx="0">
                  <c:v>28.167500235251506</c:v>
                </c:pt>
                <c:pt idx="1">
                  <c:v>29.152836958273323</c:v>
                </c:pt>
                <c:pt idx="2">
                  <c:v>25.939240119726129</c:v>
                </c:pt>
                <c:pt idx="3">
                  <c:v>26.198905688679631</c:v>
                </c:pt>
                <c:pt idx="4">
                  <c:v>25.586739410759584</c:v>
                </c:pt>
                <c:pt idx="5">
                  <c:v>23.148414930856347</c:v>
                </c:pt>
                <c:pt idx="6">
                  <c:v>20.857525022678296</c:v>
                </c:pt>
                <c:pt idx="7">
                  <c:v>18.8733510321116</c:v>
                </c:pt>
                <c:pt idx="8">
                  <c:v>17.283970286248845</c:v>
                </c:pt>
                <c:pt idx="9">
                  <c:v>17.490102075146403</c:v>
                </c:pt>
                <c:pt idx="10">
                  <c:v>18.146649630395657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A-4FEB-823E-BDC8E60082F8}"/>
            </c:ext>
          </c:extLst>
        </c:ser>
        <c:ser>
          <c:idx val="1"/>
          <c:order val="1"/>
          <c:tx>
            <c:strRef>
              <c:f>HPLC!$E$1</c:f>
              <c:strCache>
                <c:ptCount val="1"/>
                <c:pt idx="0">
                  <c:v>1 Maltose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HPLC!$Q$2:$Q$15</c:f>
                <c:numCache>
                  <c:formatCode>General</c:formatCode>
                  <c:ptCount val="14"/>
                  <c:pt idx="0">
                    <c:v>0.97230248321634882</c:v>
                  </c:pt>
                  <c:pt idx="1">
                    <c:v>1.9664266518300959</c:v>
                  </c:pt>
                  <c:pt idx="2">
                    <c:v>4.1865594244121498</c:v>
                  </c:pt>
                  <c:pt idx="3">
                    <c:v>1.6444390719927535</c:v>
                  </c:pt>
                  <c:pt idx="4">
                    <c:v>1.3022919867789766</c:v>
                  </c:pt>
                  <c:pt idx="5">
                    <c:v>1.3292025051389744</c:v>
                  </c:pt>
                  <c:pt idx="6">
                    <c:v>0.24098644866731614</c:v>
                  </c:pt>
                  <c:pt idx="7">
                    <c:v>0.18560954556957715</c:v>
                  </c:pt>
                  <c:pt idx="8">
                    <c:v>4.3201040440518201E-2</c:v>
                  </c:pt>
                  <c:pt idx="9">
                    <c:v>2.6557699394427946E-2</c:v>
                  </c:pt>
                  <c:pt idx="10">
                    <c:v>0.1130726097512775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HPLC!$Q$2:$Q$15</c:f>
                <c:numCache>
                  <c:formatCode>General</c:formatCode>
                  <c:ptCount val="14"/>
                  <c:pt idx="0">
                    <c:v>0.97230248321634882</c:v>
                  </c:pt>
                  <c:pt idx="1">
                    <c:v>1.9664266518300959</c:v>
                  </c:pt>
                  <c:pt idx="2">
                    <c:v>4.1865594244121498</c:v>
                  </c:pt>
                  <c:pt idx="3">
                    <c:v>1.6444390719927535</c:v>
                  </c:pt>
                  <c:pt idx="4">
                    <c:v>1.3022919867789766</c:v>
                  </c:pt>
                  <c:pt idx="5">
                    <c:v>1.3292025051389744</c:v>
                  </c:pt>
                  <c:pt idx="6">
                    <c:v>0.24098644866731614</c:v>
                  </c:pt>
                  <c:pt idx="7">
                    <c:v>0.18560954556957715</c:v>
                  </c:pt>
                  <c:pt idx="8">
                    <c:v>4.3201040440518201E-2</c:v>
                  </c:pt>
                  <c:pt idx="9">
                    <c:v>2.6557699394427946E-2</c:v>
                  </c:pt>
                  <c:pt idx="10">
                    <c:v>0.1130726097512775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HPLC!$E$2:$E$21</c:f>
              <c:numCache>
                <c:formatCode>General</c:formatCode>
                <c:ptCount val="20"/>
                <c:pt idx="0">
                  <c:v>87.0219166792468</c:v>
                </c:pt>
                <c:pt idx="1">
                  <c:v>80.878273620215012</c:v>
                </c:pt>
                <c:pt idx="2">
                  <c:v>72.553065441157713</c:v>
                </c:pt>
                <c:pt idx="3">
                  <c:v>54.021005980945809</c:v>
                </c:pt>
                <c:pt idx="4">
                  <c:v>37.332759494936319</c:v>
                </c:pt>
                <c:pt idx="5">
                  <c:v>19.453911895046087</c:v>
                </c:pt>
                <c:pt idx="6">
                  <c:v>5.295803152026723</c:v>
                </c:pt>
                <c:pt idx="7">
                  <c:v>4.036545768325202</c:v>
                </c:pt>
                <c:pt idx="8">
                  <c:v>3.4092522513501948</c:v>
                </c:pt>
                <c:pt idx="9">
                  <c:v>3.2838208706654859</c:v>
                </c:pt>
                <c:pt idx="10">
                  <c:v>3.2796544091215885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2A-4FEB-823E-BDC8E60082F8}"/>
            </c:ext>
          </c:extLst>
        </c:ser>
        <c:ser>
          <c:idx val="2"/>
          <c:order val="2"/>
          <c:tx>
            <c:strRef>
              <c:f>HPLC!$F$1</c:f>
              <c:strCache>
                <c:ptCount val="1"/>
                <c:pt idx="0">
                  <c:v>1 Glucose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HPLC!$R$2:$R$9</c:f>
                <c:numCache>
                  <c:formatCode>General</c:formatCode>
                  <c:ptCount val="8"/>
                  <c:pt idx="0">
                    <c:v>0.41484279122065426</c:v>
                  </c:pt>
                  <c:pt idx="1">
                    <c:v>4.1445856829030431E-2</c:v>
                  </c:pt>
                  <c:pt idx="2">
                    <c:v>0.80515506239396695</c:v>
                  </c:pt>
                  <c:pt idx="3">
                    <c:v>1.3647077269352815E-2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plus>
            <c:minus>
              <c:numRef>
                <c:f>HPLC!$R$2:$R$9</c:f>
                <c:numCache>
                  <c:formatCode>General</c:formatCode>
                  <c:ptCount val="8"/>
                  <c:pt idx="0">
                    <c:v>0.41484279122065426</c:v>
                  </c:pt>
                  <c:pt idx="1">
                    <c:v>4.1445856829030431E-2</c:v>
                  </c:pt>
                  <c:pt idx="2">
                    <c:v>0.80515506239396695</c:v>
                  </c:pt>
                  <c:pt idx="3">
                    <c:v>1.3647077269352815E-2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HPLC!$F$2:$F$21</c:f>
              <c:numCache>
                <c:formatCode>General</c:formatCode>
                <c:ptCount val="20"/>
                <c:pt idx="0">
                  <c:v>20.535598150798478</c:v>
                </c:pt>
                <c:pt idx="1">
                  <c:v>15.086306646415895</c:v>
                </c:pt>
                <c:pt idx="2">
                  <c:v>13.734819395474549</c:v>
                </c:pt>
                <c:pt idx="3">
                  <c:v>3.2191000591194641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2A-4FEB-823E-BDC8E60082F8}"/>
            </c:ext>
          </c:extLst>
        </c:ser>
        <c:ser>
          <c:idx val="3"/>
          <c:order val="3"/>
          <c:tx>
            <c:strRef>
              <c:f>HPLC!$G$1</c:f>
              <c:strCache>
                <c:ptCount val="1"/>
                <c:pt idx="0">
                  <c:v>1 Fructose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HPLC!$G$2:$G$21</c:f>
              <c:numCache>
                <c:formatCode>General</c:formatCode>
                <c:ptCount val="20"/>
                <c:pt idx="0">
                  <c:v>7.9514808844787517</c:v>
                </c:pt>
                <c:pt idx="1">
                  <c:v>6.3733441014484518</c:v>
                </c:pt>
                <c:pt idx="2">
                  <c:v>6.0395718163934244</c:v>
                </c:pt>
                <c:pt idx="3">
                  <c:v>3.6071904537758637</c:v>
                </c:pt>
                <c:pt idx="4">
                  <c:v>1.8299799524956821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2A-4FEB-823E-BDC8E60082F8}"/>
            </c:ext>
          </c:extLst>
        </c:ser>
        <c:ser>
          <c:idx val="4"/>
          <c:order val="4"/>
          <c:tx>
            <c:strRef>
              <c:f>HPLC!$H$1</c:f>
              <c:strCache>
                <c:ptCount val="1"/>
                <c:pt idx="0">
                  <c:v>1 Glycerol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HPLC!$T$2:$T$15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2.4780767049936325E-2</c:v>
                  </c:pt>
                  <c:pt idx="2">
                    <c:v>6.0549912142594088E-3</c:v>
                  </c:pt>
                  <c:pt idx="3">
                    <c:v>2.2297040343796228E-2</c:v>
                  </c:pt>
                  <c:pt idx="4">
                    <c:v>0.11160266797286794</c:v>
                  </c:pt>
                  <c:pt idx="5">
                    <c:v>4.1207577177806917E-2</c:v>
                  </c:pt>
                  <c:pt idx="6">
                    <c:v>0.13084460719940119</c:v>
                  </c:pt>
                  <c:pt idx="7">
                    <c:v>4.8754689295879547E-2</c:v>
                  </c:pt>
                  <c:pt idx="8">
                    <c:v>3.337452942353842E-2</c:v>
                  </c:pt>
                  <c:pt idx="9">
                    <c:v>5.0887904103252585E-2</c:v>
                  </c:pt>
                  <c:pt idx="10">
                    <c:v>7.0140871081679587E-2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HPLC!$T$2:$T$15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2.4780767049936325E-2</c:v>
                  </c:pt>
                  <c:pt idx="2">
                    <c:v>6.0549912142594088E-3</c:v>
                  </c:pt>
                  <c:pt idx="3">
                    <c:v>2.2297040343796228E-2</c:v>
                  </c:pt>
                  <c:pt idx="4">
                    <c:v>0.11160266797286794</c:v>
                  </c:pt>
                  <c:pt idx="5">
                    <c:v>4.1207577177806917E-2</c:v>
                  </c:pt>
                  <c:pt idx="6">
                    <c:v>0.13084460719940119</c:v>
                  </c:pt>
                  <c:pt idx="7">
                    <c:v>4.8754689295879547E-2</c:v>
                  </c:pt>
                  <c:pt idx="8">
                    <c:v>3.337452942353842E-2</c:v>
                  </c:pt>
                  <c:pt idx="9">
                    <c:v>5.0887904103252585E-2</c:v>
                  </c:pt>
                  <c:pt idx="10">
                    <c:v>7.0140871081679587E-2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HPLC!$H$2:$H$21</c:f>
              <c:numCache>
                <c:formatCode>General</c:formatCode>
                <c:ptCount val="20"/>
                <c:pt idx="0">
                  <c:v>0</c:v>
                </c:pt>
                <c:pt idx="1">
                  <c:v>0.46557264842401413</c:v>
                </c:pt>
                <c:pt idx="2">
                  <c:v>0.42136597465237224</c:v>
                </c:pt>
                <c:pt idx="3">
                  <c:v>1.4983336115725117</c:v>
                </c:pt>
                <c:pt idx="4">
                  <c:v>2.0565150033221258</c:v>
                </c:pt>
                <c:pt idx="5">
                  <c:v>2.2368618427413054</c:v>
                </c:pt>
                <c:pt idx="6">
                  <c:v>2.6057211090323866</c:v>
                </c:pt>
                <c:pt idx="7">
                  <c:v>2.5476747714157599</c:v>
                </c:pt>
                <c:pt idx="8">
                  <c:v>2.5514006439257062</c:v>
                </c:pt>
                <c:pt idx="9">
                  <c:v>2.5287168179282196</c:v>
                </c:pt>
                <c:pt idx="10">
                  <c:v>2.5833970855801871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2A-4FEB-823E-BDC8E60082F8}"/>
            </c:ext>
          </c:extLst>
        </c:ser>
        <c:ser>
          <c:idx val="5"/>
          <c:order val="5"/>
          <c:tx>
            <c:strRef>
              <c:f>HPLC!$I$1</c:f>
              <c:strCache>
                <c:ptCount val="1"/>
                <c:pt idx="0">
                  <c:v>1 Ethanol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HPLC!$U$2:$U$15</c:f>
                <c:numCache>
                  <c:formatCode>General</c:formatCode>
                  <c:ptCount val="14"/>
                  <c:pt idx="0">
                    <c:v>3.4575822348679397E-2</c:v>
                  </c:pt>
                  <c:pt idx="1">
                    <c:v>2.1080415761057826E-2</c:v>
                  </c:pt>
                  <c:pt idx="2">
                    <c:v>0.11373635241149328</c:v>
                  </c:pt>
                  <c:pt idx="3">
                    <c:v>1.4713401927570371</c:v>
                  </c:pt>
                  <c:pt idx="4">
                    <c:v>1.381284742417219</c:v>
                  </c:pt>
                  <c:pt idx="5">
                    <c:v>0.89976580388041916</c:v>
                  </c:pt>
                  <c:pt idx="6">
                    <c:v>2.9973463112581431</c:v>
                  </c:pt>
                  <c:pt idx="7">
                    <c:v>3.2111783656073016</c:v>
                  </c:pt>
                  <c:pt idx="8">
                    <c:v>1.6069213128993496</c:v>
                  </c:pt>
                  <c:pt idx="9">
                    <c:v>3.1011622745340737</c:v>
                  </c:pt>
                  <c:pt idx="10">
                    <c:v>3.8111697746473601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HPLC!$U$2:$U$15</c:f>
                <c:numCache>
                  <c:formatCode>General</c:formatCode>
                  <c:ptCount val="14"/>
                  <c:pt idx="0">
                    <c:v>3.4575822348679397E-2</c:v>
                  </c:pt>
                  <c:pt idx="1">
                    <c:v>2.1080415761057826E-2</c:v>
                  </c:pt>
                  <c:pt idx="2">
                    <c:v>0.11373635241149328</c:v>
                  </c:pt>
                  <c:pt idx="3">
                    <c:v>1.4713401927570371</c:v>
                  </c:pt>
                  <c:pt idx="4">
                    <c:v>1.381284742417219</c:v>
                  </c:pt>
                  <c:pt idx="5">
                    <c:v>0.89976580388041916</c:v>
                  </c:pt>
                  <c:pt idx="6">
                    <c:v>2.9973463112581431</c:v>
                  </c:pt>
                  <c:pt idx="7">
                    <c:v>3.2111783656073016</c:v>
                  </c:pt>
                  <c:pt idx="8">
                    <c:v>1.6069213128993496</c:v>
                  </c:pt>
                  <c:pt idx="9">
                    <c:v>3.1011622745340737</c:v>
                  </c:pt>
                  <c:pt idx="10">
                    <c:v>3.8111697746473601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HPLC!$I$2:$I$21</c:f>
              <c:numCache>
                <c:formatCode>General</c:formatCode>
                <c:ptCount val="20"/>
                <c:pt idx="0">
                  <c:v>0.79693379844785261</c:v>
                </c:pt>
                <c:pt idx="1">
                  <c:v>3.9605061049348751</c:v>
                </c:pt>
                <c:pt idx="2">
                  <c:v>3.6678962539424091</c:v>
                </c:pt>
                <c:pt idx="3">
                  <c:v>25.369205372269175</c:v>
                </c:pt>
                <c:pt idx="4">
                  <c:v>34.975115808112733</c:v>
                </c:pt>
                <c:pt idx="5">
                  <c:v>45.798969498596385</c:v>
                </c:pt>
                <c:pt idx="6">
                  <c:v>57.66984390225511</c:v>
                </c:pt>
                <c:pt idx="7">
                  <c:v>59.899445997920452</c:v>
                </c:pt>
                <c:pt idx="8">
                  <c:v>56.742135042815676</c:v>
                </c:pt>
                <c:pt idx="9">
                  <c:v>55.565547126117053</c:v>
                </c:pt>
                <c:pt idx="10">
                  <c:v>61.048503991906344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2A-4FEB-823E-BDC8E6008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48462460710934"/>
          <c:y val="0.24383545333111359"/>
          <c:w val="0.19551537917677464"/>
          <c:h val="0.41666971798377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2 Metabolites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7200008100839248"/>
          <c:h val="0.72781773853673626"/>
        </c:manualLayout>
      </c:layout>
      <c:scatterChart>
        <c:scatterStyle val="lineMarker"/>
        <c:varyColors val="0"/>
        <c:ser>
          <c:idx val="0"/>
          <c:order val="0"/>
          <c:tx>
            <c:strRef>
              <c:f>HPLC!$J$1</c:f>
              <c:strCache>
                <c:ptCount val="1"/>
                <c:pt idx="0">
                  <c:v>2 Maltotriose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HPLC!$V$2:$V$15</c:f>
                <c:numCache>
                  <c:formatCode>General</c:formatCode>
                  <c:ptCount val="14"/>
                  <c:pt idx="0">
                    <c:v>3.9606266670910453E-2</c:v>
                  </c:pt>
                  <c:pt idx="1">
                    <c:v>3.6873877411115578E-2</c:v>
                  </c:pt>
                  <c:pt idx="2">
                    <c:v>0.18554942922698575</c:v>
                  </c:pt>
                  <c:pt idx="3">
                    <c:v>2.3613021317604401</c:v>
                  </c:pt>
                  <c:pt idx="4">
                    <c:v>0.2649294183317939</c:v>
                  </c:pt>
                  <c:pt idx="5">
                    <c:v>2.1399688569744133</c:v>
                  </c:pt>
                  <c:pt idx="6">
                    <c:v>0.91662898260814951</c:v>
                  </c:pt>
                  <c:pt idx="7">
                    <c:v>1.101921652934609</c:v>
                  </c:pt>
                  <c:pt idx="8">
                    <c:v>0.60277999367563528</c:v>
                  </c:pt>
                  <c:pt idx="9">
                    <c:v>1.0108383506421796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HPLC!$V$2:$V$15</c:f>
                <c:numCache>
                  <c:formatCode>General</c:formatCode>
                  <c:ptCount val="14"/>
                  <c:pt idx="0">
                    <c:v>3.9606266670910453E-2</c:v>
                  </c:pt>
                  <c:pt idx="1">
                    <c:v>3.6873877411115578E-2</c:v>
                  </c:pt>
                  <c:pt idx="2">
                    <c:v>0.18554942922698575</c:v>
                  </c:pt>
                  <c:pt idx="3">
                    <c:v>2.3613021317604401</c:v>
                  </c:pt>
                  <c:pt idx="4">
                    <c:v>0.2649294183317939</c:v>
                  </c:pt>
                  <c:pt idx="5">
                    <c:v>2.1399688569744133</c:v>
                  </c:pt>
                  <c:pt idx="6">
                    <c:v>0.91662898260814951</c:v>
                  </c:pt>
                  <c:pt idx="7">
                    <c:v>1.101921652934609</c:v>
                  </c:pt>
                  <c:pt idx="8">
                    <c:v>0.60277999367563528</c:v>
                  </c:pt>
                  <c:pt idx="9">
                    <c:v>1.0108383506421796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HPLC!$J$2:$J$21</c:f>
              <c:numCache>
                <c:formatCode>General</c:formatCode>
                <c:ptCount val="20"/>
                <c:pt idx="0">
                  <c:v>25.243705918505199</c:v>
                </c:pt>
                <c:pt idx="1">
                  <c:v>29.438839904178792</c:v>
                </c:pt>
                <c:pt idx="2">
                  <c:v>25.037948287020324</c:v>
                </c:pt>
                <c:pt idx="3">
                  <c:v>25.770671956952711</c:v>
                </c:pt>
                <c:pt idx="4">
                  <c:v>24.635626191809379</c:v>
                </c:pt>
                <c:pt idx="5">
                  <c:v>23.397694586876053</c:v>
                </c:pt>
                <c:pt idx="6">
                  <c:v>19.92498386605687</c:v>
                </c:pt>
                <c:pt idx="7">
                  <c:v>18.817720797221064</c:v>
                </c:pt>
                <c:pt idx="8">
                  <c:v>17.875929637501244</c:v>
                </c:pt>
                <c:pt idx="9">
                  <c:v>18.086638306598395</c:v>
                </c:pt>
                <c:pt idx="10">
                  <c:v>18.801408959020904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C-46BC-B177-48DC7EE2FC65}"/>
            </c:ext>
          </c:extLst>
        </c:ser>
        <c:ser>
          <c:idx val="1"/>
          <c:order val="1"/>
          <c:tx>
            <c:strRef>
              <c:f>HPLC!$K$1</c:f>
              <c:strCache>
                <c:ptCount val="1"/>
                <c:pt idx="0">
                  <c:v>2 Maltose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HPLC!$W$2:$W$15</c:f>
                <c:numCache>
                  <c:formatCode>General</c:formatCode>
                  <c:ptCount val="14"/>
                  <c:pt idx="0">
                    <c:v>5.3254911955532815</c:v>
                  </c:pt>
                  <c:pt idx="1">
                    <c:v>0.73890254443253467</c:v>
                  </c:pt>
                  <c:pt idx="2">
                    <c:v>4.0437329453031143</c:v>
                  </c:pt>
                  <c:pt idx="3">
                    <c:v>3.2464244236885906</c:v>
                  </c:pt>
                  <c:pt idx="4">
                    <c:v>1.051058696359269</c:v>
                  </c:pt>
                  <c:pt idx="5">
                    <c:v>1.8401110401631009</c:v>
                  </c:pt>
                  <c:pt idx="6">
                    <c:v>0.23003645016931323</c:v>
                  </c:pt>
                  <c:pt idx="7">
                    <c:v>0.12068611501878024</c:v>
                  </c:pt>
                  <c:pt idx="8">
                    <c:v>0.14507711916712873</c:v>
                  </c:pt>
                  <c:pt idx="9">
                    <c:v>0.15430630541204785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HPLC!$W$2:$W$15</c:f>
                <c:numCache>
                  <c:formatCode>General</c:formatCode>
                  <c:ptCount val="14"/>
                  <c:pt idx="0">
                    <c:v>5.3254911955532815</c:v>
                  </c:pt>
                  <c:pt idx="1">
                    <c:v>0.73890254443253467</c:v>
                  </c:pt>
                  <c:pt idx="2">
                    <c:v>4.0437329453031143</c:v>
                  </c:pt>
                  <c:pt idx="3">
                    <c:v>3.2464244236885906</c:v>
                  </c:pt>
                  <c:pt idx="4">
                    <c:v>1.051058696359269</c:v>
                  </c:pt>
                  <c:pt idx="5">
                    <c:v>1.8401110401631009</c:v>
                  </c:pt>
                  <c:pt idx="6">
                    <c:v>0.23003645016931323</c:v>
                  </c:pt>
                  <c:pt idx="7">
                    <c:v>0.12068611501878024</c:v>
                  </c:pt>
                  <c:pt idx="8">
                    <c:v>0.14507711916712873</c:v>
                  </c:pt>
                  <c:pt idx="9">
                    <c:v>0.15430630541204785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HPLC!$K$2:$K$21</c:f>
              <c:numCache>
                <c:formatCode>General</c:formatCode>
                <c:ptCount val="20"/>
                <c:pt idx="0">
                  <c:v>82.320355272273673</c:v>
                </c:pt>
                <c:pt idx="1">
                  <c:v>84.477503734975997</c:v>
                </c:pt>
                <c:pt idx="2">
                  <c:v>72.260466209471247</c:v>
                </c:pt>
                <c:pt idx="3">
                  <c:v>56.898493668541064</c:v>
                </c:pt>
                <c:pt idx="4">
                  <c:v>33.553760114743028</c:v>
                </c:pt>
                <c:pt idx="5">
                  <c:v>20.262011517481778</c:v>
                </c:pt>
                <c:pt idx="6">
                  <c:v>5.2859769298519481</c:v>
                </c:pt>
                <c:pt idx="7">
                  <c:v>3.8336719332962192</c:v>
                </c:pt>
                <c:pt idx="8">
                  <c:v>3.4874922479902031</c:v>
                </c:pt>
                <c:pt idx="9">
                  <c:v>3.2240840403373032</c:v>
                </c:pt>
                <c:pt idx="10">
                  <c:v>3.3331950752740047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C-46BC-B177-48DC7EE2FC65}"/>
            </c:ext>
          </c:extLst>
        </c:ser>
        <c:ser>
          <c:idx val="2"/>
          <c:order val="2"/>
          <c:tx>
            <c:strRef>
              <c:f>HPLC!$L$1</c:f>
              <c:strCache>
                <c:ptCount val="1"/>
                <c:pt idx="0">
                  <c:v>2 Glucose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HPLC!$X$2:$X$15</c:f>
                <c:numCache>
                  <c:formatCode>General</c:formatCode>
                  <c:ptCount val="14"/>
                  <c:pt idx="0">
                    <c:v>1.1590940968895749</c:v>
                  </c:pt>
                  <c:pt idx="1">
                    <c:v>3.6149896792358978E-2</c:v>
                  </c:pt>
                  <c:pt idx="2">
                    <c:v>0.7868467523462519</c:v>
                  </c:pt>
                  <c:pt idx="3">
                    <c:v>0.31056123175002898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HPLC!$X$2:$X$15</c:f>
                <c:numCache>
                  <c:formatCode>General</c:formatCode>
                  <c:ptCount val="14"/>
                  <c:pt idx="0">
                    <c:v>1.1590940968895749</c:v>
                  </c:pt>
                  <c:pt idx="1">
                    <c:v>3.6149896792358978E-2</c:v>
                  </c:pt>
                  <c:pt idx="2">
                    <c:v>0.7868467523462519</c:v>
                  </c:pt>
                  <c:pt idx="3">
                    <c:v>0.31056123175002898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HPLC!$L$2:$L$21</c:f>
              <c:numCache>
                <c:formatCode>General</c:formatCode>
                <c:ptCount val="20"/>
                <c:pt idx="0">
                  <c:v>19.089425735063436</c:v>
                </c:pt>
                <c:pt idx="1">
                  <c:v>16.409118559239911</c:v>
                </c:pt>
                <c:pt idx="2">
                  <c:v>13.647154567093978</c:v>
                </c:pt>
                <c:pt idx="3">
                  <c:v>3.3248025520380313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EC-46BC-B177-48DC7EE2FC65}"/>
            </c:ext>
          </c:extLst>
        </c:ser>
        <c:ser>
          <c:idx val="3"/>
          <c:order val="3"/>
          <c:tx>
            <c:strRef>
              <c:f>HPLC!$M$1</c:f>
              <c:strCache>
                <c:ptCount val="1"/>
                <c:pt idx="0">
                  <c:v>2 Fructose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HPLC!$Y$2:$Y$15</c:f>
                <c:numCache>
                  <c:formatCode>General</c:formatCode>
                  <c:ptCount val="14"/>
                  <c:pt idx="0">
                    <c:v>0.30190812868128053</c:v>
                  </c:pt>
                  <c:pt idx="1">
                    <c:v>1.6726561920159852E-2</c:v>
                  </c:pt>
                  <c:pt idx="2">
                    <c:v>0.10818025880905019</c:v>
                  </c:pt>
                  <c:pt idx="3">
                    <c:v>0.26674655572176148</c:v>
                  </c:pt>
                  <c:pt idx="4">
                    <c:v>6.7911397857704656E-2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HPLC!$Y$2:$Y$15</c:f>
                <c:numCache>
                  <c:formatCode>General</c:formatCode>
                  <c:ptCount val="14"/>
                  <c:pt idx="0">
                    <c:v>0.30190812868128053</c:v>
                  </c:pt>
                  <c:pt idx="1">
                    <c:v>1.6726561920159852E-2</c:v>
                  </c:pt>
                  <c:pt idx="2">
                    <c:v>0.10818025880905019</c:v>
                  </c:pt>
                  <c:pt idx="3">
                    <c:v>0.26674655572176148</c:v>
                  </c:pt>
                  <c:pt idx="4">
                    <c:v>6.7911397857704656E-2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HPLC!$M$2:$M$21</c:f>
              <c:numCache>
                <c:formatCode>General</c:formatCode>
                <c:ptCount val="20"/>
                <c:pt idx="0">
                  <c:v>7.3261666806317489</c:v>
                </c:pt>
                <c:pt idx="1">
                  <c:v>6.7111020565185777</c:v>
                </c:pt>
                <c:pt idx="2">
                  <c:v>5.7389393938782813</c:v>
                </c:pt>
                <c:pt idx="3">
                  <c:v>3.7254671347489774</c:v>
                </c:pt>
                <c:pt idx="4">
                  <c:v>1.6701971357282961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EC-46BC-B177-48DC7EE2FC65}"/>
            </c:ext>
          </c:extLst>
        </c:ser>
        <c:ser>
          <c:idx val="4"/>
          <c:order val="4"/>
          <c:tx>
            <c:strRef>
              <c:f>HPLC!$N$1</c:f>
              <c:strCache>
                <c:ptCount val="1"/>
                <c:pt idx="0">
                  <c:v>2 Glycerol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HPLC!$Z$2:$Z$15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1.856950715262138E-2</c:v>
                  </c:pt>
                  <c:pt idx="2">
                    <c:v>4.8447281203682427E-3</c:v>
                  </c:pt>
                  <c:pt idx="3">
                    <c:v>5.9030250058904297E-2</c:v>
                  </c:pt>
                  <c:pt idx="4">
                    <c:v>1.5911104670853795E-2</c:v>
                  </c:pt>
                  <c:pt idx="5">
                    <c:v>0.12297108635750556</c:v>
                  </c:pt>
                  <c:pt idx="6">
                    <c:v>0.13059740246274351</c:v>
                  </c:pt>
                  <c:pt idx="7">
                    <c:v>0.13470559230318793</c:v>
                  </c:pt>
                  <c:pt idx="8">
                    <c:v>5.503168985546391E-2</c:v>
                  </c:pt>
                  <c:pt idx="9">
                    <c:v>0.16444380464191341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HPLC!$Z$2:$Z$15</c:f>
                <c:numCache>
                  <c:formatCode>General</c:formatCode>
                  <c:ptCount val="14"/>
                  <c:pt idx="0">
                    <c:v>0</c:v>
                  </c:pt>
                  <c:pt idx="1">
                    <c:v>1.856950715262138E-2</c:v>
                  </c:pt>
                  <c:pt idx="2">
                    <c:v>4.8447281203682427E-3</c:v>
                  </c:pt>
                  <c:pt idx="3">
                    <c:v>5.9030250058904297E-2</c:v>
                  </c:pt>
                  <c:pt idx="4">
                    <c:v>1.5911104670853795E-2</c:v>
                  </c:pt>
                  <c:pt idx="5">
                    <c:v>0.12297108635750556</c:v>
                  </c:pt>
                  <c:pt idx="6">
                    <c:v>0.13059740246274351</c:v>
                  </c:pt>
                  <c:pt idx="7">
                    <c:v>0.13470559230318793</c:v>
                  </c:pt>
                  <c:pt idx="8">
                    <c:v>5.503168985546391E-2</c:v>
                  </c:pt>
                  <c:pt idx="9">
                    <c:v>0.16444380464191341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HPLC!$N$2:$N$21</c:f>
              <c:numCache>
                <c:formatCode>General</c:formatCode>
                <c:ptCount val="20"/>
                <c:pt idx="0">
                  <c:v>0</c:v>
                </c:pt>
                <c:pt idx="1">
                  <c:v>0.46778609254051245</c:v>
                </c:pt>
                <c:pt idx="2">
                  <c:v>0.38886737697758816</c:v>
                </c:pt>
                <c:pt idx="3">
                  <c:v>1.5141592104772679</c:v>
                </c:pt>
                <c:pt idx="4">
                  <c:v>1.7962518722796394</c:v>
                </c:pt>
                <c:pt idx="5">
                  <c:v>2.3495554954056113</c:v>
                </c:pt>
                <c:pt idx="6">
                  <c:v>2.5340024573777935</c:v>
                </c:pt>
                <c:pt idx="7">
                  <c:v>2.4303546793309376</c:v>
                </c:pt>
                <c:pt idx="8">
                  <c:v>2.5503367813015219</c:v>
                </c:pt>
                <c:pt idx="9">
                  <c:v>2.6404043336144585</c:v>
                </c:pt>
                <c:pt idx="10">
                  <c:v>2.7566836630008713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EC-46BC-B177-48DC7EE2FC65}"/>
            </c:ext>
          </c:extLst>
        </c:ser>
        <c:ser>
          <c:idx val="5"/>
          <c:order val="5"/>
          <c:tx>
            <c:strRef>
              <c:f>HPLC!$O$1</c:f>
              <c:strCache>
                <c:ptCount val="1"/>
                <c:pt idx="0">
                  <c:v>2 Ethanol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HPLC!$AA$2:$AA$15</c:f>
                <c:numCache>
                  <c:formatCode>General</c:formatCode>
                  <c:ptCount val="14"/>
                  <c:pt idx="0">
                    <c:v>1.4636602313683815E-2</c:v>
                  </c:pt>
                  <c:pt idx="1">
                    <c:v>1.828980601912374E-2</c:v>
                  </c:pt>
                  <c:pt idx="2">
                    <c:v>4.625595245431758E-2</c:v>
                  </c:pt>
                  <c:pt idx="3">
                    <c:v>1.9362879093348528</c:v>
                  </c:pt>
                  <c:pt idx="4">
                    <c:v>2.1705482141437726</c:v>
                  </c:pt>
                  <c:pt idx="5">
                    <c:v>2.827112033619676</c:v>
                  </c:pt>
                  <c:pt idx="6">
                    <c:v>2.7494357877167905</c:v>
                  </c:pt>
                  <c:pt idx="7">
                    <c:v>4.181683466168244</c:v>
                  </c:pt>
                  <c:pt idx="8">
                    <c:v>3.8794296157223878</c:v>
                  </c:pt>
                  <c:pt idx="9">
                    <c:v>7.6978346529084893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plus>
            <c:minus>
              <c:numRef>
                <c:f>HPLC!$AA$2:$AA$15</c:f>
                <c:numCache>
                  <c:formatCode>General</c:formatCode>
                  <c:ptCount val="14"/>
                  <c:pt idx="0">
                    <c:v>1.4636602313683815E-2</c:v>
                  </c:pt>
                  <c:pt idx="1">
                    <c:v>1.828980601912374E-2</c:v>
                  </c:pt>
                  <c:pt idx="2">
                    <c:v>4.625595245431758E-2</c:v>
                  </c:pt>
                  <c:pt idx="3">
                    <c:v>1.9362879093348528</c:v>
                  </c:pt>
                  <c:pt idx="4">
                    <c:v>2.1705482141437726</c:v>
                  </c:pt>
                  <c:pt idx="5">
                    <c:v>2.827112033619676</c:v>
                  </c:pt>
                  <c:pt idx="6">
                    <c:v>2.7494357877167905</c:v>
                  </c:pt>
                  <c:pt idx="7">
                    <c:v>4.181683466168244</c:v>
                  </c:pt>
                  <c:pt idx="8">
                    <c:v>3.8794296157223878</c:v>
                  </c:pt>
                  <c:pt idx="9">
                    <c:v>7.6978346529084893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HPLC!$B$2:$B$21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HPLC!$O$2:$O$21</c:f>
              <c:numCache>
                <c:formatCode>General</c:formatCode>
                <c:ptCount val="20"/>
                <c:pt idx="0">
                  <c:v>0.70886324881278573</c:v>
                </c:pt>
                <c:pt idx="1">
                  <c:v>4.3177505712464077</c:v>
                </c:pt>
                <c:pt idx="2">
                  <c:v>3.456605519982046</c:v>
                </c:pt>
                <c:pt idx="3">
                  <c:v>26.053413045255006</c:v>
                </c:pt>
                <c:pt idx="4">
                  <c:v>32.341584698655524</c:v>
                </c:pt>
                <c:pt idx="5">
                  <c:v>45.852924761997812</c:v>
                </c:pt>
                <c:pt idx="6">
                  <c:v>55.566398631938526</c:v>
                </c:pt>
                <c:pt idx="7">
                  <c:v>60.010296942623164</c:v>
                </c:pt>
                <c:pt idx="8">
                  <c:v>59.353234968726937</c:v>
                </c:pt>
                <c:pt idx="9">
                  <c:v>57.801068798865799</c:v>
                </c:pt>
                <c:pt idx="10">
                  <c:v>63.244259882390189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EC-46BC-B177-48DC7EE2F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48462460710934"/>
          <c:y val="0.24383545333111359"/>
          <c:w val="0.19551531426513385"/>
          <c:h val="0.416669717983771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Esters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67653336875318648"/>
          <c:h val="0.76391296019135524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GC_esters!$D$1</c:f>
              <c:strCache>
                <c:ptCount val="1"/>
                <c:pt idx="0">
                  <c:v>1 Ethyl acetate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GC_esters!$D$2:$D$21</c:f>
              <c:numCache>
                <c:formatCode>General</c:formatCode>
                <c:ptCount val="20"/>
                <c:pt idx="0">
                  <c:v>7.0000000000000007E-2</c:v>
                </c:pt>
                <c:pt idx="1">
                  <c:v>0.505</c:v>
                </c:pt>
                <c:pt idx="2">
                  <c:v>6.5112500000000004</c:v>
                </c:pt>
                <c:pt idx="3">
                  <c:v>12.129999999999999</c:v>
                </c:pt>
                <c:pt idx="4">
                  <c:v>19.88</c:v>
                </c:pt>
                <c:pt idx="5">
                  <c:v>27.494999999999997</c:v>
                </c:pt>
                <c:pt idx="6">
                  <c:v>32.33775</c:v>
                </c:pt>
                <c:pt idx="7">
                  <c:v>36.299999999999997</c:v>
                </c:pt>
                <c:pt idx="8">
                  <c:v>37.516249999999999</c:v>
                </c:pt>
                <c:pt idx="9">
                  <c:v>38.732500000000002</c:v>
                </c:pt>
                <c:pt idx="10">
                  <c:v>39.774999999999999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C6-42CF-8C50-780E9E833878}"/>
            </c:ext>
          </c:extLst>
        </c:ser>
        <c:ser>
          <c:idx val="1"/>
          <c:order val="1"/>
          <c:tx>
            <c:strRef>
              <c:f>GC_esters!$E$1</c:f>
              <c:strCache>
                <c:ptCount val="1"/>
                <c:pt idx="0">
                  <c:v>1 Ethanol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GC_esters!$E$2:$E$21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DC6-42CF-8C50-780E9E833878}"/>
            </c:ext>
          </c:extLst>
        </c:ser>
        <c:ser>
          <c:idx val="2"/>
          <c:order val="2"/>
          <c:tx>
            <c:strRef>
              <c:f>GC_esters!$F$1</c:f>
              <c:strCache>
                <c:ptCount val="1"/>
                <c:pt idx="0">
                  <c:v>1 Isobutyl acetate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GC_esters!$F$2:$F$21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4.4950000000000004E-2</c:v>
                </c:pt>
                <c:pt idx="3">
                  <c:v>8.6999999999999994E-2</c:v>
                </c:pt>
                <c:pt idx="4">
                  <c:v>0.14500000000000002</c:v>
                </c:pt>
                <c:pt idx="5">
                  <c:v>0.18</c:v>
                </c:pt>
                <c:pt idx="6">
                  <c:v>0.20200000000000001</c:v>
                </c:pt>
                <c:pt idx="7">
                  <c:v>0.22</c:v>
                </c:pt>
                <c:pt idx="8">
                  <c:v>0.22175</c:v>
                </c:pt>
                <c:pt idx="9">
                  <c:v>0.2235</c:v>
                </c:pt>
                <c:pt idx="10">
                  <c:v>0.22500000000000001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DC6-42CF-8C50-780E9E833878}"/>
            </c:ext>
          </c:extLst>
        </c:ser>
        <c:ser>
          <c:idx val="3"/>
          <c:order val="3"/>
          <c:tx>
            <c:strRef>
              <c:f>GC_esters!$G$1</c:f>
              <c:strCache>
                <c:ptCount val="1"/>
                <c:pt idx="0">
                  <c:v>1 Ethyl butyrate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GC_esters!$G$2:$G$21</c:f>
              <c:numCache>
                <c:formatCode>General</c:formatCode>
                <c:ptCount val="20"/>
                <c:pt idx="0">
                  <c:v>0</c:v>
                </c:pt>
                <c:pt idx="1">
                  <c:v>0.13500000000000001</c:v>
                </c:pt>
                <c:pt idx="2">
                  <c:v>0.24970000000000001</c:v>
                </c:pt>
                <c:pt idx="3">
                  <c:v>0.35699999999999998</c:v>
                </c:pt>
                <c:pt idx="4">
                  <c:v>0.505</c:v>
                </c:pt>
                <c:pt idx="5">
                  <c:v>0.59</c:v>
                </c:pt>
                <c:pt idx="6">
                  <c:v>0.65049999999999997</c:v>
                </c:pt>
                <c:pt idx="7">
                  <c:v>0.7</c:v>
                </c:pt>
                <c:pt idx="8">
                  <c:v>0.70524999999999993</c:v>
                </c:pt>
                <c:pt idx="9">
                  <c:v>0.71049999999999991</c:v>
                </c:pt>
                <c:pt idx="10">
                  <c:v>0.71499999999999997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DC6-42CF-8C50-780E9E833878}"/>
            </c:ext>
          </c:extLst>
        </c:ser>
        <c:ser>
          <c:idx val="4"/>
          <c:order val="4"/>
          <c:tx>
            <c:strRef>
              <c:f>GC_esters!$H$1</c:f>
              <c:strCache>
                <c:ptCount val="1"/>
                <c:pt idx="0">
                  <c:v>1 Isobutanol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GC_esters!$H$2:$H$21</c:f>
              <c:numCache>
                <c:formatCode>General</c:formatCode>
                <c:ptCount val="20"/>
                <c:pt idx="0">
                  <c:v>0.48499999999999999</c:v>
                </c:pt>
                <c:pt idx="1">
                  <c:v>2.165</c:v>
                </c:pt>
                <c:pt idx="2">
                  <c:v>4.4326500000000006</c:v>
                </c:pt>
                <c:pt idx="3">
                  <c:v>6.5540000000000003</c:v>
                </c:pt>
                <c:pt idx="4">
                  <c:v>9.48</c:v>
                </c:pt>
                <c:pt idx="5">
                  <c:v>11.17</c:v>
                </c:pt>
                <c:pt idx="6">
                  <c:v>12.083</c:v>
                </c:pt>
                <c:pt idx="7">
                  <c:v>12.83</c:v>
                </c:pt>
                <c:pt idx="8">
                  <c:v>12.935</c:v>
                </c:pt>
                <c:pt idx="9">
                  <c:v>13.04</c:v>
                </c:pt>
                <c:pt idx="10">
                  <c:v>13.129999999999999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DC6-42CF-8C50-780E9E833878}"/>
            </c:ext>
          </c:extLst>
        </c:ser>
        <c:ser>
          <c:idx val="5"/>
          <c:order val="5"/>
          <c:tx>
            <c:strRef>
              <c:f>GC_esters!$I$1</c:f>
              <c:strCache>
                <c:ptCount val="1"/>
                <c:pt idx="0">
                  <c:v>1 Isoamyl acetate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GC_esters!$I$2:$I$21</c:f>
              <c:numCache>
                <c:formatCode>General</c:formatCode>
                <c:ptCount val="20"/>
                <c:pt idx="0">
                  <c:v>0</c:v>
                </c:pt>
                <c:pt idx="1">
                  <c:v>7.0000000000000007E-2</c:v>
                </c:pt>
                <c:pt idx="2">
                  <c:v>1.3270500000000003</c:v>
                </c:pt>
                <c:pt idx="3">
                  <c:v>2.5030000000000001</c:v>
                </c:pt>
                <c:pt idx="4">
                  <c:v>4.125</c:v>
                </c:pt>
                <c:pt idx="5">
                  <c:v>5.3149999999999995</c:v>
                </c:pt>
                <c:pt idx="6">
                  <c:v>5.9887499999999996</c:v>
                </c:pt>
                <c:pt idx="7">
                  <c:v>6.54</c:v>
                </c:pt>
                <c:pt idx="8">
                  <c:v>6.5960000000000001</c:v>
                </c:pt>
                <c:pt idx="9">
                  <c:v>6.6519999999999992</c:v>
                </c:pt>
                <c:pt idx="10">
                  <c:v>6.6999999999999993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DC6-42CF-8C50-780E9E833878}"/>
            </c:ext>
          </c:extLst>
        </c:ser>
        <c:ser>
          <c:idx val="6"/>
          <c:order val="6"/>
          <c:tx>
            <c:strRef>
              <c:f>GC_esters!$J$1</c:f>
              <c:strCache>
                <c:ptCount val="1"/>
                <c:pt idx="0">
                  <c:v>1 Isoamyl alcohol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GC_esters!$J$2:$J$21</c:f>
              <c:numCache>
                <c:formatCode>General</c:formatCode>
                <c:ptCount val="20"/>
                <c:pt idx="0">
                  <c:v>3.52</c:v>
                </c:pt>
                <c:pt idx="1">
                  <c:v>20.990000000000002</c:v>
                </c:pt>
                <c:pt idx="2">
                  <c:v>34.605199999999996</c:v>
                </c:pt>
                <c:pt idx="3">
                  <c:v>47.341999999999999</c:v>
                </c:pt>
                <c:pt idx="4">
                  <c:v>64.91</c:v>
                </c:pt>
                <c:pt idx="5">
                  <c:v>69.784999999999997</c:v>
                </c:pt>
                <c:pt idx="6">
                  <c:v>72.045500000000004</c:v>
                </c:pt>
                <c:pt idx="7">
                  <c:v>73.894999999999996</c:v>
                </c:pt>
                <c:pt idx="8">
                  <c:v>74.122500000000002</c:v>
                </c:pt>
                <c:pt idx="9">
                  <c:v>74.349999999999994</c:v>
                </c:pt>
                <c:pt idx="10">
                  <c:v>74.545000000000002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DC6-42CF-8C50-780E9E833878}"/>
            </c:ext>
          </c:extLst>
        </c:ser>
        <c:ser>
          <c:idx val="7"/>
          <c:order val="7"/>
          <c:tx>
            <c:strRef>
              <c:f>GC_esters!$K$1</c:f>
              <c:strCache>
                <c:ptCount val="1"/>
                <c:pt idx="0">
                  <c:v>1 Ethyl hexanoate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GC_esters!$K$2:$K$21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0.17515</c:v>
                </c:pt>
                <c:pt idx="3">
                  <c:v>0.33899999999999997</c:v>
                </c:pt>
                <c:pt idx="4">
                  <c:v>0.56499999999999995</c:v>
                </c:pt>
                <c:pt idx="5">
                  <c:v>0.75</c:v>
                </c:pt>
                <c:pt idx="6">
                  <c:v>0.79125000000000001</c:v>
                </c:pt>
                <c:pt idx="7">
                  <c:v>0.82499999999999996</c:v>
                </c:pt>
                <c:pt idx="8">
                  <c:v>0.80749999999999988</c:v>
                </c:pt>
                <c:pt idx="9">
                  <c:v>0.79</c:v>
                </c:pt>
                <c:pt idx="10">
                  <c:v>0.77500000000000002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DC6-42CF-8C50-780E9E833878}"/>
            </c:ext>
          </c:extLst>
        </c:ser>
        <c:ser>
          <c:idx val="8"/>
          <c:order val="8"/>
          <c:tx>
            <c:strRef>
              <c:f>GC_esters!$L$1</c:f>
              <c:strCache>
                <c:ptCount val="1"/>
                <c:pt idx="0">
                  <c:v>1 Ethyl octanoate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GC_esters!$L$2:$L$21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1.1438999999999999</c:v>
                </c:pt>
                <c:pt idx="3">
                  <c:v>2.214</c:v>
                </c:pt>
                <c:pt idx="4">
                  <c:v>3.69</c:v>
                </c:pt>
                <c:pt idx="5">
                  <c:v>5.27</c:v>
                </c:pt>
                <c:pt idx="6">
                  <c:v>6.3122499999999997</c:v>
                </c:pt>
                <c:pt idx="7">
                  <c:v>7.165</c:v>
                </c:pt>
                <c:pt idx="8">
                  <c:v>7.2402499999999996</c:v>
                </c:pt>
                <c:pt idx="9">
                  <c:v>7.3155000000000001</c:v>
                </c:pt>
                <c:pt idx="10">
                  <c:v>7.38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DC6-42CF-8C50-780E9E833878}"/>
            </c:ext>
          </c:extLst>
        </c:ser>
        <c:ser>
          <c:idx val="9"/>
          <c:order val="9"/>
          <c:tx>
            <c:strRef>
              <c:f>GC_esters!$M$1</c:f>
              <c:strCache>
                <c:ptCount val="1"/>
                <c:pt idx="0">
                  <c:v>1 Ethyl decanoate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GC_esters!$M$2:$M$21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2.0212000000000003</c:v>
                </c:pt>
                <c:pt idx="3">
                  <c:v>3.9119999999999999</c:v>
                </c:pt>
                <c:pt idx="4">
                  <c:v>6.52</c:v>
                </c:pt>
                <c:pt idx="5">
                  <c:v>10.664999999999999</c:v>
                </c:pt>
                <c:pt idx="6">
                  <c:v>12.85675</c:v>
                </c:pt>
                <c:pt idx="7">
                  <c:v>14.65</c:v>
                </c:pt>
                <c:pt idx="8">
                  <c:v>15.021000000000001</c:v>
                </c:pt>
                <c:pt idx="9">
                  <c:v>15.391999999999999</c:v>
                </c:pt>
                <c:pt idx="10">
                  <c:v>15.71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DC6-42CF-8C50-780E9E833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70346957884909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TT 1 Esters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9.1672287219981871E-2"/>
          <c:y val="0.11771365727411856"/>
          <c:w val="0.67653336875318648"/>
          <c:h val="0.76391296019135524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GC_esters!$N$1</c:f>
              <c:strCache>
                <c:ptCount val="1"/>
                <c:pt idx="0">
                  <c:v>2 Ethyl acetate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GC_esters!$X$2:$X$21</c:f>
                <c:numCache>
                  <c:formatCode>General</c:formatCode>
                  <c:ptCount val="20"/>
                  <c:pt idx="0">
                    <c:v>9.8994949366116664E-2</c:v>
                  </c:pt>
                  <c:pt idx="1">
                    <c:v>2.1213203435596444E-2</c:v>
                  </c:pt>
                  <c:pt idx="2">
                    <c:v>0.14318912319027566</c:v>
                  </c:pt>
                  <c:pt idx="3">
                    <c:v>0.29698484809834991</c:v>
                  </c:pt>
                  <c:pt idx="4">
                    <c:v>0.50911688245431341</c:v>
                  </c:pt>
                  <c:pt idx="5">
                    <c:v>7.0710678118665812E-3</c:v>
                  </c:pt>
                  <c:pt idx="6">
                    <c:v>7.3185551852805411E-2</c:v>
                  </c:pt>
                  <c:pt idx="7">
                    <c:v>0.12727922061357835</c:v>
                  </c:pt>
                  <c:pt idx="8">
                    <c:v>0.30794500320673973</c:v>
                  </c:pt>
                  <c:pt idx="9">
                    <c:v>0.48861078579990108</c:v>
                  </c:pt>
                  <c:pt idx="10">
                    <c:v>0.6434671708797558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GC_esters!$N$2:$N$21</c:f>
              <c:numCache>
                <c:formatCode>General</c:formatCode>
                <c:ptCount val="20"/>
                <c:pt idx="0">
                  <c:v>0</c:v>
                </c:pt>
                <c:pt idx="1">
                  <c:v>0.47</c:v>
                </c:pt>
                <c:pt idx="2">
                  <c:v>5.7647999999999993</c:v>
                </c:pt>
                <c:pt idx="3">
                  <c:v>10.718</c:v>
                </c:pt>
                <c:pt idx="4">
                  <c:v>17.549999999999997</c:v>
                </c:pt>
                <c:pt idx="5">
                  <c:v>24.41</c:v>
                </c:pt>
                <c:pt idx="6">
                  <c:v>29.305</c:v>
                </c:pt>
                <c:pt idx="7">
                  <c:v>33.31</c:v>
                </c:pt>
                <c:pt idx="8">
                  <c:v>34.554249999999996</c:v>
                </c:pt>
                <c:pt idx="9">
                  <c:v>35.798499999999997</c:v>
                </c:pt>
                <c:pt idx="10">
                  <c:v>35.464999999999996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42-4308-88F1-1F13385FE72E}"/>
            </c:ext>
          </c:extLst>
        </c:ser>
        <c:ser>
          <c:idx val="1"/>
          <c:order val="1"/>
          <c:tx>
            <c:strRef>
              <c:f>GC_esters!$O$1</c:f>
              <c:strCache>
                <c:ptCount val="1"/>
                <c:pt idx="0">
                  <c:v>2 Ethanol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GC_esters!$O$2:$O$21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2-4308-88F1-1F13385FE72E}"/>
            </c:ext>
          </c:extLst>
        </c:ser>
        <c:ser>
          <c:idx val="2"/>
          <c:order val="2"/>
          <c:tx>
            <c:strRef>
              <c:f>GC_esters!$P$1</c:f>
              <c:strCache>
                <c:ptCount val="1"/>
                <c:pt idx="0">
                  <c:v>2 Isobutyl acetate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GC_esters!$Z$2:$Z$21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2.1920310216782964E-3</c:v>
                  </c:pt>
                  <c:pt idx="3">
                    <c:v>4.2426406871192788E-3</c:v>
                  </c:pt>
                  <c:pt idx="4">
                    <c:v>7.0710678118654623E-3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2.4748737341529184E-3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GC_esters!$P$2:$P$21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3.7199999999999997E-2</c:v>
                </c:pt>
                <c:pt idx="3">
                  <c:v>7.1999999999999995E-2</c:v>
                </c:pt>
                <c:pt idx="4">
                  <c:v>0.12</c:v>
                </c:pt>
                <c:pt idx="5">
                  <c:v>0.16</c:v>
                </c:pt>
                <c:pt idx="6">
                  <c:v>0.182</c:v>
                </c:pt>
                <c:pt idx="7">
                  <c:v>0.2</c:v>
                </c:pt>
                <c:pt idx="8">
                  <c:v>0.20175000000000001</c:v>
                </c:pt>
                <c:pt idx="9">
                  <c:v>0.20350000000000001</c:v>
                </c:pt>
                <c:pt idx="10">
                  <c:v>0.2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42-4308-88F1-1F13385FE72E}"/>
            </c:ext>
          </c:extLst>
        </c:ser>
        <c:ser>
          <c:idx val="3"/>
          <c:order val="3"/>
          <c:tx>
            <c:strRef>
              <c:f>GC_esters!$Q$1</c:f>
              <c:strCache>
                <c:ptCount val="1"/>
                <c:pt idx="0">
                  <c:v>2 Ethyl butyrate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GC_esters!$AA$2:$AA$21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7.0710678118654814E-3</c:v>
                  </c:pt>
                  <c:pt idx="2">
                    <c:v>1.1455129855222103E-2</c:v>
                  </c:pt>
                  <c:pt idx="3">
                    <c:v>1.555634918610406E-2</c:v>
                  </c:pt>
                  <c:pt idx="4">
                    <c:v>2.1213203435596444E-2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2.4748737341529579E-3</c:v>
                  </c:pt>
                  <c:pt idx="9">
                    <c:v>4.9497474683058368E-3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GC_esters!$Q$2:$Q$21</c:f>
              <c:numCache>
                <c:formatCode>General</c:formatCode>
                <c:ptCount val="20"/>
                <c:pt idx="0">
                  <c:v>0</c:v>
                </c:pt>
                <c:pt idx="1">
                  <c:v>0.13</c:v>
                </c:pt>
                <c:pt idx="2">
                  <c:v>0.23849999999999999</c:v>
                </c:pt>
                <c:pt idx="3">
                  <c:v>0.33999999999999997</c:v>
                </c:pt>
                <c:pt idx="4">
                  <c:v>0.48</c:v>
                </c:pt>
                <c:pt idx="5">
                  <c:v>0.55000000000000004</c:v>
                </c:pt>
                <c:pt idx="6">
                  <c:v>0.61875000000000013</c:v>
                </c:pt>
                <c:pt idx="7">
                  <c:v>0.67500000000000004</c:v>
                </c:pt>
                <c:pt idx="8">
                  <c:v>0.68375000000000008</c:v>
                </c:pt>
                <c:pt idx="9">
                  <c:v>0.69249999999999989</c:v>
                </c:pt>
                <c:pt idx="10">
                  <c:v>0.68699999999999994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42-4308-88F1-1F13385FE72E}"/>
            </c:ext>
          </c:extLst>
        </c:ser>
        <c:ser>
          <c:idx val="4"/>
          <c:order val="4"/>
          <c:tx>
            <c:strRef>
              <c:f>GC_esters!$R$1</c:f>
              <c:strCache>
                <c:ptCount val="1"/>
                <c:pt idx="0">
                  <c:v>2 Isobutanol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GC_esters!$AB$2:$AB$21</c:f>
                <c:numCache>
                  <c:formatCode>General</c:formatCode>
                  <c:ptCount val="20"/>
                  <c:pt idx="0">
                    <c:v>7.0710678118654814E-3</c:v>
                  </c:pt>
                  <c:pt idx="1">
                    <c:v>0.10606601717798238</c:v>
                  </c:pt>
                  <c:pt idx="2">
                    <c:v>0.19155522702343583</c:v>
                  </c:pt>
                  <c:pt idx="3">
                    <c:v>0.27152900397563384</c:v>
                  </c:pt>
                  <c:pt idx="4">
                    <c:v>0.38183766184073509</c:v>
                  </c:pt>
                  <c:pt idx="5">
                    <c:v>7.0710678118655765E-2</c:v>
                  </c:pt>
                  <c:pt idx="6">
                    <c:v>4.7376154339498801E-2</c:v>
                  </c:pt>
                  <c:pt idx="7">
                    <c:v>2.8284271247461298E-2</c:v>
                  </c:pt>
                  <c:pt idx="8">
                    <c:v>0.11737972567696715</c:v>
                  </c:pt>
                  <c:pt idx="9">
                    <c:v>0.20647518010647176</c:v>
                  </c:pt>
                  <c:pt idx="10">
                    <c:v>0.28284271247461928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GC_esters!$R$2:$R$21</c:f>
              <c:numCache>
                <c:formatCode>General</c:formatCode>
                <c:ptCount val="20"/>
                <c:pt idx="0">
                  <c:v>0.49</c:v>
                </c:pt>
                <c:pt idx="1">
                  <c:v>1.98</c:v>
                </c:pt>
                <c:pt idx="2">
                  <c:v>4.1778999999999993</c:v>
                </c:pt>
                <c:pt idx="3">
                  <c:v>6.2339999999999991</c:v>
                </c:pt>
                <c:pt idx="4">
                  <c:v>9.07</c:v>
                </c:pt>
                <c:pt idx="5">
                  <c:v>10.71</c:v>
                </c:pt>
                <c:pt idx="6">
                  <c:v>11.85125</c:v>
                </c:pt>
                <c:pt idx="7">
                  <c:v>12.785</c:v>
                </c:pt>
                <c:pt idx="8">
                  <c:v>12.904</c:v>
                </c:pt>
                <c:pt idx="9">
                  <c:v>13.023</c:v>
                </c:pt>
                <c:pt idx="10">
                  <c:v>12.853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42-4308-88F1-1F13385FE72E}"/>
            </c:ext>
          </c:extLst>
        </c:ser>
        <c:ser>
          <c:idx val="5"/>
          <c:order val="5"/>
          <c:tx>
            <c:strRef>
              <c:f>GC_esters!$S$1</c:f>
              <c:strCache>
                <c:ptCount val="1"/>
                <c:pt idx="0">
                  <c:v>2 Isoamyl acetate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GC_esters!$AC$2:$AC$21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2.8284271247461877E-2</c:v>
                  </c:pt>
                  <c:pt idx="2">
                    <c:v>4.3628488399209887E-2</c:v>
                  </c:pt>
                  <c:pt idx="3">
                    <c:v>5.7982756057296476E-2</c:v>
                  </c:pt>
                  <c:pt idx="4">
                    <c:v>7.7781745930519827E-2</c:v>
                  </c:pt>
                  <c:pt idx="5">
                    <c:v>7.0710678118659524E-3</c:v>
                  </c:pt>
                  <c:pt idx="6">
                    <c:v>3.1819805153402124E-3</c:v>
                  </c:pt>
                  <c:pt idx="7">
                    <c:v>0</c:v>
                  </c:pt>
                  <c:pt idx="8">
                    <c:v>3.464823227814047E-2</c:v>
                  </c:pt>
                  <c:pt idx="9">
                    <c:v>6.9296464556281565E-2</c:v>
                  </c:pt>
                  <c:pt idx="10">
                    <c:v>9.8994949366116428E-2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GC_esters!$S$2:$S$21</c:f>
              <c:numCache>
                <c:formatCode>General</c:formatCode>
                <c:ptCount val="20"/>
                <c:pt idx="0">
                  <c:v>0</c:v>
                </c:pt>
                <c:pt idx="1">
                  <c:v>0.06</c:v>
                </c:pt>
                <c:pt idx="2">
                  <c:v>1.1651500000000001</c:v>
                </c:pt>
                <c:pt idx="3">
                  <c:v>2.1989999999999998</c:v>
                </c:pt>
                <c:pt idx="4">
                  <c:v>3.625</c:v>
                </c:pt>
                <c:pt idx="5">
                  <c:v>4.7200000000000006</c:v>
                </c:pt>
                <c:pt idx="6">
                  <c:v>5.4130000000000003</c:v>
                </c:pt>
                <c:pt idx="7">
                  <c:v>5.98</c:v>
                </c:pt>
                <c:pt idx="8">
                  <c:v>6.0517500000000002</c:v>
                </c:pt>
                <c:pt idx="9">
                  <c:v>6.1234999999999999</c:v>
                </c:pt>
                <c:pt idx="10">
                  <c:v>6.06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42-4308-88F1-1F13385FE72E}"/>
            </c:ext>
          </c:extLst>
        </c:ser>
        <c:ser>
          <c:idx val="6"/>
          <c:order val="6"/>
          <c:tx>
            <c:strRef>
              <c:f>GC_esters!$T$1</c:f>
              <c:strCache>
                <c:ptCount val="1"/>
                <c:pt idx="0">
                  <c:v>2 Isoamyl alcohol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GC_esters!$AD$2:$AD$21</c:f>
                <c:numCache>
                  <c:formatCode>General</c:formatCode>
                  <c:ptCount val="20"/>
                  <c:pt idx="0">
                    <c:v>8.4852813742385777E-2</c:v>
                  </c:pt>
                  <c:pt idx="1">
                    <c:v>0.87681240867131782</c:v>
                  </c:pt>
                  <c:pt idx="2">
                    <c:v>1.4379723502209629</c:v>
                  </c:pt>
                  <c:pt idx="3">
                    <c:v>1.9629284245738583</c:v>
                  </c:pt>
                  <c:pt idx="4">
                    <c:v>2.6870057685088837</c:v>
                  </c:pt>
                  <c:pt idx="5">
                    <c:v>0.38890872965259915</c:v>
                  </c:pt>
                  <c:pt idx="6">
                    <c:v>0.10111626970967678</c:v>
                  </c:pt>
                  <c:pt idx="7">
                    <c:v>0.13435028842544242</c:v>
                  </c:pt>
                  <c:pt idx="8">
                    <c:v>0.53386561979584013</c:v>
                  </c:pt>
                  <c:pt idx="9">
                    <c:v>1.2020815280171329</c:v>
                  </c:pt>
                  <c:pt idx="10">
                    <c:v>1.7748380207782279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GC_esters!$T$2:$T$21</c:f>
              <c:numCache>
                <c:formatCode>General</c:formatCode>
                <c:ptCount val="20"/>
                <c:pt idx="0">
                  <c:v>3.645</c:v>
                </c:pt>
                <c:pt idx="1">
                  <c:v>19.38</c:v>
                </c:pt>
                <c:pt idx="2">
                  <c:v>32.798349999999999</c:v>
                </c:pt>
                <c:pt idx="3">
                  <c:v>45.350999999999999</c:v>
                </c:pt>
                <c:pt idx="4">
                  <c:v>62.665000000000006</c:v>
                </c:pt>
                <c:pt idx="5">
                  <c:v>66.865000000000009</c:v>
                </c:pt>
                <c:pt idx="6">
                  <c:v>70.470249999999993</c:v>
                </c:pt>
                <c:pt idx="7">
                  <c:v>73.42</c:v>
                </c:pt>
                <c:pt idx="8">
                  <c:v>73.694749999999999</c:v>
                </c:pt>
                <c:pt idx="9">
                  <c:v>73.969500000000011</c:v>
                </c:pt>
                <c:pt idx="10">
                  <c:v>73.025000000000006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42-4308-88F1-1F13385FE72E}"/>
            </c:ext>
          </c:extLst>
        </c:ser>
        <c:ser>
          <c:idx val="7"/>
          <c:order val="7"/>
          <c:tx>
            <c:strRef>
              <c:f>GC_esters!$U$1</c:f>
              <c:strCache>
                <c:ptCount val="1"/>
                <c:pt idx="0">
                  <c:v>2 Ethyl hexanoate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GC_esters!$AE$2:$AE$21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2.1920310216782916E-3</c:v>
                  </c:pt>
                  <c:pt idx="3">
                    <c:v>4.2426406871192493E-3</c:v>
                  </c:pt>
                  <c:pt idx="4">
                    <c:v>7.0710678118654034E-3</c:v>
                  </c:pt>
                  <c:pt idx="5">
                    <c:v>0</c:v>
                  </c:pt>
                  <c:pt idx="6">
                    <c:v>3.889087296526054E-3</c:v>
                  </c:pt>
                  <c:pt idx="7">
                    <c:v>7.0710678118654814E-3</c:v>
                  </c:pt>
                  <c:pt idx="8">
                    <c:v>2.1213203435596446E-3</c:v>
                  </c:pt>
                  <c:pt idx="9">
                    <c:v>2.8284271247461927E-3</c:v>
                  </c:pt>
                  <c:pt idx="10">
                    <c:v>7.0710678118654814E-3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GC_esters!$U$2:$U$21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0.16739999999999999</c:v>
                </c:pt>
                <c:pt idx="3">
                  <c:v>0.32400000000000001</c:v>
                </c:pt>
                <c:pt idx="4">
                  <c:v>0.54</c:v>
                </c:pt>
                <c:pt idx="5">
                  <c:v>0.70499999999999996</c:v>
                </c:pt>
                <c:pt idx="6">
                  <c:v>0.75450000000000006</c:v>
                </c:pt>
                <c:pt idx="7">
                  <c:v>0.79500000000000004</c:v>
                </c:pt>
                <c:pt idx="8">
                  <c:v>0.78449999999999998</c:v>
                </c:pt>
                <c:pt idx="9">
                  <c:v>0.77400000000000002</c:v>
                </c:pt>
                <c:pt idx="10">
                  <c:v>0.76200000000000001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42-4308-88F1-1F13385FE72E}"/>
            </c:ext>
          </c:extLst>
        </c:ser>
        <c:ser>
          <c:idx val="8"/>
          <c:order val="8"/>
          <c:tx>
            <c:strRef>
              <c:f>GC_esters!$V$1</c:f>
              <c:strCache>
                <c:ptCount val="1"/>
                <c:pt idx="0">
                  <c:v>2 Ethyl octanoate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GC_esters!$AF$2:$AF$21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3.945655839020925E-2</c:v>
                  </c:pt>
                  <c:pt idx="3">
                    <c:v>7.636753236814689E-2</c:v>
                  </c:pt>
                  <c:pt idx="4">
                    <c:v>0.12727922061357835</c:v>
                  </c:pt>
                  <c:pt idx="5">
                    <c:v>5.6568542494923227E-2</c:v>
                  </c:pt>
                  <c:pt idx="6">
                    <c:v>2.5102290732122969E-2</c:v>
                  </c:pt>
                  <c:pt idx="7">
                    <c:v>9.1923881554251727E-2</c:v>
                  </c:pt>
                  <c:pt idx="8">
                    <c:v>2.5102290732122341E-2</c:v>
                  </c:pt>
                  <c:pt idx="9">
                    <c:v>4.171930009000642E-2</c:v>
                  </c:pt>
                  <c:pt idx="10">
                    <c:v>9.8994949366117052E-2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GC_esters!$V$2:$V$21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1.17645</c:v>
                </c:pt>
                <c:pt idx="3">
                  <c:v>2.2770000000000001</c:v>
                </c:pt>
                <c:pt idx="4">
                  <c:v>3.7949999999999999</c:v>
                </c:pt>
                <c:pt idx="5">
                  <c:v>5.415</c:v>
                </c:pt>
                <c:pt idx="6">
                  <c:v>6.3747500000000006</c:v>
                </c:pt>
                <c:pt idx="7">
                  <c:v>7.16</c:v>
                </c:pt>
                <c:pt idx="8">
                  <c:v>7.3454999999999995</c:v>
                </c:pt>
                <c:pt idx="9">
                  <c:v>7.5310000000000006</c:v>
                </c:pt>
                <c:pt idx="10">
                  <c:v>7.407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42-4308-88F1-1F13385FE72E}"/>
            </c:ext>
          </c:extLst>
        </c:ser>
        <c:ser>
          <c:idx val="9"/>
          <c:order val="9"/>
          <c:tx>
            <c:strRef>
              <c:f>GC_esters!$W$1</c:f>
              <c:strCache>
                <c:ptCount val="1"/>
                <c:pt idx="0">
                  <c:v>2 Ethyl decanoate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GC_esters!$AG$2:$AG$21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0</c:v>
                  </c:pt>
                  <c:pt idx="2">
                    <c:v>0.15344217151748088</c:v>
                  </c:pt>
                  <c:pt idx="3">
                    <c:v>0.29698484809834991</c:v>
                  </c:pt>
                  <c:pt idx="4">
                    <c:v>0.4949747468305834</c:v>
                  </c:pt>
                  <c:pt idx="5">
                    <c:v>0.24748737341529137</c:v>
                  </c:pt>
                  <c:pt idx="6">
                    <c:v>0.10359114344382896</c:v>
                  </c:pt>
                  <c:pt idx="7">
                    <c:v>1.4142135623730649E-2</c:v>
                  </c:pt>
                  <c:pt idx="8">
                    <c:v>0.12940054095713807</c:v>
                  </c:pt>
                  <c:pt idx="9">
                    <c:v>0.2729432175380081</c:v>
                  </c:pt>
                  <c:pt idx="10">
                    <c:v>0.39597979746446693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GC_esters!$B$2:$B$21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GC_esters!$W$2:$W$21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2.4195500000000001</c:v>
                </c:pt>
                <c:pt idx="3">
                  <c:v>4.6829999999999998</c:v>
                </c:pt>
                <c:pt idx="4">
                  <c:v>7.8049999999999997</c:v>
                </c:pt>
                <c:pt idx="5">
                  <c:v>12.574999999999999</c:v>
                </c:pt>
                <c:pt idx="6">
                  <c:v>14.280000000000001</c:v>
                </c:pt>
                <c:pt idx="7">
                  <c:v>15.675000000000001</c:v>
                </c:pt>
                <c:pt idx="8">
                  <c:v>16.59375</c:v>
                </c:pt>
                <c:pt idx="9">
                  <c:v>17.512500000000003</c:v>
                </c:pt>
                <c:pt idx="10">
                  <c:v>17.251000000000001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42-4308-88F1-1F13385FE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70346957884909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TT1</a:t>
            </a:r>
            <a:r>
              <a:rPr lang="en-US" baseline="0"/>
              <a:t> Vicinal diketones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89457567804026"/>
          <c:y val="0.11771352451163766"/>
          <c:w val="0.63486679790026246"/>
          <c:h val="0.6990231840950355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GC_ketones!$D$1</c:f>
              <c:strCache>
                <c:ptCount val="1"/>
                <c:pt idx="0">
                  <c:v>1 Diacetyl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GC_ketones!$H$2:$H$21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21.432406537764297</c:v>
                  </c:pt>
                  <c:pt idx="2">
                    <c:v>3.5355339059327378</c:v>
                  </c:pt>
                  <c:pt idx="3">
                    <c:v>21.213203435596427</c:v>
                  </c:pt>
                  <c:pt idx="4">
                    <c:v>100.14046235163886</c:v>
                  </c:pt>
                  <c:pt idx="5">
                    <c:v>25.901321394863235</c:v>
                  </c:pt>
                  <c:pt idx="6">
                    <c:v>27.736263492042301</c:v>
                  </c:pt>
                  <c:pt idx="7">
                    <c:v>49.191297446804555</c:v>
                  </c:pt>
                  <c:pt idx="8">
                    <c:v>81.373848378947642</c:v>
                  </c:pt>
                  <c:pt idx="9">
                    <c:v>9.8994949366116654</c:v>
                  </c:pt>
                  <c:pt idx="10">
                    <c:v>3.5355339059327378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GC_ketones!$H$2:$H$21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21.432406537764297</c:v>
                  </c:pt>
                  <c:pt idx="2">
                    <c:v>3.5355339059327378</c:v>
                  </c:pt>
                  <c:pt idx="3">
                    <c:v>21.213203435596427</c:v>
                  </c:pt>
                  <c:pt idx="4">
                    <c:v>100.14046235163886</c:v>
                  </c:pt>
                  <c:pt idx="5">
                    <c:v>25.901321394863235</c:v>
                  </c:pt>
                  <c:pt idx="6">
                    <c:v>27.736263492042301</c:v>
                  </c:pt>
                  <c:pt idx="7">
                    <c:v>49.191297446804555</c:v>
                  </c:pt>
                  <c:pt idx="8">
                    <c:v>81.373848378947642</c:v>
                  </c:pt>
                  <c:pt idx="9">
                    <c:v>9.8994949366116654</c:v>
                  </c:pt>
                  <c:pt idx="10">
                    <c:v>3.5355339059327378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GC_ketones!$D$2:$D$21</c:f>
              <c:numCache>
                <c:formatCode>General</c:formatCode>
                <c:ptCount val="20"/>
                <c:pt idx="0">
                  <c:v>112.435</c:v>
                </c:pt>
                <c:pt idx="1">
                  <c:v>626.32500000000005</c:v>
                </c:pt>
                <c:pt idx="2">
                  <c:v>697.5</c:v>
                </c:pt>
                <c:pt idx="3">
                  <c:v>710</c:v>
                </c:pt>
                <c:pt idx="4">
                  <c:v>1026.6300000000001</c:v>
                </c:pt>
                <c:pt idx="5">
                  <c:v>602.04500000000007</c:v>
                </c:pt>
                <c:pt idx="6">
                  <c:v>446.8175</c:v>
                </c:pt>
                <c:pt idx="7">
                  <c:v>384.72649999999999</c:v>
                </c:pt>
                <c:pt idx="8">
                  <c:v>291.59000000000003</c:v>
                </c:pt>
                <c:pt idx="9">
                  <c:v>98</c:v>
                </c:pt>
                <c:pt idx="10">
                  <c:v>78.5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B1-448D-93DB-6F1E57AC1953}"/>
            </c:ext>
          </c:extLst>
        </c:ser>
        <c:ser>
          <c:idx val="1"/>
          <c:order val="1"/>
          <c:tx>
            <c:strRef>
              <c:f>GC_ketones!$E$1</c:f>
              <c:strCache>
                <c:ptCount val="1"/>
                <c:pt idx="0">
                  <c:v>1 2,3-Pentanedione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GC_ketones!$I$2:$I$21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6.9296464556281734</c:v>
                  </c:pt>
                  <c:pt idx="2">
                    <c:v>55.861435713737258</c:v>
                  </c:pt>
                  <c:pt idx="3">
                    <c:v>36.274577874869934</c:v>
                  </c:pt>
                  <c:pt idx="4">
                    <c:v>44.568940418188149</c:v>
                  </c:pt>
                  <c:pt idx="5">
                    <c:v>12.91884089227821</c:v>
                  </c:pt>
                  <c:pt idx="6">
                    <c:v>15.178047058169184</c:v>
                  </c:pt>
                  <c:pt idx="7">
                    <c:v>16.081729524525649</c:v>
                  </c:pt>
                  <c:pt idx="8">
                    <c:v>17.437253224060239</c:v>
                  </c:pt>
                  <c:pt idx="9">
                    <c:v>4.2426406871192848</c:v>
                  </c:pt>
                  <c:pt idx="10">
                    <c:v>3.5355339059327378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GC_ketones!$I$2:$I$21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6.9296464556281734</c:v>
                  </c:pt>
                  <c:pt idx="2">
                    <c:v>55.861435713737258</c:v>
                  </c:pt>
                  <c:pt idx="3">
                    <c:v>36.274577874869934</c:v>
                  </c:pt>
                  <c:pt idx="4">
                    <c:v>44.568940418188149</c:v>
                  </c:pt>
                  <c:pt idx="5">
                    <c:v>12.91884089227821</c:v>
                  </c:pt>
                  <c:pt idx="6">
                    <c:v>15.178047058169184</c:v>
                  </c:pt>
                  <c:pt idx="7">
                    <c:v>16.081729524525649</c:v>
                  </c:pt>
                  <c:pt idx="8">
                    <c:v>17.437253224060239</c:v>
                  </c:pt>
                  <c:pt idx="9">
                    <c:v>4.2426406871192848</c:v>
                  </c:pt>
                  <c:pt idx="10">
                    <c:v>3.5355339059327378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GC_ketones!$E$2:$E$21</c:f>
              <c:numCache>
                <c:formatCode>General</c:formatCode>
                <c:ptCount val="20"/>
                <c:pt idx="0">
                  <c:v>24.689999999999998</c:v>
                </c:pt>
                <c:pt idx="1">
                  <c:v>384.27</c:v>
                </c:pt>
                <c:pt idx="2">
                  <c:v>451.5</c:v>
                </c:pt>
                <c:pt idx="3">
                  <c:v>622.07999999999993</c:v>
                </c:pt>
                <c:pt idx="4">
                  <c:v>801.05500000000006</c:v>
                </c:pt>
                <c:pt idx="5">
                  <c:v>774.875</c:v>
                </c:pt>
                <c:pt idx="6">
                  <c:v>539.1825</c:v>
                </c:pt>
                <c:pt idx="7">
                  <c:v>444.90549999999996</c:v>
                </c:pt>
                <c:pt idx="8">
                  <c:v>303.49</c:v>
                </c:pt>
                <c:pt idx="9">
                  <c:v>101</c:v>
                </c:pt>
                <c:pt idx="10">
                  <c:v>57.5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B1-448D-93DB-6F1E57AC1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18435014279066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TT1 Vicinal diketones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3889457780303485"/>
          <c:y val="0.12696190432843293"/>
          <c:w val="0.63486679790026246"/>
          <c:h val="0.6990231840950355"/>
        </c:manualLayout>
      </c:layout>
      <c:scatterChart>
        <c:scatterStyle val="lineMarker"/>
        <c:varyColors val="0"/>
        <c:ser>
          <c:idx val="0"/>
          <c:order val="0"/>
          <c:tx>
            <c:strRef>
              <c:f>GC_ketones!$D$1</c:f>
              <c:strCache>
                <c:ptCount val="1"/>
                <c:pt idx="0">
                  <c:v>1 Diacetyl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GC_ketones!$J$2:$J$21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15.29471967706502</c:v>
                  </c:pt>
                  <c:pt idx="2">
                    <c:v>3.5355339059327378</c:v>
                  </c:pt>
                  <c:pt idx="3">
                    <c:v>107.48023074035522</c:v>
                  </c:pt>
                  <c:pt idx="4">
                    <c:v>252.43712088359746</c:v>
                  </c:pt>
                  <c:pt idx="5">
                    <c:v>6.8942911165688381</c:v>
                  </c:pt>
                  <c:pt idx="6">
                    <c:v>9.4469465966522446</c:v>
                  </c:pt>
                  <c:pt idx="7">
                    <c:v>10.468008788685632</c:v>
                  </c:pt>
                  <c:pt idx="8">
                    <c:v>11.999602076735711</c:v>
                  </c:pt>
                  <c:pt idx="9">
                    <c:v>9.8994949366116654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GC_ketones!$J$2:$J$21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15.29471967706502</c:v>
                  </c:pt>
                  <c:pt idx="2">
                    <c:v>3.5355339059327378</c:v>
                  </c:pt>
                  <c:pt idx="3">
                    <c:v>107.48023074035522</c:v>
                  </c:pt>
                  <c:pt idx="4">
                    <c:v>252.43712088359746</c:v>
                  </c:pt>
                  <c:pt idx="5">
                    <c:v>6.8942911165688381</c:v>
                  </c:pt>
                  <c:pt idx="6">
                    <c:v>9.4469465966522446</c:v>
                  </c:pt>
                  <c:pt idx="7">
                    <c:v>10.468008788685632</c:v>
                  </c:pt>
                  <c:pt idx="8">
                    <c:v>11.999602076735711</c:v>
                  </c:pt>
                  <c:pt idx="9">
                    <c:v>9.8994949366116654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GC_ketones!$F$2:$F$21</c:f>
              <c:numCache>
                <c:formatCode>General</c:formatCode>
                <c:ptCount val="20"/>
                <c:pt idx="0">
                  <c:v>105.03</c:v>
                </c:pt>
                <c:pt idx="1">
                  <c:v>621.81500000000005</c:v>
                </c:pt>
                <c:pt idx="2">
                  <c:v>687.5</c:v>
                </c:pt>
                <c:pt idx="3">
                  <c:v>605</c:v>
                </c:pt>
                <c:pt idx="4">
                  <c:v>821.04</c:v>
                </c:pt>
                <c:pt idx="5">
                  <c:v>589.82500000000005</c:v>
                </c:pt>
                <c:pt idx="6">
                  <c:v>410.58500000000004</c:v>
                </c:pt>
                <c:pt idx="7">
                  <c:v>338.88900000000001</c:v>
                </c:pt>
                <c:pt idx="8">
                  <c:v>231.34500000000003</c:v>
                </c:pt>
                <c:pt idx="9">
                  <c:v>92</c:v>
                </c:pt>
                <c:pt idx="10">
                  <c:v>85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4-4A69-AB6D-3249D37E7451}"/>
            </c:ext>
          </c:extLst>
        </c:ser>
        <c:ser>
          <c:idx val="1"/>
          <c:order val="1"/>
          <c:tx>
            <c:strRef>
              <c:f>GC_ketones!$E$1</c:f>
              <c:strCache>
                <c:ptCount val="1"/>
                <c:pt idx="0">
                  <c:v>1 2,3-Pentanedione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GC_ketones!$K$2:$K$21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4.879036790187202</c:v>
                  </c:pt>
                  <c:pt idx="2">
                    <c:v>19.798989873223331</c:v>
                  </c:pt>
                  <c:pt idx="3">
                    <c:v>1.8596908345206167</c:v>
                  </c:pt>
                  <c:pt idx="4">
                    <c:v>1.2303657992645991</c:v>
                  </c:pt>
                  <c:pt idx="5">
                    <c:v>2.2132442251138906</c:v>
                  </c:pt>
                  <c:pt idx="6">
                    <c:v>1.9940411229460191</c:v>
                  </c:pt>
                  <c:pt idx="7">
                    <c:v>1.9063598820789507</c:v>
                  </c:pt>
                  <c:pt idx="8">
                    <c:v>1.7748380207782279</c:v>
                  </c:pt>
                  <c:pt idx="9">
                    <c:v>16.263455967290593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plus>
            <c:minus>
              <c:numRef>
                <c:f>GC_ketones!$K$2:$K$21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4.879036790187202</c:v>
                  </c:pt>
                  <c:pt idx="2">
                    <c:v>19.798989873223331</c:v>
                  </c:pt>
                  <c:pt idx="3">
                    <c:v>1.8596908345206167</c:v>
                  </c:pt>
                  <c:pt idx="4">
                    <c:v>1.2303657992645991</c:v>
                  </c:pt>
                  <c:pt idx="5">
                    <c:v>2.2132442251138906</c:v>
                  </c:pt>
                  <c:pt idx="6">
                    <c:v>1.9940411229460191</c:v>
                  </c:pt>
                  <c:pt idx="7">
                    <c:v>1.9063598820789507</c:v>
                  </c:pt>
                  <c:pt idx="8">
                    <c:v>1.7748380207782279</c:v>
                  </c:pt>
                  <c:pt idx="9">
                    <c:v>16.263455967290593</c:v>
                  </c:pt>
                  <c:pt idx="10">
                    <c:v>0</c:v>
                  </c:pt>
                  <c:pt idx="11">
                    <c:v>#N/A</c:v>
                  </c:pt>
                  <c:pt idx="12">
                    <c:v>#N/A</c:v>
                  </c:pt>
                  <c:pt idx="13">
                    <c:v>#N/A</c:v>
                  </c:pt>
                  <c:pt idx="14">
                    <c:v>#N/A</c:v>
                  </c:pt>
                  <c:pt idx="15">
                    <c:v>#N/A</c:v>
                  </c:pt>
                  <c:pt idx="16">
                    <c:v>#N/A</c:v>
                  </c:pt>
                  <c:pt idx="17">
                    <c:v>#N/A</c:v>
                  </c:pt>
                  <c:pt idx="18">
                    <c:v>#N/A</c:v>
                  </c:pt>
                  <c:pt idx="19">
                    <c:v>#N/A</c:v>
                  </c:pt>
                </c:numCache>
              </c:numRef>
            </c:minus>
          </c:errBars>
          <c:xVal>
            <c:numRef>
              <c:f>GC_ketones!$B$2:$B$21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GC_ketones!$G$2:$G$21</c:f>
              <c:numCache>
                <c:formatCode>General</c:formatCode>
                <c:ptCount val="20"/>
                <c:pt idx="0">
                  <c:v>24.5</c:v>
                </c:pt>
                <c:pt idx="1">
                  <c:v>367.46000000000004</c:v>
                </c:pt>
                <c:pt idx="2">
                  <c:v>487</c:v>
                </c:pt>
                <c:pt idx="3">
                  <c:v>570.67499999999995</c:v>
                </c:pt>
                <c:pt idx="4">
                  <c:v>739.18</c:v>
                </c:pt>
                <c:pt idx="5">
                  <c:v>858.65499999999997</c:v>
                </c:pt>
                <c:pt idx="6">
                  <c:v>595.39</c:v>
                </c:pt>
                <c:pt idx="7">
                  <c:v>490.084</c:v>
                </c:pt>
                <c:pt idx="8">
                  <c:v>332.125</c:v>
                </c:pt>
                <c:pt idx="9">
                  <c:v>89.5</c:v>
                </c:pt>
                <c:pt idx="10">
                  <c:v>101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74-4A69-AB6D-3249D37E7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0463"/>
        <c:axId val="1957277583"/>
      </c:scatterChart>
      <c:valAx>
        <c:axId val="1957280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Time (hours)</a:t>
                </a:r>
              </a:p>
            </c:rich>
          </c:tx>
          <c:layout>
            <c:manualLayout>
              <c:xMode val="edge"/>
              <c:yMode val="edge"/>
              <c:x val="0.393938952075435"/>
              <c:y val="0.926632545640763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77583"/>
        <c:crosses val="autoZero"/>
        <c:crossBetween val="midCat"/>
      </c:valAx>
      <c:valAx>
        <c:axId val="19572775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200"/>
                  <a:t>Conc (mg/L)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95728046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64523708506017"/>
          <c:y val="0.11396533863903556"/>
          <c:w val="0.22024426271438677"/>
          <c:h val="0.184350142790667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Cell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averages_to_plot!$E$2:$E$21</c:f>
                <c:numCache>
                  <c:formatCode>General</c:formatCode>
                  <c:ptCount val="20"/>
                  <c:pt idx="0">
                    <c:v>91782.460198013869</c:v>
                  </c:pt>
                  <c:pt idx="1">
                    <c:v>142128.46301849606</c:v>
                  </c:pt>
                  <c:pt idx="2">
                    <c:v>721814.60223522515</c:v>
                  </c:pt>
                  <c:pt idx="3">
                    <c:v>2052589.5644283101</c:v>
                  </c:pt>
                  <c:pt idx="4">
                    <c:v>1762110.0987168765</c:v>
                  </c:pt>
                  <c:pt idx="5">
                    <c:v>69296.464556281659</c:v>
                  </c:pt>
                  <c:pt idx="6">
                    <c:v>3309966.8427342288</c:v>
                  </c:pt>
                  <c:pt idx="7">
                    <c:v>393292.79169595771</c:v>
                  </c:pt>
                  <c:pt idx="8">
                    <c:v>370382.53198551357</c:v>
                  </c:pt>
                  <c:pt idx="9">
                    <c:v>73680.526599638251</c:v>
                  </c:pt>
                  <c:pt idx="10">
                    <c:v>134350.28842544404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averages_to_plot!$E$2:$E$21</c:f>
                <c:numCache>
                  <c:formatCode>General</c:formatCode>
                  <c:ptCount val="20"/>
                  <c:pt idx="0">
                    <c:v>91782.460198013869</c:v>
                  </c:pt>
                  <c:pt idx="1">
                    <c:v>142128.46301849606</c:v>
                  </c:pt>
                  <c:pt idx="2">
                    <c:v>721814.60223522515</c:v>
                  </c:pt>
                  <c:pt idx="3">
                    <c:v>2052589.5644283101</c:v>
                  </c:pt>
                  <c:pt idx="4">
                    <c:v>1762110.0987168765</c:v>
                  </c:pt>
                  <c:pt idx="5">
                    <c:v>69296.464556281659</c:v>
                  </c:pt>
                  <c:pt idx="6">
                    <c:v>3309966.8427342288</c:v>
                  </c:pt>
                  <c:pt idx="7">
                    <c:v>393292.79169595771</c:v>
                  </c:pt>
                  <c:pt idx="8">
                    <c:v>370382.53198551357</c:v>
                  </c:pt>
                  <c:pt idx="9">
                    <c:v>73680.526599638251</c:v>
                  </c:pt>
                  <c:pt idx="10">
                    <c:v>134350.28842544404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averages_to_plot!$D$2:$D$21</c:f>
              <c:numCache>
                <c:formatCode>0.00E+00</c:formatCode>
                <c:ptCount val="20"/>
                <c:pt idx="0">
                  <c:v>4797100</c:v>
                </c:pt>
                <c:pt idx="1">
                  <c:v>14074500</c:v>
                </c:pt>
                <c:pt idx="2">
                  <c:v>32080400</c:v>
                </c:pt>
                <c:pt idx="3">
                  <c:v>42353400</c:v>
                </c:pt>
                <c:pt idx="4">
                  <c:v>39740000</c:v>
                </c:pt>
                <c:pt idx="5">
                  <c:v>37837800</c:v>
                </c:pt>
                <c:pt idx="6">
                  <c:v>13265500</c:v>
                </c:pt>
                <c:pt idx="7">
                  <c:v>5498900</c:v>
                </c:pt>
                <c:pt idx="8">
                  <c:v>2736900</c:v>
                </c:pt>
                <c:pt idx="9">
                  <c:v>2362900</c:v>
                </c:pt>
                <c:pt idx="10">
                  <c:v>1805000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0-48B0-9B1C-F656D8D4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Cell count</a:t>
                </a:r>
                <a:r>
                  <a:rPr lang="nl-NL" baseline="0"/>
                  <a:t> average (Cells/mL)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Viability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averages_to_plot!$G$2:$G$21</c:f>
                <c:numCache>
                  <c:formatCode>General</c:formatCode>
                  <c:ptCount val="20"/>
                  <c:pt idx="0">
                    <c:v>3.9891617752763943E-5</c:v>
                  </c:pt>
                  <c:pt idx="1">
                    <c:v>1.4350507129070581E-5</c:v>
                  </c:pt>
                  <c:pt idx="2">
                    <c:v>2.1046375529850527E-5</c:v>
                  </c:pt>
                  <c:pt idx="3">
                    <c:v>4.5824302341820728E-5</c:v>
                  </c:pt>
                  <c:pt idx="4">
                    <c:v>5.5843736191254897E-5</c:v>
                  </c:pt>
                  <c:pt idx="5">
                    <c:v>2.9040982287501068E-6</c:v>
                  </c:pt>
                  <c:pt idx="6">
                    <c:v>1.3589661371888448E-3</c:v>
                  </c:pt>
                  <c:pt idx="7">
                    <c:v>1.0431975290432242E-3</c:v>
                  </c:pt>
                  <c:pt idx="8">
                    <c:v>4.4912817488875932E-3</c:v>
                  </c:pt>
                  <c:pt idx="9">
                    <c:v>1.320301835895173E-3</c:v>
                  </c:pt>
                  <c:pt idx="10">
                    <c:v>4.5486401128959865E-3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averages_to_plot!$G$2:$G$21</c:f>
                <c:numCache>
                  <c:formatCode>General</c:formatCode>
                  <c:ptCount val="20"/>
                  <c:pt idx="0">
                    <c:v>3.9891617752763943E-5</c:v>
                  </c:pt>
                  <c:pt idx="1">
                    <c:v>1.4350507129070581E-5</c:v>
                  </c:pt>
                  <c:pt idx="2">
                    <c:v>2.1046375529850527E-5</c:v>
                  </c:pt>
                  <c:pt idx="3">
                    <c:v>4.5824302341820728E-5</c:v>
                  </c:pt>
                  <c:pt idx="4">
                    <c:v>5.5843736191254897E-5</c:v>
                  </c:pt>
                  <c:pt idx="5">
                    <c:v>2.9040982287501068E-6</c:v>
                  </c:pt>
                  <c:pt idx="6">
                    <c:v>1.3589661371888448E-3</c:v>
                  </c:pt>
                  <c:pt idx="7">
                    <c:v>1.0431975290432242E-3</c:v>
                  </c:pt>
                  <c:pt idx="8">
                    <c:v>4.4912817488875932E-3</c:v>
                  </c:pt>
                  <c:pt idx="9">
                    <c:v>1.320301835895173E-3</c:v>
                  </c:pt>
                  <c:pt idx="10">
                    <c:v>4.5486401128959865E-3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averages_to_plot!$F$2:$F$21</c:f>
              <c:numCache>
                <c:formatCode>0%</c:formatCode>
                <c:ptCount val="20"/>
                <c:pt idx="0">
                  <c:v>0.99791502560392542</c:v>
                </c:pt>
                <c:pt idx="1">
                  <c:v>0.99857891791482745</c:v>
                </c:pt>
                <c:pt idx="2">
                  <c:v>0.99906461279190439</c:v>
                </c:pt>
                <c:pt idx="3">
                  <c:v>0.9990544553862879</c:v>
                </c:pt>
                <c:pt idx="4">
                  <c:v>0.99874058375929176</c:v>
                </c:pt>
                <c:pt idx="5">
                  <c:v>0.99841428146927491</c:v>
                </c:pt>
                <c:pt idx="6">
                  <c:v>0.99455361151654698</c:v>
                </c:pt>
                <c:pt idx="7">
                  <c:v>0.98541432995067302</c:v>
                </c:pt>
                <c:pt idx="8">
                  <c:v>0.96681217941722142</c:v>
                </c:pt>
                <c:pt idx="9">
                  <c:v>0.95765853812380142</c:v>
                </c:pt>
                <c:pt idx="10">
                  <c:v>0.93888888888888888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B-403D-AB5E-087DB363C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Viability</a:t>
                </a:r>
                <a:r>
                  <a:rPr lang="nl-NL" baseline="0"/>
                  <a:t> average (Cells/mL)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Attenuation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averages_to_plot!$K$2:$K$21</c:f>
                <c:numCache>
                  <c:formatCode>General</c:formatCode>
                  <c:ptCount val="20"/>
                  <c:pt idx="0">
                    <c:v>0.12232947314527401</c:v>
                  </c:pt>
                  <c:pt idx="1">
                    <c:v>0.3775950211536156</c:v>
                  </c:pt>
                  <c:pt idx="2">
                    <c:v>0.94115912575929561</c:v>
                  </c:pt>
                  <c:pt idx="3">
                    <c:v>0.16829141392239924</c:v>
                  </c:pt>
                  <c:pt idx="4">
                    <c:v>0.26021529547664973</c:v>
                  </c:pt>
                  <c:pt idx="5">
                    <c:v>0</c:v>
                  </c:pt>
                  <c:pt idx="6">
                    <c:v>0.24253762594698577</c:v>
                  </c:pt>
                  <c:pt idx="7">
                    <c:v>8.5559920523572558E-2</c:v>
                  </c:pt>
                  <c:pt idx="8">
                    <c:v>2.12132034355966E-2</c:v>
                  </c:pt>
                  <c:pt idx="9">
                    <c:v>0.1986970055134209</c:v>
                  </c:pt>
                  <c:pt idx="10">
                    <c:v>6.7175144212722152E-2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averages_to_plot!$K$2:$K$21</c:f>
                <c:numCache>
                  <c:formatCode>General</c:formatCode>
                  <c:ptCount val="20"/>
                  <c:pt idx="0">
                    <c:v>0.12232947314527401</c:v>
                  </c:pt>
                  <c:pt idx="1">
                    <c:v>0.3775950211536156</c:v>
                  </c:pt>
                  <c:pt idx="2">
                    <c:v>0.94115912575929561</c:v>
                  </c:pt>
                  <c:pt idx="3">
                    <c:v>0.16829141392239924</c:v>
                  </c:pt>
                  <c:pt idx="4">
                    <c:v>0.26021529547664973</c:v>
                  </c:pt>
                  <c:pt idx="5">
                    <c:v>0</c:v>
                  </c:pt>
                  <c:pt idx="6">
                    <c:v>0.24253762594698577</c:v>
                  </c:pt>
                  <c:pt idx="7">
                    <c:v>8.5559920523572558E-2</c:v>
                  </c:pt>
                  <c:pt idx="8">
                    <c:v>2.12132034355966E-2</c:v>
                  </c:pt>
                  <c:pt idx="9">
                    <c:v>0.1986970055134209</c:v>
                  </c:pt>
                  <c:pt idx="10">
                    <c:v>6.7175144212722152E-2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averages_to_plot!$J$2:$J$21</c:f>
              <c:numCache>
                <c:formatCode>General</c:formatCode>
                <c:ptCount val="20"/>
                <c:pt idx="0">
                  <c:v>17.2135</c:v>
                </c:pt>
                <c:pt idx="1">
                  <c:v>16.766999999999999</c:v>
                </c:pt>
                <c:pt idx="2">
                  <c:v>14.624500000000001</c:v>
                </c:pt>
                <c:pt idx="3">
                  <c:v>12.257000000000001</c:v>
                </c:pt>
                <c:pt idx="4">
                  <c:v>8.9239999999999995</c:v>
                </c:pt>
                <c:pt idx="5">
                  <c:v>6.8599999999999994</c:v>
                </c:pt>
                <c:pt idx="6">
                  <c:v>4.8265000000000002</c:v>
                </c:pt>
                <c:pt idx="7">
                  <c:v>4.8445</c:v>
                </c:pt>
                <c:pt idx="8">
                  <c:v>4.3710000000000004</c:v>
                </c:pt>
                <c:pt idx="9">
                  <c:v>4.6555</c:v>
                </c:pt>
                <c:pt idx="10">
                  <c:v>4.0374999999999996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4-42C4-A770-19E74097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Attenuation</a:t>
                </a:r>
                <a:r>
                  <a:rPr lang="nl-NL" baseline="0"/>
                  <a:t> (</a:t>
                </a:r>
                <a:r>
                  <a:rPr lang="nl-NL" baseline="0">
                    <a:latin typeface="Arial" panose="020B0604020202020204" pitchFamily="34" charset="0"/>
                    <a:cs typeface="Arial" panose="020B0604020202020204" pitchFamily="34" charset="0"/>
                  </a:rPr>
                  <a:t>°P)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Cone</a:t>
            </a:r>
            <a:r>
              <a:rPr lang="nl-NL" baseline="0"/>
              <a:t> viability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averages_to_plot!$I$2</c:f>
                <c:numCache>
                  <c:formatCode>General</c:formatCode>
                  <c:ptCount val="1"/>
                  <c:pt idx="0">
                    <c:v>4.0494903193248723E-3</c:v>
                  </c:pt>
                </c:numCache>
              </c:numRef>
            </c:plus>
            <c:minus>
              <c:numRef>
                <c:f>averages_to_plot!$I$2</c:f>
                <c:numCache>
                  <c:formatCode>General</c:formatCode>
                  <c:ptCount val="1"/>
                  <c:pt idx="0">
                    <c:v>4.0494903193248723E-3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averages_to_plot!$H$2</c:f>
              <c:numCache>
                <c:formatCode>0%</c:formatCode>
                <c:ptCount val="1"/>
                <c:pt idx="0">
                  <c:v>0.91857715962083653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A-4C69-9EF3-22D0F7BB8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781535"/>
        <c:axId val="175782015"/>
      </c:barChart>
      <c:catAx>
        <c:axId val="1757815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5782015"/>
        <c:crosses val="autoZero"/>
        <c:auto val="1"/>
        <c:lblAlgn val="ctr"/>
        <c:lblOffset val="100"/>
        <c:noMultiLvlLbl val="0"/>
      </c:catAx>
      <c:valAx>
        <c:axId val="1757820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Cone viability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578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Sugars and ethanol</a:t>
            </a:r>
          </a:p>
        </c:rich>
      </c:tx>
      <c:layout>
        <c:manualLayout>
          <c:xMode val="edge"/>
          <c:yMode val="edge"/>
          <c:x val="0.45366666666666661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3848526719562265"/>
          <c:y val="0.17171296296296296"/>
          <c:w val="0.74341092568613865"/>
          <c:h val="0.70696741032370958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averages_to_plot!$N$1</c:f>
              <c:strCache>
                <c:ptCount val="1"/>
                <c:pt idx="0">
                  <c:v>Maltotriose_avg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averages_to_plot!$O$2:$O$21</c:f>
                <c:numCache>
                  <c:formatCode>General</c:formatCode>
                  <c:ptCount val="20"/>
                  <c:pt idx="0">
                    <c:v>2.0674347881660018</c:v>
                  </c:pt>
                  <c:pt idx="1">
                    <c:v>0.20223462248908672</c:v>
                  </c:pt>
                  <c:pt idx="2">
                    <c:v>0.63730956673432626</c:v>
                  </c:pt>
                  <c:pt idx="3">
                    <c:v>0.3028069756369256</c:v>
                  </c:pt>
                  <c:pt idx="4">
                    <c:v>0.67253860679585542</c:v>
                  </c:pt>
                  <c:pt idx="5">
                    <c:v>0.17626733518338386</c:v>
                  </c:pt>
                  <c:pt idx="6">
                    <c:v>0.65940617558255643</c:v>
                  </c:pt>
                  <c:pt idx="7">
                    <c:v>3.9336516330098624E-2</c:v>
                  </c:pt>
                  <c:pt idx="8">
                    <c:v>0.4185784714573606</c:v>
                  </c:pt>
                  <c:pt idx="9">
                    <c:v>0.42181481448317149</c:v>
                  </c:pt>
                  <c:pt idx="10">
                    <c:v>0.46298476131606292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averages_to_plot!$O$2:$O$21</c:f>
                <c:numCache>
                  <c:formatCode>General</c:formatCode>
                  <c:ptCount val="20"/>
                  <c:pt idx="0">
                    <c:v>2.0674347881660018</c:v>
                  </c:pt>
                  <c:pt idx="1">
                    <c:v>0.20223462248908672</c:v>
                  </c:pt>
                  <c:pt idx="2">
                    <c:v>0.63730956673432626</c:v>
                  </c:pt>
                  <c:pt idx="3">
                    <c:v>0.3028069756369256</c:v>
                  </c:pt>
                  <c:pt idx="4">
                    <c:v>0.67253860679585542</c:v>
                  </c:pt>
                  <c:pt idx="5">
                    <c:v>0.17626733518338386</c:v>
                  </c:pt>
                  <c:pt idx="6">
                    <c:v>0.65940617558255643</c:v>
                  </c:pt>
                  <c:pt idx="7">
                    <c:v>3.9336516330098624E-2</c:v>
                  </c:pt>
                  <c:pt idx="8">
                    <c:v>0.4185784714573606</c:v>
                  </c:pt>
                  <c:pt idx="9">
                    <c:v>0.42181481448317149</c:v>
                  </c:pt>
                  <c:pt idx="10">
                    <c:v>0.46298476131606292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averages_to_plot!$N$2:$N$21</c:f>
              <c:numCache>
                <c:formatCode>General</c:formatCode>
                <c:ptCount val="20"/>
                <c:pt idx="0">
                  <c:v>26.705603076878354</c:v>
                </c:pt>
                <c:pt idx="1">
                  <c:v>29.295838431226059</c:v>
                </c:pt>
                <c:pt idx="2">
                  <c:v>25.488594203373225</c:v>
                </c:pt>
                <c:pt idx="3">
                  <c:v>25.984788822816171</c:v>
                </c:pt>
                <c:pt idx="4">
                  <c:v>25.111182801284482</c:v>
                </c:pt>
                <c:pt idx="5">
                  <c:v>23.273054758866202</c:v>
                </c:pt>
                <c:pt idx="6">
                  <c:v>20.391254444367583</c:v>
                </c:pt>
                <c:pt idx="7">
                  <c:v>18.845535914666332</c:v>
                </c:pt>
                <c:pt idx="8">
                  <c:v>17.579949961875045</c:v>
                </c:pt>
                <c:pt idx="9">
                  <c:v>17.788370190872399</c:v>
                </c:pt>
                <c:pt idx="10">
                  <c:v>18.474029294708281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60-4319-BC7E-A4AB784DF961}"/>
            </c:ext>
          </c:extLst>
        </c:ser>
        <c:ser>
          <c:idx val="1"/>
          <c:order val="1"/>
          <c:tx>
            <c:strRef>
              <c:f>averages_to_plot!$P$1</c:f>
              <c:strCache>
                <c:ptCount val="1"/>
                <c:pt idx="0">
                  <c:v>Maltose_avg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averages_to_plot!$Q$2:$Q$21</c:f>
                <c:numCache>
                  <c:formatCode>General</c:formatCode>
                  <c:ptCount val="20"/>
                  <c:pt idx="0">
                    <c:v>3.3245059530356635</c:v>
                  </c:pt>
                  <c:pt idx="1">
                    <c:v>2.5450400211983282</c:v>
                  </c:pt>
                  <c:pt idx="2">
                    <c:v>0.20689890089547422</c:v>
                  </c:pt>
                  <c:pt idx="3">
                    <c:v>2.034691056679403</c:v>
                  </c:pt>
                  <c:pt idx="4">
                    <c:v>2.6721560878344359</c:v>
                  </c:pt>
                  <c:pt idx="5">
                    <c:v>0.57141272289856571</c:v>
                  </c:pt>
                  <c:pt idx="6">
                    <c:v>6.9481883332289654E-3</c:v>
                  </c:pt>
                  <c:pt idx="7">
                    <c:v>0.14345346447431462</c:v>
                  </c:pt>
                  <c:pt idx="8">
                    <c:v>5.5324032184162528E-2</c:v>
                  </c:pt>
                  <c:pt idx="9">
                    <c:v>4.2240317811648179E-2</c:v>
                  </c:pt>
                  <c:pt idx="10">
                    <c:v>3.7858968105618597E-2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averages_to_plot!$Q$2:$Q$21</c:f>
                <c:numCache>
                  <c:formatCode>General</c:formatCode>
                  <c:ptCount val="20"/>
                  <c:pt idx="0">
                    <c:v>3.3245059530356635</c:v>
                  </c:pt>
                  <c:pt idx="1">
                    <c:v>2.5450400211983282</c:v>
                  </c:pt>
                  <c:pt idx="2">
                    <c:v>0.20689890089547422</c:v>
                  </c:pt>
                  <c:pt idx="3">
                    <c:v>2.034691056679403</c:v>
                  </c:pt>
                  <c:pt idx="4">
                    <c:v>2.6721560878344359</c:v>
                  </c:pt>
                  <c:pt idx="5">
                    <c:v>0.57141272289856571</c:v>
                  </c:pt>
                  <c:pt idx="6">
                    <c:v>6.9481883332289654E-3</c:v>
                  </c:pt>
                  <c:pt idx="7">
                    <c:v>0.14345346447431462</c:v>
                  </c:pt>
                  <c:pt idx="8">
                    <c:v>5.5324032184162528E-2</c:v>
                  </c:pt>
                  <c:pt idx="9">
                    <c:v>4.2240317811648179E-2</c:v>
                  </c:pt>
                  <c:pt idx="10">
                    <c:v>3.7858968105618597E-2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averages_to_plot!$P$2:$P$21</c:f>
              <c:numCache>
                <c:formatCode>General</c:formatCode>
                <c:ptCount val="20"/>
                <c:pt idx="0">
                  <c:v>84.671135975760237</c:v>
                </c:pt>
                <c:pt idx="1">
                  <c:v>82.677888677595504</c:v>
                </c:pt>
                <c:pt idx="2">
                  <c:v>72.40676582531448</c:v>
                </c:pt>
                <c:pt idx="3">
                  <c:v>55.45974982474344</c:v>
                </c:pt>
                <c:pt idx="4">
                  <c:v>35.44325980483967</c:v>
                </c:pt>
                <c:pt idx="5">
                  <c:v>19.857961706263932</c:v>
                </c:pt>
                <c:pt idx="6">
                  <c:v>5.2908900409393356</c:v>
                </c:pt>
                <c:pt idx="7">
                  <c:v>3.9351088508107104</c:v>
                </c:pt>
                <c:pt idx="8">
                  <c:v>3.4483722496701992</c:v>
                </c:pt>
                <c:pt idx="9">
                  <c:v>3.2539524555013948</c:v>
                </c:pt>
                <c:pt idx="10">
                  <c:v>3.3064247421977964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60-4319-BC7E-A4AB784DF961}"/>
            </c:ext>
          </c:extLst>
        </c:ser>
        <c:ser>
          <c:idx val="2"/>
          <c:order val="2"/>
          <c:tx>
            <c:strRef>
              <c:f>averages_to_plot!$R$1</c:f>
              <c:strCache>
                <c:ptCount val="1"/>
                <c:pt idx="0">
                  <c:v>Glucose_avg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averages_to_plot!$R$2:$R$21</c:f>
              <c:numCache>
                <c:formatCode>General</c:formatCode>
                <c:ptCount val="20"/>
                <c:pt idx="0">
                  <c:v>19.812511942930957</c:v>
                </c:pt>
                <c:pt idx="1">
                  <c:v>15.747712602827903</c:v>
                </c:pt>
                <c:pt idx="2">
                  <c:v>13.690986981284263</c:v>
                </c:pt>
                <c:pt idx="3">
                  <c:v>3.2719513055787477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60-4319-BC7E-A4AB784DF961}"/>
            </c:ext>
          </c:extLst>
        </c:ser>
        <c:ser>
          <c:idx val="3"/>
          <c:order val="3"/>
          <c:tx>
            <c:strRef>
              <c:f>averages_to_plot!$T$1</c:f>
              <c:strCache>
                <c:ptCount val="1"/>
                <c:pt idx="0">
                  <c:v>Fructose_avg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averages_to_plot!$U$2:$U$21</c:f>
                <c:numCache>
                  <c:formatCode>General</c:formatCode>
                  <c:ptCount val="20"/>
                  <c:pt idx="0">
                    <c:v>0.44216391391248278</c:v>
                  </c:pt>
                  <c:pt idx="1">
                    <c:v>0.23883094042978731</c:v>
                  </c:pt>
                  <c:pt idx="2">
                    <c:v>0.21257922460499701</c:v>
                  </c:pt>
                  <c:pt idx="3">
                    <c:v>8.3634243172326608E-2</c:v>
                  </c:pt>
                  <c:pt idx="4">
                    <c:v>0.11298351325330626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averages_to_plot!$U$2:$U$21</c:f>
                <c:numCache>
                  <c:formatCode>General</c:formatCode>
                  <c:ptCount val="20"/>
                  <c:pt idx="0">
                    <c:v>0.44216391391248278</c:v>
                  </c:pt>
                  <c:pt idx="1">
                    <c:v>0.23883094042978731</c:v>
                  </c:pt>
                  <c:pt idx="2">
                    <c:v>0.21257922460499701</c:v>
                  </c:pt>
                  <c:pt idx="3">
                    <c:v>8.3634243172326608E-2</c:v>
                  </c:pt>
                  <c:pt idx="4">
                    <c:v>0.11298351325330626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averages_to_plot!$T$2:$T$21</c:f>
              <c:numCache>
                <c:formatCode>General</c:formatCode>
                <c:ptCount val="20"/>
                <c:pt idx="0">
                  <c:v>7.6388237825552503</c:v>
                </c:pt>
                <c:pt idx="1">
                  <c:v>6.5422230789835147</c:v>
                </c:pt>
                <c:pt idx="2">
                  <c:v>5.8892556051358529</c:v>
                </c:pt>
                <c:pt idx="3">
                  <c:v>3.6663287942624203</c:v>
                </c:pt>
                <c:pt idx="4">
                  <c:v>1.7500885441119891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60-4319-BC7E-A4AB784DF961}"/>
            </c:ext>
          </c:extLst>
        </c:ser>
        <c:ser>
          <c:idx val="4"/>
          <c:order val="4"/>
          <c:tx>
            <c:strRef>
              <c:f>averages_to_plot!$V$1</c:f>
              <c:strCache>
                <c:ptCount val="1"/>
                <c:pt idx="0">
                  <c:v>Glycerol_avg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averages_to_plot!$W$2:$W$22</c:f>
                <c:numCache>
                  <c:formatCode>General</c:formatCode>
                  <c:ptCount val="21"/>
                  <c:pt idx="0">
                    <c:v>0</c:v>
                  </c:pt>
                  <c:pt idx="1">
                    <c:v>1.5651413445534285E-3</c:v>
                  </c:pt>
                  <c:pt idx="2">
                    <c:v>2.2979978794893188E-2</c:v>
                  </c:pt>
                  <c:pt idx="3">
                    <c:v>1.1190388301891516E-2</c:v>
                  </c:pt>
                  <c:pt idx="4">
                    <c:v>0.18403382485298511</c:v>
                  </c:pt>
                  <c:pt idx="5">
                    <c:v>7.9686445995612115E-2</c:v>
                  </c:pt>
                  <c:pt idx="6">
                    <c:v>5.0712744922518607E-2</c:v>
                  </c:pt>
                  <c:pt idx="7">
                    <c:v>8.2957832682608049E-2</c:v>
                  </c:pt>
                  <c:pt idx="8">
                    <c:v>7.5226447581166361E-4</c:v>
                  </c:pt>
                  <c:pt idx="9">
                    <c:v>7.897499971561843E-2</c:v>
                  </c:pt>
                  <c:pt idx="10">
                    <c:v>0.12253211398277349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averages_to_plot!$W$2:$W$21</c:f>
                <c:numCache>
                  <c:formatCode>General</c:formatCode>
                  <c:ptCount val="20"/>
                  <c:pt idx="0">
                    <c:v>0</c:v>
                  </c:pt>
                  <c:pt idx="1">
                    <c:v>1.5651413445534285E-3</c:v>
                  </c:pt>
                  <c:pt idx="2">
                    <c:v>2.2979978794893188E-2</c:v>
                  </c:pt>
                  <c:pt idx="3">
                    <c:v>1.1190388301891516E-2</c:v>
                  </c:pt>
                  <c:pt idx="4">
                    <c:v>0.18403382485298511</c:v>
                  </c:pt>
                  <c:pt idx="5">
                    <c:v>7.9686445995612115E-2</c:v>
                  </c:pt>
                  <c:pt idx="6">
                    <c:v>5.0712744922518607E-2</c:v>
                  </c:pt>
                  <c:pt idx="7">
                    <c:v>8.2957832682608049E-2</c:v>
                  </c:pt>
                  <c:pt idx="8">
                    <c:v>7.5226447581166361E-4</c:v>
                  </c:pt>
                  <c:pt idx="9">
                    <c:v>7.897499971561843E-2</c:v>
                  </c:pt>
                  <c:pt idx="10">
                    <c:v>0.12253211398277349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averages_to_plot!$V$2:$V$21</c:f>
              <c:numCache>
                <c:formatCode>General</c:formatCode>
                <c:ptCount val="20"/>
                <c:pt idx="0">
                  <c:v>0</c:v>
                </c:pt>
                <c:pt idx="1">
                  <c:v>0.46667937048226327</c:v>
                </c:pt>
                <c:pt idx="2">
                  <c:v>0.40511667581498023</c:v>
                </c:pt>
                <c:pt idx="3">
                  <c:v>1.5062464110248897</c:v>
                </c:pt>
                <c:pt idx="4">
                  <c:v>1.9263834378008826</c:v>
                </c:pt>
                <c:pt idx="5">
                  <c:v>2.2932086690734583</c:v>
                </c:pt>
                <c:pt idx="6">
                  <c:v>2.5698617832050901</c:v>
                </c:pt>
                <c:pt idx="7">
                  <c:v>2.489014725373349</c:v>
                </c:pt>
                <c:pt idx="8">
                  <c:v>2.5508687126136138</c:v>
                </c:pt>
                <c:pt idx="9">
                  <c:v>2.5845605757713388</c:v>
                </c:pt>
                <c:pt idx="10">
                  <c:v>2.6700403742905294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60-4319-BC7E-A4AB784DF961}"/>
            </c:ext>
          </c:extLst>
        </c:ser>
        <c:ser>
          <c:idx val="5"/>
          <c:order val="5"/>
          <c:tx>
            <c:strRef>
              <c:f>averages_to_plot!$X$1</c:f>
              <c:strCache>
                <c:ptCount val="1"/>
                <c:pt idx="0">
                  <c:v>Ethanol_avg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averages_to_plot!$Y$2:$Y$21</c:f>
                <c:numCache>
                  <c:formatCode>General</c:formatCode>
                  <c:ptCount val="20"/>
                  <c:pt idx="0">
                    <c:v>6.2275282869782213E-2</c:v>
                  </c:pt>
                  <c:pt idx="1">
                    <c:v>0.25260998467025386</c:v>
                  </c:pt>
                  <c:pt idx="2">
                    <c:v>0.14940511078525551</c:v>
                  </c:pt>
                  <c:pt idx="3">
                    <c:v>0.48380788530814905</c:v>
                  </c:pt>
                  <c:pt idx="4">
                    <c:v>1.8621877059629246</c:v>
                  </c:pt>
                  <c:pt idx="5">
                    <c:v>3.8152132631855441E-2</c:v>
                  </c:pt>
                  <c:pt idx="6">
                    <c:v>1.4873604144956272</c:v>
                  </c:pt>
                  <c:pt idx="7">
                    <c:v>7.8383454700222455E-2</c:v>
                  </c:pt>
                  <c:pt idx="8">
                    <c:v>1.846326463967545</c:v>
                  </c:pt>
                  <c:pt idx="9">
                    <c:v>1.5807525342901323</c:v>
                  </c:pt>
                  <c:pt idx="10">
                    <c:v>1.552633879991433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averages_to_plot!$Y$2:$Y$21</c:f>
                <c:numCache>
                  <c:formatCode>General</c:formatCode>
                  <c:ptCount val="20"/>
                  <c:pt idx="0">
                    <c:v>6.2275282869782213E-2</c:v>
                  </c:pt>
                  <c:pt idx="1">
                    <c:v>0.25260998467025386</c:v>
                  </c:pt>
                  <c:pt idx="2">
                    <c:v>0.14940511078525551</c:v>
                  </c:pt>
                  <c:pt idx="3">
                    <c:v>0.48380788530814905</c:v>
                  </c:pt>
                  <c:pt idx="4">
                    <c:v>1.8621877059629246</c:v>
                  </c:pt>
                  <c:pt idx="5">
                    <c:v>3.8152132631855441E-2</c:v>
                  </c:pt>
                  <c:pt idx="6">
                    <c:v>1.4873604144956272</c:v>
                  </c:pt>
                  <c:pt idx="7">
                    <c:v>7.8383454700222455E-2</c:v>
                  </c:pt>
                  <c:pt idx="8">
                    <c:v>1.846326463967545</c:v>
                  </c:pt>
                  <c:pt idx="9">
                    <c:v>1.5807525342901323</c:v>
                  </c:pt>
                  <c:pt idx="10">
                    <c:v>1.552633879991433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averages_to_plot!$X$2:$X$21</c:f>
              <c:numCache>
                <c:formatCode>General</c:formatCode>
                <c:ptCount val="20"/>
                <c:pt idx="0">
                  <c:v>0.75289852363031917</c:v>
                </c:pt>
                <c:pt idx="1">
                  <c:v>4.1391283380906412</c:v>
                </c:pt>
                <c:pt idx="2">
                  <c:v>3.5622508869622278</c:v>
                </c:pt>
                <c:pt idx="3">
                  <c:v>25.711309208762088</c:v>
                </c:pt>
                <c:pt idx="4">
                  <c:v>33.658350253384128</c:v>
                </c:pt>
                <c:pt idx="5">
                  <c:v>45.825947130297095</c:v>
                </c:pt>
                <c:pt idx="6">
                  <c:v>56.618121267096818</c:v>
                </c:pt>
                <c:pt idx="7">
                  <c:v>59.954871470271812</c:v>
                </c:pt>
                <c:pt idx="8">
                  <c:v>58.047685005771307</c:v>
                </c:pt>
                <c:pt idx="9">
                  <c:v>56.683307962491426</c:v>
                </c:pt>
                <c:pt idx="10">
                  <c:v>62.146381937148263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60-4319-BC7E-A4AB784DF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(g/L)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04653566305691"/>
          <c:y val="9.4535214348206498E-2"/>
          <c:w val="0.24116671373422605"/>
          <c:h val="0.302086614173228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Vicinal diketones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averages_to_plot!$AR$1</c:f>
              <c:strCache>
                <c:ptCount val="1"/>
                <c:pt idx="0">
                  <c:v>Diacetyl_avg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averages_to_plot!$AS$2:$AS$21</c:f>
                <c:numCache>
                  <c:formatCode>General</c:formatCode>
                  <c:ptCount val="20"/>
                  <c:pt idx="0">
                    <c:v>5.2361257146863851</c:v>
                  </c:pt>
                  <c:pt idx="1">
                    <c:v>3.1890515831513229</c:v>
                  </c:pt>
                  <c:pt idx="2">
                    <c:v>7.0710678118654755</c:v>
                  </c:pt>
                  <c:pt idx="3">
                    <c:v>74.246212024587493</c:v>
                  </c:pt>
                  <c:pt idx="4">
                    <c:v>145.37408314414225</c:v>
                  </c:pt>
                  <c:pt idx="5">
                    <c:v>8.6408448660996307</c:v>
                  </c:pt>
                  <c:pt idx="6">
                    <c:v>25.620246449341554</c:v>
                  </c:pt>
                  <c:pt idx="7">
                    <c:v>32.412007082638354</c:v>
                  </c:pt>
                  <c:pt idx="8">
                    <c:v>42.599648032583772</c:v>
                  </c:pt>
                  <c:pt idx="9">
                    <c:v>4.2426406871192848</c:v>
                  </c:pt>
                  <c:pt idx="10">
                    <c:v>4.5961940777125587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averages_to_plot!$AS$2:$AS$21</c:f>
                <c:numCache>
                  <c:formatCode>General</c:formatCode>
                  <c:ptCount val="20"/>
                  <c:pt idx="0">
                    <c:v>5.2361257146863851</c:v>
                  </c:pt>
                  <c:pt idx="1">
                    <c:v>3.1890515831513229</c:v>
                  </c:pt>
                  <c:pt idx="2">
                    <c:v>7.0710678118654755</c:v>
                  </c:pt>
                  <c:pt idx="3">
                    <c:v>74.246212024587493</c:v>
                  </c:pt>
                  <c:pt idx="4">
                    <c:v>145.37408314414225</c:v>
                  </c:pt>
                  <c:pt idx="5">
                    <c:v>8.6408448660996307</c:v>
                  </c:pt>
                  <c:pt idx="6">
                    <c:v>25.620246449341554</c:v>
                  </c:pt>
                  <c:pt idx="7">
                    <c:v>32.412007082638354</c:v>
                  </c:pt>
                  <c:pt idx="8">
                    <c:v>42.599648032583772</c:v>
                  </c:pt>
                  <c:pt idx="9">
                    <c:v>4.2426406871192848</c:v>
                  </c:pt>
                  <c:pt idx="10">
                    <c:v>4.5961940777125587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averages_to_plot!$AR$2:$AR$21</c:f>
              <c:numCache>
                <c:formatCode>General</c:formatCode>
                <c:ptCount val="20"/>
                <c:pt idx="0">
                  <c:v>108.7325</c:v>
                </c:pt>
                <c:pt idx="1">
                  <c:v>624.07000000000005</c:v>
                </c:pt>
                <c:pt idx="2">
                  <c:v>692.5</c:v>
                </c:pt>
                <c:pt idx="3">
                  <c:v>657.5</c:v>
                </c:pt>
                <c:pt idx="4">
                  <c:v>923.83500000000004</c:v>
                </c:pt>
                <c:pt idx="5">
                  <c:v>595.93500000000006</c:v>
                </c:pt>
                <c:pt idx="6">
                  <c:v>428.70125000000002</c:v>
                </c:pt>
                <c:pt idx="7">
                  <c:v>361.80775</c:v>
                </c:pt>
                <c:pt idx="8">
                  <c:v>261.46750000000003</c:v>
                </c:pt>
                <c:pt idx="9">
                  <c:v>95</c:v>
                </c:pt>
                <c:pt idx="10">
                  <c:v>81.75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A-49EF-972A-A999474FCDCE}"/>
            </c:ext>
          </c:extLst>
        </c:ser>
        <c:ser>
          <c:idx val="1"/>
          <c:order val="1"/>
          <c:tx>
            <c:strRef>
              <c:f>averages_to_plot!$AT$1</c:f>
              <c:strCache>
                <c:ptCount val="1"/>
                <c:pt idx="0">
                  <c:v>2,3-pentanedione_avg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averages_to_plot!$AU$2:$AU$21</c:f>
                <c:numCache>
                  <c:formatCode>General</c:formatCode>
                  <c:ptCount val="20"/>
                  <c:pt idx="0">
                    <c:v>0.13435028842544242</c:v>
                  </c:pt>
                  <c:pt idx="1">
                    <c:v>11.886464991745825</c:v>
                  </c:pt>
                  <c:pt idx="2">
                    <c:v>25.102290732122437</c:v>
                  </c:pt>
                  <c:pt idx="3">
                    <c:v>36.34882408689446</c:v>
                  </c:pt>
                  <c:pt idx="4">
                    <c:v>43.752232085917711</c:v>
                  </c:pt>
                  <c:pt idx="5">
                    <c:v>59.241406127808929</c:v>
                  </c:pt>
                  <c:pt idx="6">
                    <c:v>39.744704403542855</c:v>
                  </c:pt>
                  <c:pt idx="7">
                    <c:v>31.946023713836468</c:v>
                  </c:pt>
                  <c:pt idx="8">
                    <c:v>20.248002679276784</c:v>
                  </c:pt>
                  <c:pt idx="9">
                    <c:v>8.1317279836452965</c:v>
                  </c:pt>
                  <c:pt idx="10">
                    <c:v>30.759144981614817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plus>
            <c:minus>
              <c:numRef>
                <c:f>averages_to_plot!$AU$2:$AU$21</c:f>
                <c:numCache>
                  <c:formatCode>General</c:formatCode>
                  <c:ptCount val="20"/>
                  <c:pt idx="0">
                    <c:v>0.13435028842544242</c:v>
                  </c:pt>
                  <c:pt idx="1">
                    <c:v>11.886464991745825</c:v>
                  </c:pt>
                  <c:pt idx="2">
                    <c:v>25.102290732122437</c:v>
                  </c:pt>
                  <c:pt idx="3">
                    <c:v>36.34882408689446</c:v>
                  </c:pt>
                  <c:pt idx="4">
                    <c:v>43.752232085917711</c:v>
                  </c:pt>
                  <c:pt idx="5">
                    <c:v>59.241406127808929</c:v>
                  </c:pt>
                  <c:pt idx="6">
                    <c:v>39.744704403542855</c:v>
                  </c:pt>
                  <c:pt idx="7">
                    <c:v>31.946023713836468</c:v>
                  </c:pt>
                  <c:pt idx="8">
                    <c:v>20.248002679276784</c:v>
                  </c:pt>
                  <c:pt idx="9">
                    <c:v>8.1317279836452965</c:v>
                  </c:pt>
                  <c:pt idx="10">
                    <c:v>30.759144981614817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averages_to_plot!$B$2:$B$21</c:f>
              <c:numCache>
                <c:formatCode>0</c:formatCode>
                <c:ptCount val="20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xVal>
          <c:yVal>
            <c:numRef>
              <c:f>averages_to_plot!$AT$2:$AT$21</c:f>
              <c:numCache>
                <c:formatCode>General</c:formatCode>
                <c:ptCount val="20"/>
                <c:pt idx="0">
                  <c:v>24.594999999999999</c:v>
                </c:pt>
                <c:pt idx="1">
                  <c:v>375.86500000000001</c:v>
                </c:pt>
                <c:pt idx="2">
                  <c:v>469.25</c:v>
                </c:pt>
                <c:pt idx="3">
                  <c:v>596.37749999999994</c:v>
                </c:pt>
                <c:pt idx="4">
                  <c:v>770.11750000000006</c:v>
                </c:pt>
                <c:pt idx="5">
                  <c:v>816.76499999999999</c:v>
                </c:pt>
                <c:pt idx="6">
                  <c:v>567.28625</c:v>
                </c:pt>
                <c:pt idx="7">
                  <c:v>467.49474999999995</c:v>
                </c:pt>
                <c:pt idx="8">
                  <c:v>317.8075</c:v>
                </c:pt>
                <c:pt idx="9">
                  <c:v>95.25</c:v>
                </c:pt>
                <c:pt idx="10">
                  <c:v>79.25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9A-49EF-972A-A999474FC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391503"/>
        <c:axId val="89392463"/>
      </c:scatterChart>
      <c:valAx>
        <c:axId val="893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2463"/>
        <c:crosses val="autoZero"/>
        <c:crossBetween val="midCat"/>
      </c:valAx>
      <c:valAx>
        <c:axId val="8939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</a:t>
                </a:r>
                <a:r>
                  <a:rPr lang="nl-NL" baseline="0"/>
                  <a:t> (mg/L)</a:t>
                </a:r>
                <a:endParaRPr lang="nl-N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939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Ethyl</a:t>
            </a:r>
            <a:r>
              <a:rPr lang="nl-NL" baseline="0"/>
              <a:t> esters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averages_to_plot!$AZ$1</c:f>
              <c:strCache>
                <c:ptCount val="1"/>
                <c:pt idx="0">
                  <c:v>Ethyl_butyrate_avg_normalized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averages_to_plot!$AZ$7</c:f>
              <c:numCache>
                <c:formatCode>General</c:formatCode>
                <c:ptCount val="1"/>
                <c:pt idx="0">
                  <c:v>0.45524427330837258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6-4ED9-ACED-2EB33C5E065E}"/>
            </c:ext>
          </c:extLst>
        </c:ser>
        <c:ser>
          <c:idx val="1"/>
          <c:order val="1"/>
          <c:tx>
            <c:strRef>
              <c:f>averages_to_plot!$BH$1</c:f>
              <c:strCache>
                <c:ptCount val="1"/>
                <c:pt idx="0">
                  <c:v>Ethyl_hexanoate_avg_normalized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averages_to_plot!$BH$7</c:f>
              <c:numCache>
                <c:formatCode>General</c:formatCode>
                <c:ptCount val="1"/>
                <c:pt idx="0">
                  <c:v>0.58103545409094925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36-4ED9-ACED-2EB33C5E065E}"/>
            </c:ext>
          </c:extLst>
        </c:ser>
        <c:ser>
          <c:idx val="2"/>
          <c:order val="2"/>
          <c:tx>
            <c:strRef>
              <c:f>averages_to_plot!$BJ$1</c:f>
              <c:strCache>
                <c:ptCount val="1"/>
                <c:pt idx="0">
                  <c:v>Ethyl_octanoate_avg_normalized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averages_to_plot!$BJ$7</c:f>
              <c:numCache>
                <c:formatCode>General</c:formatCode>
                <c:ptCount val="1"/>
                <c:pt idx="0">
                  <c:v>4.266916719561368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36-4ED9-ACED-2EB33C5E065E}"/>
            </c:ext>
          </c:extLst>
        </c:ser>
        <c:ser>
          <c:idx val="3"/>
          <c:order val="3"/>
          <c:tx>
            <c:strRef>
              <c:f>averages_to_plot!$BL$1</c:f>
              <c:strCache>
                <c:ptCount val="1"/>
                <c:pt idx="0">
                  <c:v>Ethyl_decanoate_avg_normalized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averages_to_plot!$BL$7</c:f>
              <c:numCache>
                <c:formatCode>General</c:formatCode>
                <c:ptCount val="1"/>
                <c:pt idx="0">
                  <c:v>9.2805937821812083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36-4ED9-ACED-2EB33C5E0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Ethyl</a:t>
            </a:r>
            <a:r>
              <a:rPr lang="nl-NL" baseline="0"/>
              <a:t> esters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averages_to_plot!$AV$1</c:f>
              <c:strCache>
                <c:ptCount val="1"/>
                <c:pt idx="0">
                  <c:v>Ethyl_acetate_avg_normalized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averages_to_plot!$AV$7</c:f>
              <c:numCache>
                <c:formatCode>General</c:formatCode>
                <c:ptCount val="1"/>
                <c:pt idx="0">
                  <c:v>20.727591233395682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0-4108-BF80-970B21BDAA63}"/>
            </c:ext>
          </c:extLst>
        </c:ser>
        <c:ser>
          <c:idx val="1"/>
          <c:order val="1"/>
          <c:tx>
            <c:strRef>
              <c:f>averages_to_plot!$AX$1</c:f>
              <c:strCache>
                <c:ptCount val="1"/>
                <c:pt idx="0">
                  <c:v>Isobutyl_acetate_avg_normalized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averages_to_plot!$AX$7</c:f>
              <c:numCache>
                <c:formatCode>General</c:formatCode>
                <c:ptCount val="1"/>
                <c:pt idx="0">
                  <c:v>0.13577460782881284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0-4108-BF80-970B21BDAA63}"/>
            </c:ext>
          </c:extLst>
        </c:ser>
        <c:ser>
          <c:idx val="2"/>
          <c:order val="2"/>
          <c:tx>
            <c:strRef>
              <c:f>averages_to_plot!$BD$1</c:f>
              <c:strCache>
                <c:ptCount val="1"/>
                <c:pt idx="0">
                  <c:v>Isoamyl_acetate_avg_normalized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averages_to_plot!$BD$7</c:f>
              <c:numCache>
                <c:formatCode>General</c:formatCode>
                <c:ptCount val="1"/>
                <c:pt idx="0">
                  <c:v>4.007347616359227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0-4108-BF80-970B21BDA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Higher alcohols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averages_to_plot!$BB$1</c:f>
              <c:strCache>
                <c:ptCount val="1"/>
                <c:pt idx="0">
                  <c:v>Isobutanol_avg_normalized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averages_to_plot!$BB$7</c:f>
              <c:numCache>
                <c:formatCode>General</c:formatCode>
                <c:ptCount val="1"/>
                <c:pt idx="0">
                  <c:v>8.7374953508659576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A-4E73-B7C4-69560A00E5FF}"/>
            </c:ext>
          </c:extLst>
        </c:ser>
        <c:ser>
          <c:idx val="1"/>
          <c:order val="1"/>
          <c:tx>
            <c:strRef>
              <c:f>averages_to_plot!$BF$1</c:f>
              <c:strCache>
                <c:ptCount val="1"/>
                <c:pt idx="0">
                  <c:v>Isoamyl_alcohol_avg_normalized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averages_to_plot!$BF$7</c:f>
              <c:numCache>
                <c:formatCode>General</c:formatCode>
                <c:ptCount val="1"/>
                <c:pt idx="0">
                  <c:v>54.569412234727288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A-4E73-B7C4-69560A00E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9791"/>
        <c:axId val="169324111"/>
      </c:barChart>
      <c:catAx>
        <c:axId val="1693197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Strain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24111"/>
        <c:crosses val="autoZero"/>
        <c:auto val="1"/>
        <c:lblAlgn val="ctr"/>
        <c:lblOffset val="100"/>
        <c:noMultiLvlLbl val="0"/>
      </c:catAx>
      <c:valAx>
        <c:axId val="16932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Concentration (mg.L)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6931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276225</xdr:colOff>
      <xdr:row>2</xdr:row>
      <xdr:rowOff>147636</xdr:rowOff>
    </xdr:from>
    <xdr:to>
      <xdr:col>22</xdr:col>
      <xdr:colOff>209550</xdr:colOff>
      <xdr:row>22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FEE132-1D08-1721-B2E0-9F37A149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</xdr:colOff>
      <xdr:row>1</xdr:row>
      <xdr:rowOff>165099</xdr:rowOff>
    </xdr:from>
    <xdr:to>
      <xdr:col>18</xdr:col>
      <xdr:colOff>286075</xdr:colOff>
      <xdr:row>21</xdr:row>
      <xdr:rowOff>39724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D471DA-9A7F-E3D6-C7AC-3CE0F110B9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606425</xdr:colOff>
      <xdr:row>4</xdr:row>
      <xdr:rowOff>82550</xdr:rowOff>
    </xdr:from>
    <xdr:to>
      <xdr:col>19</xdr:col>
      <xdr:colOff>235275</xdr:colOff>
      <xdr:row>24</xdr:row>
      <xdr:rowOff>59875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BE462E-C4FB-E547-41BB-DF9482CEFE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143496</xdr:colOff>
      <xdr:row>7</xdr:row>
      <xdr:rowOff>77235</xdr:rowOff>
    </xdr:from>
    <xdr:to>
      <xdr:col>10</xdr:col>
      <xdr:colOff>488053</xdr:colOff>
      <xdr:row>21</xdr:row>
      <xdr:rowOff>153435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F7CDF0-C6F2-2D9A-BF3E-2E58091B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287032</xdr:colOff>
      <xdr:row>24</xdr:row>
      <xdr:rowOff>69268</xdr:rowOff>
    </xdr:from>
    <xdr:to>
      <xdr:col>10</xdr:col>
      <xdr:colOff>198029</xdr:colOff>
      <xdr:row>40</xdr:row>
      <xdr:rowOff>107367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107C4D-D124-6FAF-2E8A-9C1E647D20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343216</xdr:colOff>
      <xdr:row>24</xdr:row>
      <xdr:rowOff>88802</xdr:rowOff>
    </xdr:from>
    <xdr:to>
      <xdr:col>15</xdr:col>
      <xdr:colOff>1470692</xdr:colOff>
      <xdr:row>40</xdr:row>
      <xdr:rowOff>126901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FF1F685-53B3-4BE9-BE11-1D03CE25D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20332</xdr:colOff>
      <xdr:row>22</xdr:row>
      <xdr:rowOff>21643</xdr:rowOff>
    </xdr:from>
    <xdr:to>
      <xdr:col>9</xdr:col>
      <xdr:colOff>161925</xdr:colOff>
      <xdr:row>41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ACE31-2762-46DB-92A5-BF2239FF6F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819150</xdr:colOff>
      <xdr:row>22</xdr:row>
      <xdr:rowOff>85725</xdr:rowOff>
    </xdr:from>
    <xdr:to>
      <xdr:col>15</xdr:col>
      <xdr:colOff>646418</xdr:colOff>
      <xdr:row>41</xdr:row>
      <xdr:rowOff>172032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C55543-55F0-46F5-9678-E4E0FDFE30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20637</xdr:colOff>
      <xdr:row>23</xdr:row>
      <xdr:rowOff>19050</xdr:rowOff>
    </xdr:from>
    <xdr:to>
      <xdr:col>5</xdr:col>
      <xdr:colOff>839787</xdr:colOff>
      <xdr:row>38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AC7F6C-6C27-8733-AE6F-9A801B588A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1016000</xdr:colOff>
      <xdr:row>23</xdr:row>
      <xdr:rowOff>44450</xdr:rowOff>
    </xdr:from>
    <xdr:to>
      <xdr:col>8</xdr:col>
      <xdr:colOff>1381125</xdr:colOff>
      <xdr:row>38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F7D188F-48EA-469A-AF92-6285838F2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147637</xdr:rowOff>
    </xdr:from>
    <xdr:to>
      <xdr:col>5</xdr:col>
      <xdr:colOff>390525</xdr:colOff>
      <xdr:row>38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1D2CBE-8D76-69BE-B4B6-C4E30E73C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500063</xdr:colOff>
      <xdr:row>23</xdr:row>
      <xdr:rowOff>123825</xdr:rowOff>
    </xdr:from>
    <xdr:to>
      <xdr:col>9</xdr:col>
      <xdr:colOff>433388</xdr:colOff>
      <xdr:row>38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FBF96B-05EB-4350-B9AE-EA62DDC92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87457</xdr:rowOff>
    </xdr:from>
    <xdr:to>
      <xdr:col>5</xdr:col>
      <xdr:colOff>387927</xdr:colOff>
      <xdr:row>52</xdr:row>
      <xdr:rowOff>163657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AFC69D-6E85-49D3-8E17-ECB21117F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484909</xdr:colOff>
      <xdr:row>23</xdr:row>
      <xdr:rowOff>103476</xdr:rowOff>
    </xdr:from>
    <xdr:to>
      <xdr:col>14</xdr:col>
      <xdr:colOff>944707</xdr:colOff>
      <xdr:row>37</xdr:row>
      <xdr:rowOff>179676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2254C0-2F08-2B85-6445-631AB6A7F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506557</xdr:colOff>
      <xdr:row>38</xdr:row>
      <xdr:rowOff>77932</xdr:rowOff>
    </xdr:from>
    <xdr:to>
      <xdr:col>9</xdr:col>
      <xdr:colOff>425161</xdr:colOff>
      <xdr:row>52</xdr:row>
      <xdr:rowOff>154132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29D1695-F51A-45F3-A7C8-DB71674B4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502226</xdr:colOff>
      <xdr:row>38</xdr:row>
      <xdr:rowOff>95250</xdr:rowOff>
    </xdr:from>
    <xdr:to>
      <xdr:col>14</xdr:col>
      <xdr:colOff>968951</xdr:colOff>
      <xdr:row>52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59797DA-217F-47F5-90D1-63D2E0C5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53</xdr:row>
      <xdr:rowOff>57150</xdr:rowOff>
    </xdr:from>
    <xdr:to>
      <xdr:col>5</xdr:col>
      <xdr:colOff>392257</xdr:colOff>
      <xdr:row>67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4117DF-DA33-1E5D-1F0D-70A300CB8B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504825</xdr:colOff>
      <xdr:row>53</xdr:row>
      <xdr:rowOff>76200</xdr:rowOff>
    </xdr:from>
    <xdr:to>
      <xdr:col>9</xdr:col>
      <xdr:colOff>439882</xdr:colOff>
      <xdr:row>67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8C8239-2821-429C-A5CE-88C9FB66E5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504825</xdr:colOff>
      <xdr:row>53</xdr:row>
      <xdr:rowOff>95250</xdr:rowOff>
    </xdr:from>
    <xdr:to>
      <xdr:col>14</xdr:col>
      <xdr:colOff>963757</xdr:colOff>
      <xdr:row>67</xdr:row>
      <xdr:rowOff>171450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D183749-D924-4DC0-8AC9-A4994B470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9812-7063-4CA0-BF5E-9D4CC4D92E5B}">
  <sheetPr codeName="Sheet1"/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315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DAC9-CB49-468B-93F6-B19DD5156F1F}">
  <sheetPr codeName="Sheet2"/>
  <dimension ref="A1:L34"/>
  <sheetViews>
    <sheetView workbookViewId="0">
      <selection activeCell="H3" sqref="H3"/>
    </sheetView>
  </sheetViews>
  <sheetFormatPr defaultColWidth="8.7109375" defaultRowHeight="15" x14ac:dyDescent="0.25"/>
  <cols>
    <col min="1" max="1" width="19.5703125" style="72" customWidth="1"/>
    <col min="2" max="2" width="27.7109375" style="72" bestFit="1" customWidth="1"/>
    <col min="3" max="3" width="19.5703125" style="72" customWidth="1"/>
    <col min="4" max="4" width="21.7109375" style="72" bestFit="1" customWidth="1"/>
    <col min="5" max="7" width="19.5703125" style="72" customWidth="1"/>
    <col min="8" max="8" width="21.5703125" style="72" bestFit="1" customWidth="1"/>
    <col min="9" max="9" width="13.42578125" style="72" bestFit="1" customWidth="1"/>
    <col min="10" max="10" width="10.5703125" style="72" customWidth="1"/>
    <col min="11" max="16384" width="8.7109375" style="72"/>
  </cols>
  <sheetData>
    <row r="1" spans="1:12" ht="15.75" x14ac:dyDescent="0.25">
      <c r="A1" s="70" t="s">
        <v>3</v>
      </c>
      <c r="B1" s="70" t="s">
        <v>122</v>
      </c>
      <c r="C1" s="70" t="s">
        <v>4</v>
      </c>
      <c r="D1" s="70" t="s">
        <v>191</v>
      </c>
      <c r="E1" s="70" t="s">
        <v>192</v>
      </c>
      <c r="F1" s="70" t="s">
        <v>193</v>
      </c>
      <c r="G1" s="70" t="s">
        <v>53</v>
      </c>
      <c r="H1" s="70" t="s">
        <v>52</v>
      </c>
      <c r="I1" s="72" t="s">
        <v>314</v>
      </c>
      <c r="J1" s="72" t="s">
        <v>313</v>
      </c>
    </row>
    <row r="2" spans="1:12" ht="15.75" x14ac:dyDescent="0.25">
      <c r="A2" s="73">
        <v>1</v>
      </c>
      <c r="B2" s="73" t="s">
        <v>124</v>
      </c>
      <c r="C2" s="73" t="s">
        <v>316</v>
      </c>
      <c r="D2" s="72">
        <v>17</v>
      </c>
      <c r="E2" s="74">
        <v>5000000</v>
      </c>
      <c r="F2" s="73">
        <v>12</v>
      </c>
      <c r="G2" s="73">
        <v>1000</v>
      </c>
      <c r="H2" s="95">
        <v>46268</v>
      </c>
      <c r="I2" s="72">
        <v>2</v>
      </c>
      <c r="J2" s="72">
        <v>1</v>
      </c>
    </row>
    <row r="3" spans="1:12" ht="15.75" x14ac:dyDescent="0.25">
      <c r="A3" s="73">
        <v>2</v>
      </c>
      <c r="B3" s="73"/>
    </row>
    <row r="4" spans="1:12" ht="15.75" x14ac:dyDescent="0.25">
      <c r="A4" s="70"/>
      <c r="B4" s="73"/>
    </row>
    <row r="5" spans="1:12" ht="15.75" x14ac:dyDescent="0.25">
      <c r="A5" s="70"/>
    </row>
    <row r="6" spans="1:12" ht="15.75" x14ac:dyDescent="0.25">
      <c r="A6" s="70"/>
      <c r="B6" s="74"/>
    </row>
    <row r="7" spans="1:12" ht="15.75" x14ac:dyDescent="0.25">
      <c r="A7" s="70"/>
      <c r="B7" s="73"/>
    </row>
    <row r="8" spans="1:12" ht="15.75" x14ac:dyDescent="0.25">
      <c r="A8" s="70"/>
      <c r="B8" s="73"/>
      <c r="D8"/>
      <c r="E8" s="70"/>
    </row>
    <row r="9" spans="1:12" ht="15.75" x14ac:dyDescent="0.25">
      <c r="A9" s="70"/>
      <c r="B9" s="75"/>
      <c r="E9" s="70"/>
    </row>
    <row r="10" spans="1:12" ht="15.75" x14ac:dyDescent="0.25">
      <c r="A10"/>
      <c r="B10"/>
      <c r="E10" s="70"/>
      <c r="F10"/>
      <c r="G10"/>
      <c r="H10"/>
      <c r="I10"/>
      <c r="J10"/>
      <c r="K10"/>
      <c r="L10"/>
    </row>
    <row r="11" spans="1:12" ht="15.75" x14ac:dyDescent="0.25">
      <c r="A11"/>
      <c r="B11"/>
      <c r="E11" s="77"/>
      <c r="F11"/>
      <c r="G11"/>
      <c r="H11"/>
      <c r="I11"/>
      <c r="J11"/>
      <c r="K11"/>
      <c r="L11"/>
    </row>
    <row r="12" spans="1:12" ht="15.75" x14ac:dyDescent="0.25">
      <c r="A12"/>
      <c r="B12"/>
      <c r="C12"/>
      <c r="E12" s="70"/>
      <c r="F12"/>
      <c r="G12"/>
      <c r="H12"/>
      <c r="I12"/>
      <c r="J12"/>
      <c r="K12"/>
      <c r="L12"/>
    </row>
    <row r="13" spans="1:12" x14ac:dyDescent="0.25">
      <c r="A13"/>
      <c r="B13"/>
      <c r="C13"/>
      <c r="D13"/>
      <c r="E13"/>
      <c r="F13"/>
      <c r="G13"/>
      <c r="H13"/>
      <c r="I13"/>
      <c r="J13"/>
      <c r="K13"/>
      <c r="L13"/>
    </row>
    <row r="14" spans="1:12" x14ac:dyDescent="0.25">
      <c r="A14"/>
      <c r="B14"/>
      <c r="C14"/>
      <c r="D14"/>
      <c r="E14"/>
      <c r="F14"/>
      <c r="G14"/>
      <c r="H14"/>
      <c r="I14"/>
      <c r="J14"/>
      <c r="K14"/>
      <c r="L14"/>
    </row>
    <row r="15" spans="1:12" x14ac:dyDescent="0.25">
      <c r="A15"/>
      <c r="B15"/>
      <c r="C15"/>
      <c r="D15"/>
      <c r="E15"/>
      <c r="F15"/>
      <c r="G15"/>
      <c r="H15"/>
      <c r="I15"/>
      <c r="J15"/>
      <c r="K15"/>
      <c r="L15"/>
    </row>
    <row r="16" spans="1:12" x14ac:dyDescent="0.25">
      <c r="A16"/>
      <c r="B16"/>
      <c r="C16"/>
      <c r="D16"/>
      <c r="E16"/>
      <c r="F16"/>
      <c r="G16"/>
      <c r="H16"/>
      <c r="I16"/>
      <c r="J16"/>
      <c r="K16"/>
      <c r="L16"/>
    </row>
    <row r="17" spans="1:12" x14ac:dyDescent="0.25">
      <c r="A17"/>
      <c r="B17"/>
      <c r="C17"/>
      <c r="D17"/>
      <c r="E17"/>
      <c r="F17"/>
      <c r="G17"/>
      <c r="H17"/>
      <c r="I17"/>
      <c r="J17"/>
      <c r="K17"/>
      <c r="L17"/>
    </row>
    <row r="18" spans="1:12" x14ac:dyDescent="0.25">
      <c r="A18"/>
      <c r="B18"/>
      <c r="C18"/>
      <c r="D18"/>
      <c r="E18"/>
      <c r="F18"/>
      <c r="G18"/>
      <c r="H18"/>
      <c r="I18"/>
      <c r="J18"/>
      <c r="K18"/>
      <c r="L18"/>
    </row>
    <row r="19" spans="1:12" x14ac:dyDescent="0.25">
      <c r="A19"/>
      <c r="B19"/>
      <c r="C19"/>
      <c r="D19"/>
      <c r="E19"/>
      <c r="F19"/>
      <c r="G19"/>
      <c r="H19"/>
      <c r="I19"/>
      <c r="J19"/>
      <c r="K19"/>
      <c r="L19"/>
    </row>
    <row r="20" spans="1:12" x14ac:dyDescent="0.25">
      <c r="A20"/>
      <c r="B20"/>
      <c r="C20"/>
      <c r="D20"/>
      <c r="E20"/>
      <c r="F20"/>
      <c r="G20"/>
      <c r="H20"/>
      <c r="I20"/>
      <c r="J20"/>
      <c r="K20"/>
      <c r="L20"/>
    </row>
    <row r="21" spans="1:12" x14ac:dyDescent="0.25">
      <c r="A21"/>
      <c r="B21"/>
      <c r="C21"/>
      <c r="D21"/>
      <c r="E21"/>
      <c r="F21"/>
      <c r="G21"/>
      <c r="H21"/>
      <c r="I21"/>
      <c r="J21"/>
      <c r="K21"/>
      <c r="L21"/>
    </row>
    <row r="22" spans="1:12" x14ac:dyDescent="0.25">
      <c r="A22"/>
      <c r="B22"/>
      <c r="C22"/>
      <c r="D22"/>
      <c r="E22"/>
      <c r="F22"/>
      <c r="G22"/>
      <c r="H22"/>
      <c r="I22"/>
      <c r="J22"/>
      <c r="K22"/>
      <c r="L22"/>
    </row>
    <row r="23" spans="1:12" x14ac:dyDescent="0.25">
      <c r="A23"/>
      <c r="B23"/>
      <c r="C23"/>
      <c r="D23"/>
      <c r="E23"/>
      <c r="F23"/>
      <c r="G23"/>
      <c r="H23"/>
      <c r="I23"/>
      <c r="J23"/>
      <c r="K23"/>
      <c r="L23"/>
    </row>
    <row r="24" spans="1:12" ht="18.75" x14ac:dyDescent="0.3">
      <c r="A24"/>
      <c r="B24"/>
      <c r="C24"/>
      <c r="D24"/>
      <c r="E24" s="76"/>
      <c r="F24"/>
      <c r="G24"/>
      <c r="H24"/>
      <c r="I24"/>
      <c r="J24"/>
      <c r="K24"/>
      <c r="L24"/>
    </row>
    <row r="25" spans="1:12" ht="15.75" x14ac:dyDescent="0.25">
      <c r="A25"/>
      <c r="B25"/>
      <c r="C25"/>
      <c r="D25"/>
      <c r="E25" s="73"/>
      <c r="F25"/>
      <c r="G25"/>
      <c r="H25"/>
      <c r="I25"/>
      <c r="J25"/>
      <c r="K25"/>
      <c r="L25"/>
    </row>
    <row r="26" spans="1:12" ht="15.75" x14ac:dyDescent="0.25">
      <c r="A26"/>
      <c r="B26"/>
      <c r="C26"/>
      <c r="D26"/>
      <c r="E26" s="70"/>
      <c r="F26"/>
      <c r="G26"/>
      <c r="H26"/>
      <c r="I26"/>
      <c r="J26"/>
      <c r="K26"/>
      <c r="L26"/>
    </row>
    <row r="27" spans="1:12" x14ac:dyDescent="0.25">
      <c r="A27"/>
      <c r="B27"/>
      <c r="C27"/>
      <c r="F27"/>
      <c r="G27"/>
      <c r="H27"/>
      <c r="I27"/>
      <c r="J27"/>
      <c r="K27"/>
      <c r="L27"/>
    </row>
    <row r="32" spans="1:12" ht="15.75" x14ac:dyDescent="0.25">
      <c r="E32" s="70"/>
    </row>
    <row r="33" spans="5:5" x14ac:dyDescent="0.25">
      <c r="E33"/>
    </row>
    <row r="34" spans="5:5" x14ac:dyDescent="0.25">
      <c r="E34"/>
    </row>
  </sheetData>
  <phoneticPr fontId="15" type="noConversion"/>
  <dataValidations xWindow="570" yWindow="287" count="2">
    <dataValidation type="whole" errorStyle="warning" showErrorMessage="1" errorTitle="Not recognized, not a number" sqref="G2" xr:uid="{9C8B4F3B-9CDB-43A0-B708-CC59E0BC5C5E}">
      <formula1>0</formula1>
      <formula2>99999</formula2>
    </dataValidation>
    <dataValidation type="date" allowBlank="1" showInputMessage="1" showErrorMessage="1" errorTitle="Not a date" error="Please enter a date in the standard format" promptTitle="Start date of experiment" sqref="H2" xr:uid="{0CAF404C-2BB4-43DC-9859-AFE4847D3E32}">
      <formula1>43466</formula1>
      <formula2>219148</formula2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xWindow="570" yWindow="287" count="7">
        <x14:dataValidation type="list" errorStyle="warning" allowBlank="1" showInputMessage="1" showErrorMessage="1" errorTitle="Not recognized" error="Please check your spelling" promptTitle="Select species used" xr:uid="{CEA7FDAF-CB6B-44A5-8D74-1770A8335159}">
          <x14:formula1>
            <xm:f>'Excel_parameters_(ignore)'!$B$2:$B$4</xm:f>
          </x14:formula1>
          <xm:sqref>B2</xm:sqref>
        </x14:dataValidation>
        <x14:dataValidation type="list" errorStyle="warning" allowBlank="1" showInputMessage="1" showErrorMessage="1" errorTitle="Not standard" error="If target was 5, 10 or 15 please round off for data visualization purposes" promptTitle="Targeted starting inoculum" xr:uid="{71521539-0B4D-4B1E-8412-256A8B14E999}">
          <x14:formula1>
            <xm:f>'Excel_parameters_(ignore)'!$E$2:$E$4</xm:f>
          </x14:formula1>
          <xm:sqref>E2</xm:sqref>
        </x14:dataValidation>
        <x14:dataValidation type="list" errorStyle="warning" allowBlank="1" showInputMessage="1" showErrorMessage="1" errorTitle="Not standard" xr:uid="{4405952F-969F-4194-9D82-314EFA453715}">
          <x14:formula1>
            <xm:f>'Excel_parameters_(ignore)'!$F$2:$F$3</xm:f>
          </x14:formula1>
          <xm:sqref>F2</xm:sqref>
        </x14:dataValidation>
        <x14:dataValidation type="list" allowBlank="1" showInputMessage="1" showErrorMessage="1" xr:uid="{BF97FD62-8960-496A-A721-8635BBFEE3BC}">
          <x14:formula1>
            <xm:f>'Excel_parameters_(ignore)'!$A$2:$A$25</xm:f>
          </x14:formula1>
          <xm:sqref>E25 A2:A3</xm:sqref>
        </x14:dataValidation>
        <x14:dataValidation type="list" errorStyle="warning" showErrorMessage="1" errorTitle="Enter pitch number" error="Enter 1 if this is a normal experiment from a pre-culture, if this is re-pitched from a previous tall tube, enter relevant number" xr:uid="{D7B8AA7D-975D-4718-B170-9140654C8CA7}">
          <x14:formula1>
            <xm:f>'Excel_parameters_(ignore)'!$J$2:$J$6</xm:f>
          </x14:formula1>
          <xm:sqref>J2</xm:sqref>
        </x14:dataValidation>
        <x14:dataValidation type="list" errorStyle="warning" showInputMessage="1" showErrorMessage="1" errorTitle="Enter # of replicates!" xr:uid="{00C97FA2-BDDD-43AF-A6BD-A024DBC5EC2F}">
          <x14:formula1>
            <xm:f>'Excel_parameters_(ignore)'!$I$2:$I$3</xm:f>
          </x14:formula1>
          <xm:sqref>I2</xm:sqref>
        </x14:dataValidation>
        <x14:dataValidation type="list" errorStyle="warning" allowBlank="1" showInputMessage="1" showErrorMessage="1" errorTitle="Not standard" error="Round off to 17, 20, 23 or 26 for data visualization purposes if applicable" promptTitle="Starting gravity" prompt="Starting gravity for data visualization, round off to nearest applicable number_x000a_" xr:uid="{552F0A09-6FAB-4E3E-9488-B82DDBF8ABB6}">
          <x14:formula1>
            <xm:f>'Excel_parameters_(ignore)'!$D$2:$D$8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53329-5FA4-4BA8-AA70-7728E8657519}">
  <sheetPr codeName="Sheet3"/>
  <dimension ref="A1:K46"/>
  <sheetViews>
    <sheetView workbookViewId="0">
      <selection activeCell="E31" sqref="E31"/>
    </sheetView>
  </sheetViews>
  <sheetFormatPr defaultRowHeight="15" x14ac:dyDescent="0.25"/>
  <cols>
    <col min="8" max="8" width="9.42578125" bestFit="1" customWidth="1"/>
  </cols>
  <sheetData>
    <row r="1" spans="1:11" ht="15.75" thickBot="1" x14ac:dyDescent="0.3">
      <c r="A1" s="21" t="s">
        <v>5</v>
      </c>
      <c r="B1" s="22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24"/>
      <c r="B2" s="25"/>
      <c r="C2" s="26"/>
      <c r="D2" s="27"/>
      <c r="E2" s="27"/>
      <c r="F2" s="27"/>
      <c r="G2" s="27"/>
      <c r="H2" s="27"/>
      <c r="I2" s="27"/>
      <c r="J2" s="27"/>
      <c r="K2" s="27"/>
    </row>
    <row r="3" spans="1:11" x14ac:dyDescent="0.25">
      <c r="A3" s="28">
        <v>44442</v>
      </c>
      <c r="B3" s="29" t="s">
        <v>6</v>
      </c>
      <c r="C3" s="27"/>
      <c r="D3" s="27"/>
      <c r="E3" s="27"/>
      <c r="F3" s="27"/>
      <c r="G3" s="27"/>
      <c r="H3" s="27"/>
      <c r="I3" s="27"/>
      <c r="J3" s="27"/>
      <c r="K3" s="27"/>
    </row>
    <row r="4" spans="1:11" x14ac:dyDescent="0.25">
      <c r="A4" s="28"/>
      <c r="B4" s="29" t="s">
        <v>7</v>
      </c>
      <c r="C4" s="27"/>
      <c r="D4" s="27"/>
      <c r="E4" s="27"/>
      <c r="F4" s="27"/>
      <c r="G4" s="27"/>
      <c r="H4" s="27"/>
      <c r="I4" s="27"/>
      <c r="J4" s="27"/>
      <c r="K4" s="27"/>
    </row>
    <row r="5" spans="1:11" x14ac:dyDescent="0.25">
      <c r="A5" s="28"/>
      <c r="B5" s="25"/>
      <c r="C5" s="27"/>
      <c r="D5" s="27"/>
      <c r="E5" s="27"/>
      <c r="F5" s="27"/>
      <c r="G5" s="27"/>
      <c r="H5" s="27"/>
      <c r="I5" s="27"/>
      <c r="J5" s="27"/>
      <c r="K5" s="27"/>
    </row>
    <row r="6" spans="1:11" x14ac:dyDescent="0.25">
      <c r="A6" s="28">
        <v>44445</v>
      </c>
      <c r="B6" s="29" t="s">
        <v>8</v>
      </c>
      <c r="C6" s="27"/>
      <c r="D6" s="27"/>
      <c r="E6" s="27"/>
      <c r="F6" s="27"/>
      <c r="G6" s="27"/>
      <c r="H6" s="27"/>
      <c r="I6" s="27"/>
      <c r="J6" s="27"/>
      <c r="K6" s="27"/>
    </row>
    <row r="7" spans="1:11" x14ac:dyDescent="0.25">
      <c r="A7" s="28"/>
      <c r="B7" s="25"/>
      <c r="C7" s="27"/>
      <c r="D7" s="27"/>
      <c r="E7" s="27"/>
      <c r="F7" s="27"/>
      <c r="G7" s="27"/>
      <c r="H7" s="27"/>
      <c r="I7" s="27"/>
      <c r="J7" s="27"/>
      <c r="K7" s="27"/>
    </row>
    <row r="8" spans="1:11" ht="15.75" thickBot="1" x14ac:dyDescent="0.3">
      <c r="A8" s="28"/>
      <c r="B8" s="29" t="s">
        <v>9</v>
      </c>
      <c r="C8" s="27"/>
      <c r="D8" s="27"/>
      <c r="E8" s="27"/>
      <c r="F8" s="27"/>
      <c r="G8" s="27"/>
      <c r="H8" s="27"/>
      <c r="I8" s="27"/>
      <c r="J8" s="27"/>
      <c r="K8" s="27"/>
    </row>
    <row r="9" spans="1:11" ht="15.75" thickTop="1" x14ac:dyDescent="0.25">
      <c r="A9" s="28"/>
      <c r="B9" s="27"/>
      <c r="C9" s="30" t="s">
        <v>10</v>
      </c>
      <c r="D9" s="27"/>
      <c r="E9" s="27"/>
      <c r="F9" s="99" t="s">
        <v>11</v>
      </c>
      <c r="G9" s="100"/>
      <c r="H9" s="100"/>
      <c r="I9" s="101"/>
      <c r="J9" s="31"/>
      <c r="K9" s="27"/>
    </row>
    <row r="10" spans="1:11" x14ac:dyDescent="0.25">
      <c r="A10" s="28"/>
      <c r="B10" s="27"/>
      <c r="C10" s="30" t="s">
        <v>12</v>
      </c>
      <c r="D10" s="27"/>
      <c r="E10" s="27"/>
      <c r="F10" s="32"/>
      <c r="G10" s="33"/>
      <c r="H10" s="33"/>
      <c r="I10" s="34"/>
      <c r="J10" s="27"/>
      <c r="K10" s="27"/>
    </row>
    <row r="11" spans="1:11" ht="15.75" thickBot="1" x14ac:dyDescent="0.3">
      <c r="A11" s="28"/>
      <c r="B11" s="27"/>
      <c r="C11" s="30" t="s">
        <v>13</v>
      </c>
      <c r="D11" s="27"/>
      <c r="E11" s="27"/>
      <c r="F11" s="35"/>
      <c r="G11" s="36" t="e">
        <f>0.8*100/D12</f>
        <v>#DIV/0!</v>
      </c>
      <c r="H11" s="37" t="s">
        <v>14</v>
      </c>
      <c r="I11" s="38"/>
      <c r="J11" s="27"/>
      <c r="K11" s="27"/>
    </row>
    <row r="12" spans="1:11" ht="15.75" thickTop="1" x14ac:dyDescent="0.25">
      <c r="A12" s="28"/>
      <c r="B12" s="27"/>
      <c r="C12" s="30" t="s">
        <v>15</v>
      </c>
      <c r="D12" s="27" t="e">
        <f>D9*AVERAGE(D10:D11)</f>
        <v>#DIV/0!</v>
      </c>
      <c r="E12" s="27"/>
      <c r="F12" s="27"/>
      <c r="G12" s="27"/>
      <c r="H12" s="27"/>
      <c r="I12" s="27"/>
      <c r="J12" s="27"/>
      <c r="K12" s="27"/>
    </row>
    <row r="13" spans="1:11" x14ac:dyDescent="0.25">
      <c r="A13" s="28"/>
      <c r="B13" s="27"/>
      <c r="C13" s="27"/>
      <c r="D13" s="27"/>
      <c r="E13" s="27"/>
      <c r="F13" s="27"/>
      <c r="G13" s="27"/>
      <c r="H13" s="27"/>
      <c r="I13" s="27"/>
      <c r="J13" s="27"/>
      <c r="K13" s="27"/>
    </row>
    <row r="14" spans="1:11" x14ac:dyDescent="0.25">
      <c r="A14" s="39"/>
      <c r="B14" s="29" t="s">
        <v>7</v>
      </c>
      <c r="C14" s="27"/>
      <c r="D14" s="27"/>
      <c r="E14" s="27"/>
      <c r="F14" s="27"/>
      <c r="G14" s="27"/>
      <c r="H14" s="27"/>
      <c r="I14" s="27"/>
      <c r="J14" s="27"/>
      <c r="K14" s="27"/>
    </row>
    <row r="15" spans="1:11" x14ac:dyDescent="0.25">
      <c r="A15" s="39"/>
      <c r="B15" s="25"/>
      <c r="C15" s="27"/>
      <c r="D15" s="27"/>
      <c r="E15" s="27"/>
      <c r="F15" s="27"/>
      <c r="G15" s="27"/>
      <c r="H15" s="27"/>
      <c r="I15" s="27"/>
      <c r="J15" s="27"/>
      <c r="K15" s="27"/>
    </row>
    <row r="16" spans="1:11" x14ac:dyDescent="0.25">
      <c r="A16" s="28">
        <v>44447</v>
      </c>
      <c r="B16" s="29" t="s">
        <v>16</v>
      </c>
      <c r="C16" s="27"/>
      <c r="D16" s="27"/>
      <c r="E16" s="27"/>
      <c r="F16" s="27"/>
      <c r="G16" s="27"/>
      <c r="H16" s="27"/>
      <c r="I16" s="27"/>
      <c r="K16" s="27"/>
    </row>
    <row r="17" spans="1:11" x14ac:dyDescent="0.25">
      <c r="A17" s="39"/>
      <c r="B17" s="29"/>
      <c r="C17" s="27"/>
      <c r="D17" s="27"/>
      <c r="E17" s="27"/>
      <c r="F17" s="27"/>
      <c r="G17" s="27"/>
      <c r="H17" s="27"/>
      <c r="I17" s="27"/>
      <c r="K17" s="27"/>
    </row>
    <row r="18" spans="1:11" x14ac:dyDescent="0.25">
      <c r="A18" s="39"/>
      <c r="B18" s="40" t="s">
        <v>17</v>
      </c>
      <c r="C18" s="29" t="s">
        <v>18</v>
      </c>
      <c r="D18" s="27"/>
      <c r="E18" s="27"/>
      <c r="F18" s="27"/>
      <c r="G18" s="27"/>
      <c r="H18" s="27"/>
      <c r="I18" s="27"/>
      <c r="J18" s="27"/>
      <c r="K18" s="27"/>
    </row>
    <row r="19" spans="1:11" x14ac:dyDescent="0.25">
      <c r="A19" s="39"/>
      <c r="B19" s="29"/>
      <c r="C19" s="27"/>
      <c r="D19" s="27"/>
      <c r="E19" s="27"/>
      <c r="F19" s="27"/>
      <c r="G19" s="27"/>
      <c r="H19" s="27"/>
      <c r="I19" s="27"/>
      <c r="J19" s="27"/>
      <c r="K19" s="27"/>
    </row>
    <row r="20" spans="1:11" x14ac:dyDescent="0.25">
      <c r="A20" s="39"/>
      <c r="B20" s="29"/>
      <c r="C20" s="31" t="s">
        <v>19</v>
      </c>
      <c r="D20" s="27"/>
      <c r="E20" s="27"/>
      <c r="F20" s="27"/>
      <c r="G20" s="27"/>
      <c r="H20" s="27"/>
      <c r="I20" s="27"/>
      <c r="J20" s="27"/>
      <c r="K20" s="27"/>
    </row>
    <row r="21" spans="1:11" x14ac:dyDescent="0.25">
      <c r="A21" s="39"/>
      <c r="B21" s="29"/>
      <c r="C21" s="27"/>
      <c r="D21" s="30" t="s">
        <v>10</v>
      </c>
      <c r="E21" s="27">
        <v>50</v>
      </c>
      <c r="F21" s="27"/>
      <c r="G21" s="27"/>
      <c r="H21" s="27"/>
      <c r="I21" s="27"/>
      <c r="J21" s="27"/>
      <c r="K21" s="27"/>
    </row>
    <row r="22" spans="1:11" x14ac:dyDescent="0.25">
      <c r="A22" s="39"/>
      <c r="B22" s="29"/>
      <c r="C22" s="27"/>
      <c r="D22" s="30" t="s">
        <v>12</v>
      </c>
      <c r="E22" s="27">
        <v>0.17599999999999999</v>
      </c>
      <c r="F22" s="27"/>
      <c r="G22" s="27"/>
      <c r="H22" s="27"/>
      <c r="I22" s="27"/>
      <c r="J22" s="27"/>
      <c r="K22" s="27"/>
    </row>
    <row r="23" spans="1:11" x14ac:dyDescent="0.25">
      <c r="A23" s="39"/>
      <c r="B23" s="29"/>
      <c r="C23" s="27"/>
      <c r="D23" s="30" t="s">
        <v>13</v>
      </c>
      <c r="E23" s="27">
        <v>0.159</v>
      </c>
      <c r="F23" s="27"/>
      <c r="G23" s="27"/>
      <c r="H23" s="27"/>
      <c r="I23" s="27"/>
      <c r="J23" s="27"/>
      <c r="K23" s="27"/>
    </row>
    <row r="24" spans="1:11" x14ac:dyDescent="0.25">
      <c r="A24" s="39"/>
      <c r="B24" s="29"/>
      <c r="C24" s="27"/>
      <c r="D24" s="30" t="s">
        <v>15</v>
      </c>
      <c r="E24" s="27">
        <f>E21*AVERAGE(E22:E23)</f>
        <v>8.375</v>
      </c>
      <c r="F24" s="27"/>
      <c r="G24" s="27"/>
      <c r="H24" s="27"/>
      <c r="I24" s="27"/>
      <c r="J24" s="27"/>
      <c r="K24" s="27"/>
    </row>
    <row r="25" spans="1:11" x14ac:dyDescent="0.25">
      <c r="A25" s="39"/>
      <c r="B25" s="29"/>
      <c r="C25" s="27"/>
      <c r="D25" s="30" t="s">
        <v>20</v>
      </c>
      <c r="E25" s="27">
        <f>E24*500/20</f>
        <v>209.375</v>
      </c>
      <c r="F25" s="31" t="s">
        <v>21</v>
      </c>
      <c r="G25" s="41" t="s">
        <v>22</v>
      </c>
      <c r="H25" s="27"/>
      <c r="I25" s="27"/>
      <c r="J25" s="27">
        <v>150</v>
      </c>
      <c r="K25" s="31" t="s">
        <v>14</v>
      </c>
    </row>
    <row r="26" spans="1:11" ht="15.75" thickBot="1" x14ac:dyDescent="0.3">
      <c r="A26" s="39"/>
      <c r="B26" s="29"/>
      <c r="C26" s="27"/>
      <c r="D26" s="27"/>
      <c r="E26" s="27"/>
      <c r="F26" s="27"/>
      <c r="G26" s="27"/>
      <c r="H26" s="27"/>
      <c r="I26" s="27"/>
      <c r="J26" s="27"/>
      <c r="K26" s="27"/>
    </row>
    <row r="27" spans="1:11" ht="16.5" thickTop="1" thickBot="1" x14ac:dyDescent="0.3">
      <c r="A27" s="39"/>
      <c r="B27" s="40"/>
      <c r="C27" s="31" t="s">
        <v>23</v>
      </c>
      <c r="D27" s="27"/>
      <c r="E27" s="27"/>
      <c r="F27" s="27"/>
      <c r="G27" s="27"/>
      <c r="H27" s="56" t="s">
        <v>24</v>
      </c>
      <c r="I27" s="56"/>
      <c r="J27" s="56"/>
      <c r="K27" s="56"/>
    </row>
    <row r="28" spans="1:11" ht="16.5" thickTop="1" thickBot="1" x14ac:dyDescent="0.3">
      <c r="A28" s="39"/>
      <c r="B28" s="29"/>
      <c r="C28" s="27"/>
      <c r="D28" s="30" t="s">
        <v>25</v>
      </c>
      <c r="E28" s="42"/>
      <c r="F28" s="42"/>
      <c r="G28" s="31"/>
      <c r="H28" s="53" t="s">
        <v>41</v>
      </c>
      <c r="I28" s="53">
        <v>5000</v>
      </c>
      <c r="J28" s="53" t="s">
        <v>42</v>
      </c>
      <c r="K28" s="53"/>
    </row>
    <row r="29" spans="1:11" ht="16.5" thickTop="1" thickBot="1" x14ac:dyDescent="0.3">
      <c r="A29" s="39"/>
      <c r="B29" s="29"/>
      <c r="C29" s="27"/>
      <c r="D29" s="30" t="s">
        <v>26</v>
      </c>
      <c r="E29" s="42"/>
      <c r="F29" s="42"/>
      <c r="G29" s="31"/>
      <c r="H29" s="53" t="s">
        <v>43</v>
      </c>
      <c r="I29" s="53">
        <f>5000000</f>
        <v>5000000</v>
      </c>
      <c r="J29" s="53" t="s">
        <v>44</v>
      </c>
      <c r="K29" s="53"/>
    </row>
    <row r="30" spans="1:11" ht="16.5" thickTop="1" thickBot="1" x14ac:dyDescent="0.3">
      <c r="A30" s="39"/>
      <c r="B30" s="29"/>
      <c r="C30" s="27"/>
      <c r="D30" s="31" t="s">
        <v>28</v>
      </c>
      <c r="E30" s="43" t="e">
        <f>1-(AVERAGE(E29:F29)/AVERAGE(E28:F28))</f>
        <v>#DIV/0!</v>
      </c>
      <c r="F30" s="27"/>
      <c r="G30" s="27"/>
      <c r="H30" s="56"/>
      <c r="I30" s="54" t="s">
        <v>27</v>
      </c>
      <c r="J30" s="55" t="e">
        <f>I29*I28/E31</f>
        <v>#DIV/0!</v>
      </c>
      <c r="K30" s="53" t="s">
        <v>14</v>
      </c>
    </row>
    <row r="31" spans="1:11" ht="16.5" thickTop="1" thickBot="1" x14ac:dyDescent="0.3">
      <c r="A31" s="39"/>
      <c r="B31" s="29"/>
      <c r="C31" s="27"/>
      <c r="D31" s="30" t="s">
        <v>30</v>
      </c>
      <c r="E31" s="42" t="e">
        <f>AVERAGE(E28:F28)*E30</f>
        <v>#DIV/0!</v>
      </c>
      <c r="F31" s="31" t="s">
        <v>31</v>
      </c>
      <c r="G31" s="27"/>
      <c r="H31" s="53"/>
      <c r="I31" s="53" t="s">
        <v>29</v>
      </c>
      <c r="J31" s="55" t="e">
        <f>200-J30</f>
        <v>#DIV/0!</v>
      </c>
      <c r="K31" s="53" t="s">
        <v>14</v>
      </c>
    </row>
    <row r="32" spans="1:11" ht="15.75" thickTop="1" x14ac:dyDescent="0.25">
      <c r="A32" s="39"/>
      <c r="B32" s="29"/>
      <c r="C32" s="27"/>
      <c r="D32" s="30"/>
      <c r="E32" s="42"/>
      <c r="F32" s="31"/>
      <c r="G32" s="27"/>
      <c r="H32" s="27"/>
      <c r="I32" s="27"/>
      <c r="J32" s="27"/>
      <c r="K32" s="27"/>
    </row>
    <row r="33" spans="1:11" x14ac:dyDescent="0.25">
      <c r="A33" s="39"/>
      <c r="B33" s="40" t="s">
        <v>32</v>
      </c>
      <c r="C33" s="31" t="s">
        <v>33</v>
      </c>
      <c r="D33" s="30"/>
      <c r="E33" s="42"/>
      <c r="F33" s="31"/>
      <c r="G33" s="27"/>
      <c r="H33" s="27"/>
      <c r="I33" s="27"/>
      <c r="J33" s="27"/>
      <c r="K33" s="27"/>
    </row>
    <row r="34" spans="1:11" x14ac:dyDescent="0.25">
      <c r="A34" s="39"/>
      <c r="B34" s="29"/>
      <c r="C34" s="27"/>
      <c r="D34" s="30"/>
      <c r="E34" s="42"/>
      <c r="F34" s="31"/>
      <c r="G34" s="27"/>
      <c r="H34" s="27"/>
      <c r="I34" s="27"/>
      <c r="J34" s="27"/>
      <c r="K34" s="27"/>
    </row>
    <row r="35" spans="1:11" x14ac:dyDescent="0.25">
      <c r="A35" s="39"/>
      <c r="B35" s="40" t="s">
        <v>34</v>
      </c>
      <c r="C35" s="31"/>
      <c r="D35" s="31" t="s">
        <v>35</v>
      </c>
      <c r="E35" s="42"/>
      <c r="F35" s="31"/>
      <c r="G35" s="27"/>
      <c r="H35" s="27"/>
      <c r="I35" s="27"/>
      <c r="J35" s="27"/>
      <c r="K35" s="27"/>
    </row>
    <row r="36" spans="1:11" x14ac:dyDescent="0.25">
      <c r="A36" s="39"/>
      <c r="B36" s="29"/>
      <c r="C36" s="27"/>
      <c r="D36" s="44" t="s">
        <v>36</v>
      </c>
      <c r="E36" s="42"/>
      <c r="F36" s="31"/>
      <c r="G36" s="27"/>
      <c r="H36" s="27"/>
      <c r="I36" s="27"/>
      <c r="J36" s="27"/>
      <c r="K36" s="27"/>
    </row>
    <row r="37" spans="1:11" x14ac:dyDescent="0.25">
      <c r="A37" s="39"/>
      <c r="B37" s="29"/>
      <c r="C37" s="27"/>
      <c r="D37" s="30"/>
      <c r="E37" s="42"/>
      <c r="F37" s="31"/>
      <c r="G37" s="27"/>
      <c r="H37" s="27"/>
      <c r="I37" s="27"/>
      <c r="J37" s="27"/>
      <c r="K37" s="27"/>
    </row>
    <row r="38" spans="1:11" ht="15.75" thickBot="1" x14ac:dyDescent="0.3">
      <c r="A38" s="28"/>
      <c r="B38" s="29" t="s">
        <v>37</v>
      </c>
      <c r="C38" s="27"/>
      <c r="D38" s="27"/>
      <c r="E38" s="27"/>
      <c r="F38" s="31"/>
      <c r="G38" s="27"/>
      <c r="H38" s="27"/>
      <c r="I38" s="27"/>
      <c r="J38" s="27"/>
      <c r="K38" s="27"/>
    </row>
    <row r="39" spans="1:11" ht="16.5" thickTop="1" thickBot="1" x14ac:dyDescent="0.3">
      <c r="A39" s="28"/>
      <c r="B39" s="29"/>
      <c r="C39" s="27"/>
      <c r="D39" s="102" t="s">
        <v>38</v>
      </c>
      <c r="E39" s="103"/>
      <c r="F39" s="31"/>
      <c r="G39" s="45" t="s">
        <v>39</v>
      </c>
      <c r="H39" s="46"/>
      <c r="I39" s="27"/>
      <c r="J39" s="27"/>
      <c r="K39" s="27"/>
    </row>
    <row r="40" spans="1:11" ht="15.75" thickTop="1" x14ac:dyDescent="0.25">
      <c r="A40" s="28"/>
      <c r="B40" s="29"/>
      <c r="C40" s="27"/>
      <c r="D40" s="47"/>
      <c r="E40" s="48"/>
      <c r="F40" s="31"/>
      <c r="I40" s="27"/>
      <c r="J40" s="27"/>
      <c r="K40" s="27"/>
    </row>
    <row r="41" spans="1:11" ht="15.75" thickBot="1" x14ac:dyDescent="0.3">
      <c r="A41" s="28"/>
      <c r="B41" s="29"/>
      <c r="C41" s="27"/>
      <c r="D41" s="49"/>
      <c r="E41" s="50"/>
      <c r="F41" s="31"/>
      <c r="G41" s="27"/>
      <c r="H41" s="27"/>
      <c r="I41" s="27"/>
      <c r="J41" s="27"/>
      <c r="K41" s="27"/>
    </row>
    <row r="42" spans="1:11" ht="16.5" thickTop="1" thickBot="1" x14ac:dyDescent="0.3">
      <c r="A42" s="28"/>
      <c r="B42" s="29"/>
      <c r="C42" s="27"/>
      <c r="D42" s="27"/>
      <c r="E42" s="27"/>
      <c r="F42" s="31"/>
      <c r="G42" s="27"/>
      <c r="H42" s="27"/>
      <c r="I42" s="27"/>
      <c r="J42" s="27"/>
      <c r="K42" s="27"/>
    </row>
    <row r="43" spans="1:11" ht="15.75" thickTop="1" x14ac:dyDescent="0.25">
      <c r="A43" s="39"/>
      <c r="B43" s="29"/>
      <c r="C43" s="27"/>
      <c r="D43" s="102" t="s">
        <v>40</v>
      </c>
      <c r="E43" s="103"/>
      <c r="F43" s="31"/>
      <c r="G43" s="27"/>
      <c r="H43" s="27"/>
      <c r="I43" s="27"/>
      <c r="J43" s="27"/>
      <c r="K43" s="27"/>
    </row>
    <row r="44" spans="1:11" x14ac:dyDescent="0.25">
      <c r="A44" s="39"/>
      <c r="B44" s="27"/>
      <c r="C44" s="27"/>
      <c r="D44" s="47"/>
      <c r="E44" s="51"/>
      <c r="F44" s="31"/>
      <c r="G44" s="27"/>
      <c r="H44" s="27"/>
      <c r="I44" s="27"/>
      <c r="J44" s="27"/>
      <c r="K44" s="27"/>
    </row>
    <row r="45" spans="1:11" ht="15.75" thickBot="1" x14ac:dyDescent="0.3">
      <c r="A45" s="39"/>
      <c r="B45" s="27"/>
      <c r="C45" s="27"/>
      <c r="D45" s="49"/>
      <c r="E45" s="52"/>
      <c r="F45" s="31"/>
      <c r="G45" s="27"/>
      <c r="H45" s="27"/>
      <c r="I45" s="27"/>
      <c r="J45" s="27"/>
      <c r="K45" s="27"/>
    </row>
    <row r="46" spans="1:11" ht="15.75" thickTop="1" x14ac:dyDescent="0.25">
      <c r="A46" s="39"/>
      <c r="B46" s="27"/>
      <c r="C46" s="27"/>
      <c r="D46" s="27"/>
      <c r="E46" s="27"/>
      <c r="F46" s="31"/>
      <c r="G46" s="27"/>
      <c r="H46" s="27"/>
      <c r="I46" s="27"/>
      <c r="J46" s="27"/>
      <c r="K46" s="27"/>
    </row>
  </sheetData>
  <mergeCells count="3">
    <mergeCell ref="F9:I9"/>
    <mergeCell ref="D39:E39"/>
    <mergeCell ref="D43:E43"/>
  </mergeCells>
  <conditionalFormatting sqref="E40:E41">
    <cfRule type="cellIs" dxfId="1" priority="1" operator="lessThan">
      <formula>50</formula>
    </cfRule>
    <cfRule type="cellIs" dxfId="0" priority="2" operator="greaterThanOrEqual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927C9-65C5-4EFD-A8D7-C3EFF59493E3}">
  <sheetPr codeName="Sheet4"/>
  <dimension ref="A1:J21"/>
  <sheetViews>
    <sheetView topLeftCell="C1" zoomScaleNormal="100" workbookViewId="0">
      <selection activeCell="D12" sqref="D12:E12"/>
    </sheetView>
  </sheetViews>
  <sheetFormatPr defaultRowHeight="15" x14ac:dyDescent="0.25"/>
  <cols>
    <col min="1" max="1" width="15.28515625" customWidth="1"/>
    <col min="2" max="2" width="8.28515625" bestFit="1" customWidth="1"/>
    <col min="3" max="3" width="11.28515625" bestFit="1" customWidth="1"/>
    <col min="4" max="9" width="24" customWidth="1"/>
    <col min="10" max="10" width="5.5703125" customWidth="1"/>
  </cols>
  <sheetData>
    <row r="1" spans="1:10" x14ac:dyDescent="0.25">
      <c r="A1" s="1" t="s">
        <v>0</v>
      </c>
      <c r="B1" s="2" t="s">
        <v>1</v>
      </c>
      <c r="C1" s="3" t="s">
        <v>2</v>
      </c>
      <c r="D1" s="4" t="s">
        <v>45</v>
      </c>
      <c r="E1" s="5" t="s">
        <v>46</v>
      </c>
      <c r="F1" s="6" t="s">
        <v>47</v>
      </c>
      <c r="G1" s="5" t="s">
        <v>48</v>
      </c>
      <c r="H1" s="5" t="s">
        <v>49</v>
      </c>
      <c r="I1" s="7" t="s">
        <v>50</v>
      </c>
    </row>
    <row r="2" spans="1:10" x14ac:dyDescent="0.25">
      <c r="A2" s="8">
        <v>46268</v>
      </c>
      <c r="B2" s="69">
        <f>C2*24</f>
        <v>0</v>
      </c>
      <c r="C2" s="9">
        <f t="shared" ref="C2:C13" si="0">IF(NOT(A2=0),A2-$A$2,"")</f>
        <v>0</v>
      </c>
      <c r="D2" s="11">
        <v>10000</v>
      </c>
      <c r="E2" s="11">
        <v>4862000</v>
      </c>
      <c r="F2" s="12">
        <f t="shared" ref="F2:F5" si="1">(E2-D2)/E2</f>
        <v>0.9979432332373509</v>
      </c>
      <c r="G2" s="14">
        <v>10000</v>
      </c>
      <c r="H2" s="11">
        <v>4732200</v>
      </c>
      <c r="I2" s="13">
        <f t="shared" ref="I2:I5" si="2">(H2-G2)/H2</f>
        <v>0.99788681797049994</v>
      </c>
    </row>
    <row r="3" spans="1:10" x14ac:dyDescent="0.25">
      <c r="A3" s="8">
        <v>46269</v>
      </c>
      <c r="B3" s="69">
        <f t="shared" ref="B3:B21" si="3">C3*24</f>
        <v>24</v>
      </c>
      <c r="C3" s="9">
        <f t="shared" si="0"/>
        <v>1</v>
      </c>
      <c r="D3" s="11">
        <v>20000</v>
      </c>
      <c r="E3" s="11">
        <v>14175000</v>
      </c>
      <c r="F3" s="12">
        <f t="shared" si="1"/>
        <v>0.99858906525573188</v>
      </c>
      <c r="G3" s="14">
        <v>20000</v>
      </c>
      <c r="H3" s="11">
        <v>13974000</v>
      </c>
      <c r="I3" s="13">
        <f t="shared" si="2"/>
        <v>0.99856877057392301</v>
      </c>
    </row>
    <row r="4" spans="1:10" x14ac:dyDescent="0.25">
      <c r="A4" s="8">
        <v>46270</v>
      </c>
      <c r="B4" s="69">
        <f t="shared" si="3"/>
        <v>48</v>
      </c>
      <c r="C4" s="9">
        <f t="shared" si="0"/>
        <v>2</v>
      </c>
      <c r="D4" s="11">
        <v>30000</v>
      </c>
      <c r="E4" s="11">
        <v>32590800</v>
      </c>
      <c r="F4" s="12">
        <f t="shared" si="1"/>
        <v>0.99907949482676095</v>
      </c>
      <c r="G4" s="14">
        <v>30000</v>
      </c>
      <c r="H4" s="11">
        <v>31570000.000000004</v>
      </c>
      <c r="I4" s="13">
        <f t="shared" si="2"/>
        <v>0.99904973075704784</v>
      </c>
      <c r="J4" s="20"/>
    </row>
    <row r="5" spans="1:10" x14ac:dyDescent="0.25">
      <c r="A5" s="8">
        <v>46271</v>
      </c>
      <c r="B5" s="69">
        <f t="shared" si="3"/>
        <v>72</v>
      </c>
      <c r="C5" s="9">
        <f t="shared" si="0"/>
        <v>3</v>
      </c>
      <c r="D5" s="11">
        <v>40000</v>
      </c>
      <c r="E5" s="11">
        <v>40902000</v>
      </c>
      <c r="F5" s="12">
        <f t="shared" si="1"/>
        <v>0.99902205271135891</v>
      </c>
      <c r="G5" s="14">
        <v>40000</v>
      </c>
      <c r="H5" s="11">
        <v>43804800</v>
      </c>
      <c r="I5" s="13">
        <f t="shared" si="2"/>
        <v>0.999086858061217</v>
      </c>
    </row>
    <row r="6" spans="1:10" x14ac:dyDescent="0.25">
      <c r="A6" s="8">
        <v>46272</v>
      </c>
      <c r="B6" s="69">
        <f t="shared" si="3"/>
        <v>96</v>
      </c>
      <c r="C6" s="9">
        <f t="shared" si="0"/>
        <v>4</v>
      </c>
      <c r="D6" s="11">
        <v>50000</v>
      </c>
      <c r="E6" s="11">
        <v>38494000</v>
      </c>
      <c r="F6" s="12">
        <f t="shared" ref="F6:F21" si="4">(E6-D6)/E6</f>
        <v>0.99870109627474413</v>
      </c>
      <c r="G6" s="14">
        <v>50000</v>
      </c>
      <c r="H6" s="11">
        <v>40986000</v>
      </c>
      <c r="I6" s="13">
        <f t="shared" ref="I6:I21" si="5">(H6-G6)/H6</f>
        <v>0.99878007124383938</v>
      </c>
    </row>
    <row r="7" spans="1:10" x14ac:dyDescent="0.25">
      <c r="A7" s="8">
        <v>46273</v>
      </c>
      <c r="B7" s="69">
        <f t="shared" si="3"/>
        <v>120</v>
      </c>
      <c r="C7" s="9">
        <f t="shared" si="0"/>
        <v>5</v>
      </c>
      <c r="D7" s="11">
        <v>60000</v>
      </c>
      <c r="E7" s="11">
        <v>37886800</v>
      </c>
      <c r="F7" s="12">
        <f t="shared" si="4"/>
        <v>0.99841633497682569</v>
      </c>
      <c r="G7" s="14">
        <v>60000</v>
      </c>
      <c r="H7" s="11">
        <v>37788800</v>
      </c>
      <c r="I7" s="13">
        <f t="shared" si="5"/>
        <v>0.99841222796172413</v>
      </c>
    </row>
    <row r="8" spans="1:10" x14ac:dyDescent="0.25">
      <c r="A8" s="8">
        <v>46274</v>
      </c>
      <c r="B8" s="69">
        <f t="shared" si="3"/>
        <v>144</v>
      </c>
      <c r="C8" s="9">
        <f t="shared" si="0"/>
        <v>6</v>
      </c>
      <c r="D8" s="11">
        <v>70000</v>
      </c>
      <c r="E8" s="11">
        <v>15606000</v>
      </c>
      <c r="F8" s="12">
        <f t="shared" si="4"/>
        <v>0.99551454568755604</v>
      </c>
      <c r="G8" s="14">
        <v>70000</v>
      </c>
      <c r="H8" s="11">
        <v>10925000</v>
      </c>
      <c r="I8" s="13">
        <f t="shared" si="5"/>
        <v>0.9935926773455378</v>
      </c>
    </row>
    <row r="9" spans="1:10" x14ac:dyDescent="0.25">
      <c r="A9" s="8">
        <v>46275</v>
      </c>
      <c r="B9" s="69">
        <f t="shared" si="3"/>
        <v>168</v>
      </c>
      <c r="C9" s="9">
        <f t="shared" si="0"/>
        <v>7</v>
      </c>
      <c r="D9" s="11">
        <v>80000</v>
      </c>
      <c r="E9" s="11">
        <v>5220800</v>
      </c>
      <c r="F9" s="12">
        <f t="shared" si="4"/>
        <v>0.98467667790376956</v>
      </c>
      <c r="G9" s="14">
        <v>80000</v>
      </c>
      <c r="H9" s="11">
        <v>5777000</v>
      </c>
      <c r="I9" s="13">
        <f t="shared" si="5"/>
        <v>0.98615198199757659</v>
      </c>
    </row>
    <row r="10" spans="1:10" x14ac:dyDescent="0.25">
      <c r="A10" s="8">
        <v>46276</v>
      </c>
      <c r="B10" s="69">
        <f t="shared" si="3"/>
        <v>192</v>
      </c>
      <c r="C10" s="9">
        <f t="shared" si="0"/>
        <v>8</v>
      </c>
      <c r="D10" s="11">
        <v>90000</v>
      </c>
      <c r="E10" s="11">
        <v>2475000</v>
      </c>
      <c r="F10" s="12">
        <f t="shared" si="4"/>
        <v>0.96363636363636362</v>
      </c>
      <c r="G10" s="14">
        <v>90000</v>
      </c>
      <c r="H10" s="11">
        <v>2998800</v>
      </c>
      <c r="I10" s="13">
        <f t="shared" si="5"/>
        <v>0.96998799519807921</v>
      </c>
    </row>
    <row r="11" spans="1:10" x14ac:dyDescent="0.25">
      <c r="A11" s="8">
        <v>46277</v>
      </c>
      <c r="B11" s="69">
        <f t="shared" si="3"/>
        <v>216</v>
      </c>
      <c r="C11" s="9">
        <f t="shared" si="0"/>
        <v>9</v>
      </c>
      <c r="D11" s="11">
        <v>100000</v>
      </c>
      <c r="E11" s="11">
        <v>2310800</v>
      </c>
      <c r="F11" s="12">
        <f t="shared" si="4"/>
        <v>0.95672494374242689</v>
      </c>
      <c r="G11" s="14">
        <v>100000</v>
      </c>
      <c r="H11" s="11">
        <v>2415000</v>
      </c>
      <c r="I11" s="13">
        <f t="shared" si="5"/>
        <v>0.95859213250517594</v>
      </c>
    </row>
    <row r="12" spans="1:10" x14ac:dyDescent="0.25">
      <c r="A12" s="8">
        <v>46278</v>
      </c>
      <c r="B12" s="69">
        <f t="shared" si="3"/>
        <v>240</v>
      </c>
      <c r="C12" s="9">
        <f t="shared" si="0"/>
        <v>10</v>
      </c>
      <c r="D12" s="11">
        <v>110000</v>
      </c>
      <c r="E12" s="11">
        <v>1710000</v>
      </c>
      <c r="F12" s="12">
        <f>(E12-D12)/E12</f>
        <v>0.93567251461988299</v>
      </c>
      <c r="G12" s="14">
        <v>110000</v>
      </c>
      <c r="H12" s="11">
        <v>1900000</v>
      </c>
      <c r="I12" s="13">
        <f t="shared" si="5"/>
        <v>0.94210526315789478</v>
      </c>
    </row>
    <row r="13" spans="1:10" x14ac:dyDescent="0.25">
      <c r="A13" s="8">
        <v>0</v>
      </c>
      <c r="B13" s="69" t="e">
        <f t="shared" si="3"/>
        <v>#VALUE!</v>
      </c>
      <c r="C13" s="9" t="str">
        <f t="shared" si="0"/>
        <v/>
      </c>
      <c r="D13" s="10" t="e">
        <v>#N/A</v>
      </c>
      <c r="E13" s="11" t="e">
        <v>#N/A</v>
      </c>
      <c r="F13" s="12" t="e">
        <f t="shared" si="4"/>
        <v>#N/A</v>
      </c>
      <c r="G13" s="14" t="e">
        <v>#N/A</v>
      </c>
      <c r="H13" s="11" t="e">
        <v>#N/A</v>
      </c>
      <c r="I13" s="13" t="e">
        <f t="shared" si="5"/>
        <v>#N/A</v>
      </c>
    </row>
    <row r="14" spans="1:10" x14ac:dyDescent="0.25">
      <c r="A14" s="8">
        <v>0</v>
      </c>
      <c r="B14" s="69" t="e">
        <f t="shared" si="3"/>
        <v>#VALUE!</v>
      </c>
      <c r="C14" s="9" t="str">
        <f t="shared" ref="C14:C21" si="6">IF(NOT(A14=0),A14-$A$2,"")</f>
        <v/>
      </c>
      <c r="D14" s="10" t="e">
        <v>#N/A</v>
      </c>
      <c r="E14" s="11" t="e">
        <v>#N/A</v>
      </c>
      <c r="F14" s="12" t="e">
        <f t="shared" si="4"/>
        <v>#N/A</v>
      </c>
      <c r="G14" s="14" t="e">
        <v>#N/A</v>
      </c>
      <c r="H14" s="11" t="e">
        <v>#N/A</v>
      </c>
      <c r="I14" s="13" t="e">
        <f t="shared" si="5"/>
        <v>#N/A</v>
      </c>
    </row>
    <row r="15" spans="1:10" x14ac:dyDescent="0.25">
      <c r="A15" s="8">
        <v>0</v>
      </c>
      <c r="B15" s="69" t="e">
        <f t="shared" si="3"/>
        <v>#VALUE!</v>
      </c>
      <c r="C15" s="9" t="str">
        <f t="shared" si="6"/>
        <v/>
      </c>
      <c r="D15" s="10" t="e">
        <v>#N/A</v>
      </c>
      <c r="E15" s="11" t="e">
        <v>#N/A</v>
      </c>
      <c r="F15" s="12" t="e">
        <f t="shared" si="4"/>
        <v>#N/A</v>
      </c>
      <c r="G15" s="14" t="e">
        <v>#N/A</v>
      </c>
      <c r="H15" s="11" t="e">
        <v>#N/A</v>
      </c>
      <c r="I15" s="13" t="e">
        <f t="shared" si="5"/>
        <v>#N/A</v>
      </c>
    </row>
    <row r="16" spans="1:10" x14ac:dyDescent="0.25">
      <c r="A16" s="8">
        <v>0</v>
      </c>
      <c r="B16" s="69" t="e">
        <f t="shared" si="3"/>
        <v>#VALUE!</v>
      </c>
      <c r="C16" s="9" t="str">
        <f t="shared" si="6"/>
        <v/>
      </c>
      <c r="D16" s="10" t="e">
        <v>#N/A</v>
      </c>
      <c r="E16" s="11" t="e">
        <v>#N/A</v>
      </c>
      <c r="F16" s="12" t="e">
        <f t="shared" si="4"/>
        <v>#N/A</v>
      </c>
      <c r="G16" s="14" t="e">
        <v>#N/A</v>
      </c>
      <c r="H16" s="11" t="e">
        <v>#N/A</v>
      </c>
      <c r="I16" s="13" t="e">
        <f t="shared" si="5"/>
        <v>#N/A</v>
      </c>
    </row>
    <row r="17" spans="1:9" x14ac:dyDescent="0.25">
      <c r="A17" s="8">
        <v>0</v>
      </c>
      <c r="B17" s="69" t="e">
        <f t="shared" si="3"/>
        <v>#VALUE!</v>
      </c>
      <c r="C17" s="9" t="str">
        <f t="shared" si="6"/>
        <v/>
      </c>
      <c r="D17" s="15" t="e">
        <v>#N/A</v>
      </c>
      <c r="E17" t="e">
        <v>#N/A</v>
      </c>
      <c r="F17" s="12" t="e">
        <f t="shared" si="4"/>
        <v>#N/A</v>
      </c>
      <c r="G17" s="16" t="e">
        <v>#N/A</v>
      </c>
      <c r="H17" t="e">
        <v>#N/A</v>
      </c>
      <c r="I17" s="13" t="e">
        <f t="shared" si="5"/>
        <v>#N/A</v>
      </c>
    </row>
    <row r="18" spans="1:9" x14ac:dyDescent="0.25">
      <c r="A18" s="8">
        <v>0</v>
      </c>
      <c r="B18" s="69" t="e">
        <f t="shared" si="3"/>
        <v>#VALUE!</v>
      </c>
      <c r="C18" s="9" t="str">
        <f t="shared" si="6"/>
        <v/>
      </c>
      <c r="D18" s="15" t="e">
        <v>#N/A</v>
      </c>
      <c r="E18" t="e">
        <v>#N/A</v>
      </c>
      <c r="F18" s="12" t="e">
        <f t="shared" si="4"/>
        <v>#N/A</v>
      </c>
      <c r="G18" s="16" t="e">
        <v>#N/A</v>
      </c>
      <c r="H18" t="e">
        <v>#N/A</v>
      </c>
      <c r="I18" s="13" t="e">
        <f t="shared" si="5"/>
        <v>#N/A</v>
      </c>
    </row>
    <row r="19" spans="1:9" x14ac:dyDescent="0.25">
      <c r="A19" s="8">
        <v>0</v>
      </c>
      <c r="B19" s="69" t="e">
        <f t="shared" si="3"/>
        <v>#VALUE!</v>
      </c>
      <c r="C19" s="9" t="str">
        <f t="shared" si="6"/>
        <v/>
      </c>
      <c r="D19" s="15" t="e">
        <v>#N/A</v>
      </c>
      <c r="E19" t="e">
        <v>#N/A</v>
      </c>
      <c r="F19" s="12" t="e">
        <f t="shared" si="4"/>
        <v>#N/A</v>
      </c>
      <c r="G19" s="16" t="e">
        <v>#N/A</v>
      </c>
      <c r="H19" t="e">
        <v>#N/A</v>
      </c>
      <c r="I19" s="13" t="e">
        <f t="shared" si="5"/>
        <v>#N/A</v>
      </c>
    </row>
    <row r="20" spans="1:9" x14ac:dyDescent="0.25">
      <c r="A20" s="8">
        <v>0</v>
      </c>
      <c r="B20" s="69" t="e">
        <f t="shared" si="3"/>
        <v>#VALUE!</v>
      </c>
      <c r="C20" s="9" t="str">
        <f t="shared" si="6"/>
        <v/>
      </c>
      <c r="D20" s="15" t="e">
        <v>#N/A</v>
      </c>
      <c r="E20" t="e">
        <v>#N/A</v>
      </c>
      <c r="F20" s="12" t="e">
        <f t="shared" si="4"/>
        <v>#N/A</v>
      </c>
      <c r="G20" s="16" t="e">
        <v>#N/A</v>
      </c>
      <c r="H20" t="e">
        <v>#N/A</v>
      </c>
      <c r="I20" s="13" t="e">
        <f t="shared" si="5"/>
        <v>#N/A</v>
      </c>
    </row>
    <row r="21" spans="1:9" ht="15.75" thickBot="1" x14ac:dyDescent="0.3">
      <c r="A21" s="8">
        <v>0</v>
      </c>
      <c r="B21" s="69" t="e">
        <f t="shared" si="3"/>
        <v>#VALUE!</v>
      </c>
      <c r="C21" s="9" t="str">
        <f t="shared" si="6"/>
        <v/>
      </c>
      <c r="D21" s="18" t="e">
        <v>#N/A</v>
      </c>
      <c r="E21" s="17" t="e">
        <v>#N/A</v>
      </c>
      <c r="F21" s="12" t="e">
        <f t="shared" si="4"/>
        <v>#N/A</v>
      </c>
      <c r="G21" s="19" t="e">
        <v>#N/A</v>
      </c>
      <c r="H21" s="17" t="e">
        <v>#N/A</v>
      </c>
      <c r="I21" s="13" t="e">
        <f t="shared" si="5"/>
        <v>#N/A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769E1-8B72-4FFD-BF2B-E611E1AE4A4C}">
  <sheetPr codeName="Sheet5"/>
  <dimension ref="A1:E22"/>
  <sheetViews>
    <sheetView topLeftCell="A2" workbookViewId="0">
      <selection activeCell="D26" sqref="D26:E36"/>
    </sheetView>
  </sheetViews>
  <sheetFormatPr defaultRowHeight="15" x14ac:dyDescent="0.25"/>
  <cols>
    <col min="1" max="1" width="13.5703125" bestFit="1" customWidth="1"/>
  </cols>
  <sheetData>
    <row r="1" spans="1:5" ht="15.75" thickBot="1" x14ac:dyDescent="0.3">
      <c r="D1" s="57">
        <f>Experimental_parameters!A2</f>
        <v>1</v>
      </c>
      <c r="E1" s="57">
        <f>Experimental_parameters!A3</f>
        <v>2</v>
      </c>
    </row>
    <row r="2" spans="1:5" x14ac:dyDescent="0.25">
      <c r="A2" s="1" t="s">
        <v>0</v>
      </c>
      <c r="B2" s="2" t="s">
        <v>1</v>
      </c>
      <c r="C2" s="2" t="s">
        <v>2</v>
      </c>
      <c r="D2" s="20" t="s">
        <v>290</v>
      </c>
      <c r="E2" s="20" t="s">
        <v>291</v>
      </c>
    </row>
    <row r="3" spans="1:5" x14ac:dyDescent="0.25">
      <c r="A3" s="8">
        <f>CellCount_Viability!A2</f>
        <v>46268</v>
      </c>
      <c r="B3">
        <f>C3*24</f>
        <v>0</v>
      </c>
      <c r="C3" s="9">
        <f>IF(NOT(A3=0),A3-$A$3,"")</f>
        <v>0</v>
      </c>
      <c r="D3" s="58">
        <v>17.3</v>
      </c>
      <c r="E3" s="59">
        <v>17.126999999999999</v>
      </c>
    </row>
    <row r="4" spans="1:5" x14ac:dyDescent="0.25">
      <c r="A4" s="8">
        <f>CellCount_Viability!A3</f>
        <v>46269</v>
      </c>
      <c r="B4">
        <f t="shared" ref="B4:B22" si="0">C4*24</f>
        <v>24</v>
      </c>
      <c r="C4" s="9">
        <f t="shared" ref="C4:C22" si="1">IF(NOT(A4=0),A4-$A$3,"")</f>
        <v>1</v>
      </c>
      <c r="D4" s="58">
        <v>16.5</v>
      </c>
      <c r="E4" s="59">
        <v>17.033999999999999</v>
      </c>
    </row>
    <row r="5" spans="1:5" x14ac:dyDescent="0.25">
      <c r="A5" s="8">
        <f>CellCount_Viability!A4</f>
        <v>46270</v>
      </c>
      <c r="B5">
        <f t="shared" si="0"/>
        <v>48</v>
      </c>
      <c r="C5" s="9">
        <f t="shared" si="1"/>
        <v>2</v>
      </c>
      <c r="D5" s="58">
        <v>13.959</v>
      </c>
      <c r="E5" s="59">
        <v>15.290000000000001</v>
      </c>
    </row>
    <row r="6" spans="1:5" x14ac:dyDescent="0.25">
      <c r="A6" s="8">
        <f>CellCount_Viability!A5</f>
        <v>46271</v>
      </c>
      <c r="B6">
        <f t="shared" si="0"/>
        <v>72</v>
      </c>
      <c r="C6" s="9">
        <f t="shared" si="1"/>
        <v>3</v>
      </c>
      <c r="D6" s="58">
        <v>12.138</v>
      </c>
      <c r="E6" s="59">
        <v>12.376000000000001</v>
      </c>
    </row>
    <row r="7" spans="1:5" x14ac:dyDescent="0.25">
      <c r="A7" s="8">
        <f>CellCount_Viability!A6</f>
        <v>46272</v>
      </c>
      <c r="B7">
        <f t="shared" si="0"/>
        <v>96</v>
      </c>
      <c r="C7" s="9">
        <f t="shared" si="1"/>
        <v>4</v>
      </c>
      <c r="D7" s="58">
        <v>8.7399999999999984</v>
      </c>
      <c r="E7" s="59">
        <v>9.1079999999999988</v>
      </c>
    </row>
    <row r="8" spans="1:5" x14ac:dyDescent="0.25">
      <c r="A8" s="8">
        <f>CellCount_Viability!A7</f>
        <v>46273</v>
      </c>
      <c r="B8">
        <f t="shared" si="0"/>
        <v>120</v>
      </c>
      <c r="C8" s="9">
        <f t="shared" si="1"/>
        <v>5</v>
      </c>
      <c r="D8" s="58">
        <v>6.8599999999999994</v>
      </c>
      <c r="E8" s="59">
        <v>6.8599999999999994</v>
      </c>
    </row>
    <row r="9" spans="1:5" x14ac:dyDescent="0.25">
      <c r="A9" s="8">
        <f>CellCount_Viability!A8</f>
        <v>46274</v>
      </c>
      <c r="B9" s="69">
        <f t="shared" si="0"/>
        <v>144</v>
      </c>
      <c r="C9" s="9">
        <f t="shared" si="1"/>
        <v>6</v>
      </c>
      <c r="D9" s="58">
        <v>4.9980000000000002</v>
      </c>
      <c r="E9" s="59">
        <v>4.6550000000000002</v>
      </c>
    </row>
    <row r="10" spans="1:5" x14ac:dyDescent="0.25">
      <c r="A10" s="8">
        <f>CellCount_Viability!A9</f>
        <v>46275</v>
      </c>
      <c r="B10">
        <f t="shared" si="0"/>
        <v>168</v>
      </c>
      <c r="C10" s="9">
        <f t="shared" si="1"/>
        <v>7</v>
      </c>
      <c r="D10" s="58">
        <v>4.7839999999999998</v>
      </c>
      <c r="E10" s="59">
        <v>4.9050000000000002</v>
      </c>
    </row>
    <row r="11" spans="1:5" x14ac:dyDescent="0.25">
      <c r="A11" s="8">
        <f>CellCount_Viability!A10</f>
        <v>46276</v>
      </c>
      <c r="B11">
        <f t="shared" si="0"/>
        <v>192</v>
      </c>
      <c r="C11" s="9">
        <f t="shared" si="1"/>
        <v>8</v>
      </c>
      <c r="D11" s="58">
        <v>4.3559999999999999</v>
      </c>
      <c r="E11" s="59">
        <v>4.3860000000000001</v>
      </c>
    </row>
    <row r="12" spans="1:5" x14ac:dyDescent="0.25">
      <c r="A12" s="8">
        <f>CellCount_Viability!A11</f>
        <v>46277</v>
      </c>
      <c r="B12">
        <f t="shared" si="0"/>
        <v>216</v>
      </c>
      <c r="C12" s="9">
        <f t="shared" si="1"/>
        <v>9</v>
      </c>
      <c r="D12" s="58">
        <v>4.7960000000000012</v>
      </c>
      <c r="E12" s="59">
        <v>4.5149999999999997</v>
      </c>
    </row>
    <row r="13" spans="1:5" x14ac:dyDescent="0.25">
      <c r="A13" s="8">
        <f>CellCount_Viability!A12</f>
        <v>46278</v>
      </c>
      <c r="B13">
        <f t="shared" si="0"/>
        <v>240</v>
      </c>
      <c r="C13" s="9">
        <f t="shared" si="1"/>
        <v>10</v>
      </c>
      <c r="D13" s="58">
        <v>4.085</v>
      </c>
      <c r="E13" s="59">
        <v>3.9899999999999998</v>
      </c>
    </row>
    <row r="14" spans="1:5" x14ac:dyDescent="0.25">
      <c r="A14" s="8">
        <f>CellCount_Viability!A13</f>
        <v>0</v>
      </c>
      <c r="B14" t="e">
        <f t="shared" si="0"/>
        <v>#VALUE!</v>
      </c>
      <c r="C14" s="9" t="str">
        <f t="shared" si="1"/>
        <v/>
      </c>
      <c r="D14" s="58" t="e">
        <v>#N/A</v>
      </c>
      <c r="E14" s="59" t="e">
        <v>#N/A</v>
      </c>
    </row>
    <row r="15" spans="1:5" x14ac:dyDescent="0.25">
      <c r="A15" s="8">
        <f>CellCount_Viability!A14</f>
        <v>0</v>
      </c>
      <c r="B15" t="e">
        <f t="shared" si="0"/>
        <v>#VALUE!</v>
      </c>
      <c r="C15" s="9" t="str">
        <f t="shared" si="1"/>
        <v/>
      </c>
      <c r="D15" s="58" t="e">
        <v>#N/A</v>
      </c>
      <c r="E15" s="59" t="e">
        <v>#N/A</v>
      </c>
    </row>
    <row r="16" spans="1:5" x14ac:dyDescent="0.25">
      <c r="A16" s="8">
        <f>CellCount_Viability!A15</f>
        <v>0</v>
      </c>
      <c r="B16" t="e">
        <f t="shared" si="0"/>
        <v>#VALUE!</v>
      </c>
      <c r="C16" s="9" t="str">
        <f t="shared" si="1"/>
        <v/>
      </c>
      <c r="D16" s="58" t="e">
        <v>#N/A</v>
      </c>
      <c r="E16" s="59" t="e">
        <v>#N/A</v>
      </c>
    </row>
    <row r="17" spans="1:5" x14ac:dyDescent="0.25">
      <c r="A17" s="8">
        <f>CellCount_Viability!A16</f>
        <v>0</v>
      </c>
      <c r="B17" t="e">
        <f t="shared" si="0"/>
        <v>#VALUE!</v>
      </c>
      <c r="C17" s="9" t="str">
        <f t="shared" si="1"/>
        <v/>
      </c>
      <c r="D17" s="58" t="e">
        <v>#N/A</v>
      </c>
      <c r="E17" s="59" t="e">
        <v>#N/A</v>
      </c>
    </row>
    <row r="18" spans="1:5" x14ac:dyDescent="0.25">
      <c r="A18" s="8">
        <f>CellCount_Viability!A17</f>
        <v>0</v>
      </c>
      <c r="B18" t="e">
        <f t="shared" si="0"/>
        <v>#VALUE!</v>
      </c>
      <c r="C18" s="9" t="str">
        <f t="shared" si="1"/>
        <v/>
      </c>
      <c r="D18" s="58" t="e">
        <v>#N/A</v>
      </c>
      <c r="E18" s="59" t="e">
        <v>#N/A</v>
      </c>
    </row>
    <row r="19" spans="1:5" x14ac:dyDescent="0.25">
      <c r="A19" s="8">
        <f>CellCount_Viability!A18</f>
        <v>0</v>
      </c>
      <c r="B19" t="e">
        <f t="shared" si="0"/>
        <v>#VALUE!</v>
      </c>
      <c r="C19" s="9" t="str">
        <f t="shared" si="1"/>
        <v/>
      </c>
      <c r="D19" s="58" t="e">
        <v>#N/A</v>
      </c>
      <c r="E19" s="59" t="e">
        <v>#N/A</v>
      </c>
    </row>
    <row r="20" spans="1:5" x14ac:dyDescent="0.25">
      <c r="A20" s="8">
        <f>CellCount_Viability!A19</f>
        <v>0</v>
      </c>
      <c r="B20" t="e">
        <f t="shared" si="0"/>
        <v>#VALUE!</v>
      </c>
      <c r="C20" s="9" t="str">
        <f t="shared" si="1"/>
        <v/>
      </c>
      <c r="D20" s="58" t="e">
        <v>#N/A</v>
      </c>
      <c r="E20" s="59" t="e">
        <v>#N/A</v>
      </c>
    </row>
    <row r="21" spans="1:5" x14ac:dyDescent="0.25">
      <c r="A21" s="8">
        <f>CellCount_Viability!A20</f>
        <v>0</v>
      </c>
      <c r="B21" t="e">
        <f t="shared" si="0"/>
        <v>#VALUE!</v>
      </c>
      <c r="C21" s="9" t="str">
        <f t="shared" si="1"/>
        <v/>
      </c>
      <c r="D21" s="58" t="e">
        <v>#N/A</v>
      </c>
      <c r="E21" s="59" t="e">
        <v>#N/A</v>
      </c>
    </row>
    <row r="22" spans="1:5" ht="15.75" thickBot="1" x14ac:dyDescent="0.3">
      <c r="A22" s="8">
        <f>CellCount_Viability!A21</f>
        <v>0</v>
      </c>
      <c r="B22" t="e">
        <f t="shared" si="0"/>
        <v>#VALUE!</v>
      </c>
      <c r="C22" s="9" t="str">
        <f t="shared" si="1"/>
        <v/>
      </c>
      <c r="D22" s="60" t="e">
        <v>#N/A</v>
      </c>
      <c r="E22" s="61" t="e">
        <v>#N/A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ED6F-B6A1-4F7B-82B9-8698FCA10571}">
  <sheetPr codeName="Sheet6"/>
  <dimension ref="A1:E37"/>
  <sheetViews>
    <sheetView topLeftCell="A9" workbookViewId="0">
      <selection activeCell="D27" sqref="D27:E37"/>
    </sheetView>
  </sheetViews>
  <sheetFormatPr defaultRowHeight="15" x14ac:dyDescent="0.25"/>
  <cols>
    <col min="1" max="1" width="13.5703125" bestFit="1" customWidth="1"/>
  </cols>
  <sheetData>
    <row r="1" spans="1:5" ht="15.75" thickBot="1" x14ac:dyDescent="0.3">
      <c r="D1" s="57">
        <f>Experimental_parameters!A2</f>
        <v>1</v>
      </c>
      <c r="E1" s="57">
        <f>Experimental_parameters!A3</f>
        <v>2</v>
      </c>
    </row>
    <row r="2" spans="1:5" x14ac:dyDescent="0.25">
      <c r="A2" s="1" t="s">
        <v>0</v>
      </c>
      <c r="B2" s="2" t="s">
        <v>1</v>
      </c>
      <c r="C2" s="2" t="s">
        <v>2</v>
      </c>
      <c r="D2" s="20" t="s">
        <v>290</v>
      </c>
      <c r="E2" s="20" t="s">
        <v>291</v>
      </c>
    </row>
    <row r="3" spans="1:5" x14ac:dyDescent="0.25">
      <c r="A3" s="8">
        <f>CellCount_Viability!A2</f>
        <v>46268</v>
      </c>
      <c r="B3">
        <f t="shared" ref="B3:B8" si="0">C3*24</f>
        <v>0</v>
      </c>
      <c r="C3" s="9">
        <f t="shared" ref="C3:C22" si="1">IF(NOT(A3=0),A3-$A$3,"")</f>
        <v>0</v>
      </c>
      <c r="D3" s="58">
        <v>5.5330000000000004</v>
      </c>
      <c r="E3" s="59">
        <v>4.9697999999999993</v>
      </c>
    </row>
    <row r="4" spans="1:5" x14ac:dyDescent="0.25">
      <c r="A4" s="8">
        <f>CellCount_Viability!A3</f>
        <v>46269</v>
      </c>
      <c r="B4">
        <f t="shared" si="0"/>
        <v>24</v>
      </c>
      <c r="C4" s="9">
        <f t="shared" si="1"/>
        <v>1</v>
      </c>
      <c r="D4" s="58">
        <v>4.76</v>
      </c>
      <c r="E4" s="59">
        <v>4.8756000000000004</v>
      </c>
    </row>
    <row r="5" spans="1:5" x14ac:dyDescent="0.25">
      <c r="A5" s="8">
        <f>CellCount_Viability!A4</f>
        <v>46270</v>
      </c>
      <c r="B5">
        <f t="shared" si="0"/>
        <v>48</v>
      </c>
      <c r="C5" s="9">
        <f t="shared" si="1"/>
        <v>2</v>
      </c>
      <c r="D5" s="58">
        <v>4.4747999999999992</v>
      </c>
      <c r="E5" s="59">
        <v>4.9830000000000005</v>
      </c>
    </row>
    <row r="6" spans="1:5" x14ac:dyDescent="0.25">
      <c r="A6" s="8">
        <f>CellCount_Viability!A5</f>
        <v>46271</v>
      </c>
      <c r="B6">
        <f t="shared" si="0"/>
        <v>72</v>
      </c>
      <c r="C6" s="9">
        <f t="shared" si="1"/>
        <v>3</v>
      </c>
      <c r="D6" s="58">
        <v>4.4880000000000004</v>
      </c>
      <c r="E6" s="59">
        <v>4.6176000000000004</v>
      </c>
    </row>
    <row r="7" spans="1:5" x14ac:dyDescent="0.25">
      <c r="A7" s="8">
        <f>CellCount_Viability!A6</f>
        <v>46272</v>
      </c>
      <c r="B7">
        <f t="shared" si="0"/>
        <v>96</v>
      </c>
      <c r="C7" s="9">
        <f t="shared" si="1"/>
        <v>4</v>
      </c>
      <c r="D7" s="58">
        <v>4.0944999999999991</v>
      </c>
      <c r="E7" s="59">
        <v>4.2768000000000006</v>
      </c>
    </row>
    <row r="8" spans="1:5" x14ac:dyDescent="0.25">
      <c r="A8" s="8">
        <f>CellCount_Viability!A7</f>
        <v>46273</v>
      </c>
      <c r="B8">
        <f t="shared" si="0"/>
        <v>120</v>
      </c>
      <c r="C8" s="9">
        <f t="shared" si="1"/>
        <v>5</v>
      </c>
      <c r="D8" s="58">
        <v>4.1845999999999997</v>
      </c>
      <c r="E8" s="59">
        <v>4.1845999999999997</v>
      </c>
    </row>
    <row r="9" spans="1:5" x14ac:dyDescent="0.25">
      <c r="A9" s="8">
        <f>CellCount_Viability!A8</f>
        <v>46274</v>
      </c>
      <c r="B9">
        <f t="shared" ref="B9:B22" si="2">C9*24</f>
        <v>144</v>
      </c>
      <c r="C9" s="9">
        <f t="shared" si="1"/>
        <v>6</v>
      </c>
      <c r="D9" s="58">
        <v>4.3452000000000002</v>
      </c>
      <c r="E9" s="59">
        <v>4.0469999999999997</v>
      </c>
    </row>
    <row r="10" spans="1:5" x14ac:dyDescent="0.25">
      <c r="A10" s="8">
        <f>CellCount_Viability!A9</f>
        <v>46275</v>
      </c>
      <c r="B10">
        <f t="shared" si="2"/>
        <v>168</v>
      </c>
      <c r="C10" s="9">
        <f t="shared" si="1"/>
        <v>7</v>
      </c>
      <c r="D10" s="58">
        <v>4.4824000000000002</v>
      </c>
      <c r="E10" s="59">
        <v>4.6870000000000003</v>
      </c>
    </row>
    <row r="11" spans="1:5" x14ac:dyDescent="0.25">
      <c r="A11" s="8">
        <f>CellCount_Viability!A10</f>
        <v>46276</v>
      </c>
      <c r="B11">
        <f t="shared" si="2"/>
        <v>192</v>
      </c>
      <c r="C11" s="9">
        <f t="shared" si="1"/>
        <v>8</v>
      </c>
      <c r="D11" s="58">
        <v>4.2668999999999997</v>
      </c>
      <c r="E11" s="59">
        <v>4.4268000000000001</v>
      </c>
    </row>
    <row r="12" spans="1:5" x14ac:dyDescent="0.25">
      <c r="A12" s="8">
        <f>CellCount_Viability!A11</f>
        <v>46277</v>
      </c>
      <c r="B12">
        <f t="shared" si="2"/>
        <v>216</v>
      </c>
      <c r="C12" s="9">
        <f t="shared" si="1"/>
        <v>9</v>
      </c>
      <c r="D12" s="58">
        <v>4.7305999999999999</v>
      </c>
      <c r="E12" s="59">
        <v>4.5570000000000004</v>
      </c>
    </row>
    <row r="13" spans="1:5" x14ac:dyDescent="0.25">
      <c r="A13" s="8">
        <f>CellCount_Viability!A12</f>
        <v>46278</v>
      </c>
      <c r="B13">
        <f t="shared" si="2"/>
        <v>240</v>
      </c>
      <c r="C13" s="9">
        <f t="shared" si="1"/>
        <v>10</v>
      </c>
      <c r="D13" s="58">
        <v>4.1420000000000003</v>
      </c>
      <c r="E13" s="59">
        <v>4.1324999999999994</v>
      </c>
    </row>
    <row r="14" spans="1:5" x14ac:dyDescent="0.25">
      <c r="A14" s="8">
        <f>CellCount_Viability!A13</f>
        <v>0</v>
      </c>
      <c r="B14" t="e">
        <f t="shared" si="2"/>
        <v>#VALUE!</v>
      </c>
      <c r="C14" s="9" t="str">
        <f t="shared" si="1"/>
        <v/>
      </c>
      <c r="D14" s="58" t="e">
        <v>#N/A</v>
      </c>
      <c r="E14" s="59" t="e">
        <v>#N/A</v>
      </c>
    </row>
    <row r="15" spans="1:5" x14ac:dyDescent="0.25">
      <c r="A15" s="8">
        <f>CellCount_Viability!A14</f>
        <v>0</v>
      </c>
      <c r="B15" t="e">
        <f t="shared" si="2"/>
        <v>#VALUE!</v>
      </c>
      <c r="C15" s="9" t="str">
        <f t="shared" si="1"/>
        <v/>
      </c>
      <c r="D15" s="58" t="e">
        <v>#N/A</v>
      </c>
      <c r="E15" s="59" t="e">
        <v>#N/A</v>
      </c>
    </row>
    <row r="16" spans="1:5" x14ac:dyDescent="0.25">
      <c r="A16" s="8">
        <f>CellCount_Viability!A15</f>
        <v>0</v>
      </c>
      <c r="B16" t="e">
        <f t="shared" si="2"/>
        <v>#VALUE!</v>
      </c>
      <c r="C16" s="9" t="str">
        <f t="shared" si="1"/>
        <v/>
      </c>
      <c r="D16" s="58" t="e">
        <v>#N/A</v>
      </c>
      <c r="E16" s="59" t="e">
        <v>#N/A</v>
      </c>
    </row>
    <row r="17" spans="1:5" x14ac:dyDescent="0.25">
      <c r="A17" s="8">
        <f>CellCount_Viability!A16</f>
        <v>0</v>
      </c>
      <c r="B17" t="e">
        <f t="shared" si="2"/>
        <v>#VALUE!</v>
      </c>
      <c r="C17" s="9" t="str">
        <f t="shared" si="1"/>
        <v/>
      </c>
      <c r="D17" s="58" t="e">
        <v>#N/A</v>
      </c>
      <c r="E17" s="59" t="e">
        <v>#N/A</v>
      </c>
    </row>
    <row r="18" spans="1:5" x14ac:dyDescent="0.25">
      <c r="A18" s="8">
        <f>CellCount_Viability!A17</f>
        <v>0</v>
      </c>
      <c r="B18" t="e">
        <f t="shared" si="2"/>
        <v>#VALUE!</v>
      </c>
      <c r="C18" s="9" t="str">
        <f t="shared" si="1"/>
        <v/>
      </c>
      <c r="D18" s="58" t="e">
        <v>#N/A</v>
      </c>
      <c r="E18" s="59" t="e">
        <v>#N/A</v>
      </c>
    </row>
    <row r="19" spans="1:5" x14ac:dyDescent="0.25">
      <c r="A19" s="8">
        <f>CellCount_Viability!A18</f>
        <v>0</v>
      </c>
      <c r="B19" t="e">
        <f t="shared" si="2"/>
        <v>#VALUE!</v>
      </c>
      <c r="C19" s="9" t="str">
        <f t="shared" si="1"/>
        <v/>
      </c>
      <c r="D19" s="58" t="e">
        <v>#N/A</v>
      </c>
      <c r="E19" s="59" t="e">
        <v>#N/A</v>
      </c>
    </row>
    <row r="20" spans="1:5" x14ac:dyDescent="0.25">
      <c r="A20" s="8">
        <f>CellCount_Viability!A19</f>
        <v>0</v>
      </c>
      <c r="B20" t="e">
        <f t="shared" si="2"/>
        <v>#VALUE!</v>
      </c>
      <c r="C20" s="9" t="str">
        <f t="shared" si="1"/>
        <v/>
      </c>
      <c r="D20" s="58" t="e">
        <v>#N/A</v>
      </c>
      <c r="E20" s="59" t="e">
        <v>#N/A</v>
      </c>
    </row>
    <row r="21" spans="1:5" x14ac:dyDescent="0.25">
      <c r="A21" s="8">
        <f>CellCount_Viability!A20</f>
        <v>0</v>
      </c>
      <c r="B21" t="e">
        <f t="shared" si="2"/>
        <v>#VALUE!</v>
      </c>
      <c r="C21" s="9" t="str">
        <f t="shared" si="1"/>
        <v/>
      </c>
      <c r="D21" s="58" t="e">
        <v>#N/A</v>
      </c>
      <c r="E21" s="59" t="e">
        <v>#N/A</v>
      </c>
    </row>
    <row r="22" spans="1:5" ht="15.75" thickBot="1" x14ac:dyDescent="0.3">
      <c r="A22" s="8">
        <f>CellCount_Viability!A21</f>
        <v>0</v>
      </c>
      <c r="B22" t="e">
        <f t="shared" si="2"/>
        <v>#VALUE!</v>
      </c>
      <c r="C22" s="9" t="str">
        <f t="shared" si="1"/>
        <v/>
      </c>
      <c r="D22" s="60" t="e">
        <v>#N/A</v>
      </c>
      <c r="E22" s="61" t="e">
        <v>#N/A</v>
      </c>
    </row>
    <row r="27" spans="1:5" x14ac:dyDescent="0.25">
      <c r="D27">
        <v>1.1000000000000001</v>
      </c>
      <c r="E27">
        <v>0.99</v>
      </c>
    </row>
    <row r="28" spans="1:5" x14ac:dyDescent="0.25">
      <c r="D28">
        <v>1</v>
      </c>
      <c r="E28">
        <v>1.02</v>
      </c>
    </row>
    <row r="29" spans="1:5" x14ac:dyDescent="0.25">
      <c r="D29">
        <v>0.99</v>
      </c>
      <c r="E29">
        <v>1.1000000000000001</v>
      </c>
    </row>
    <row r="30" spans="1:5" x14ac:dyDescent="0.25">
      <c r="D30">
        <v>1.02</v>
      </c>
      <c r="E30">
        <v>1.04</v>
      </c>
    </row>
    <row r="31" spans="1:5" x14ac:dyDescent="0.25">
      <c r="D31">
        <v>0.95</v>
      </c>
      <c r="E31">
        <v>0.99</v>
      </c>
    </row>
    <row r="32" spans="1:5" x14ac:dyDescent="0.25">
      <c r="D32">
        <v>0.98</v>
      </c>
      <c r="E32">
        <v>0.98</v>
      </c>
    </row>
    <row r="33" spans="4:5" x14ac:dyDescent="0.25">
      <c r="D33">
        <v>1.02</v>
      </c>
      <c r="E33">
        <v>0.95</v>
      </c>
    </row>
    <row r="34" spans="4:5" x14ac:dyDescent="0.25">
      <c r="D34">
        <v>1.04</v>
      </c>
      <c r="E34">
        <v>1.0900000000000001</v>
      </c>
    </row>
    <row r="35" spans="4:5" x14ac:dyDescent="0.25">
      <c r="D35">
        <v>0.99</v>
      </c>
      <c r="E35">
        <v>1.02</v>
      </c>
    </row>
    <row r="36" spans="4:5" x14ac:dyDescent="0.25">
      <c r="D36">
        <v>1.0900000000000001</v>
      </c>
      <c r="E36">
        <v>1.05</v>
      </c>
    </row>
    <row r="37" spans="4:5" x14ac:dyDescent="0.25">
      <c r="D37">
        <v>0.95</v>
      </c>
      <c r="E37">
        <v>0.95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A8536-89AB-4B72-A436-92AA85BCA742}">
  <sheetPr codeName="Sheet7"/>
  <dimension ref="A1:K4"/>
  <sheetViews>
    <sheetView zoomScale="115" zoomScaleNormal="115" workbookViewId="0">
      <selection activeCell="G32" sqref="G32"/>
    </sheetView>
  </sheetViews>
  <sheetFormatPr defaultRowHeight="15" x14ac:dyDescent="0.25"/>
  <cols>
    <col min="1" max="1" width="12.7109375" bestFit="1" customWidth="1"/>
    <col min="2" max="2" width="11.5703125" bestFit="1" customWidth="1"/>
    <col min="3" max="3" width="11.42578125" bestFit="1" customWidth="1"/>
    <col min="4" max="4" width="13.140625" bestFit="1" customWidth="1"/>
    <col min="5" max="5" width="11.5703125" bestFit="1" customWidth="1"/>
    <col min="6" max="6" width="11.42578125" bestFit="1" customWidth="1"/>
    <col min="7" max="7" width="13.140625" bestFit="1" customWidth="1"/>
    <col min="9" max="9" width="8.85546875" bestFit="1" customWidth="1"/>
    <col min="10" max="10" width="8.140625" customWidth="1"/>
  </cols>
  <sheetData>
    <row r="1" spans="1:11" x14ac:dyDescent="0.25">
      <c r="A1" t="s">
        <v>51</v>
      </c>
      <c r="B1" s="4" t="s">
        <v>45</v>
      </c>
      <c r="C1" s="5" t="s">
        <v>46</v>
      </c>
      <c r="D1" s="6" t="s">
        <v>47</v>
      </c>
      <c r="E1" t="s">
        <v>285</v>
      </c>
      <c r="F1" t="s">
        <v>286</v>
      </c>
      <c r="G1" s="5" t="s">
        <v>48</v>
      </c>
      <c r="H1" s="5" t="s">
        <v>49</v>
      </c>
      <c r="I1" s="7" t="s">
        <v>50</v>
      </c>
      <c r="J1" t="s">
        <v>287</v>
      </c>
      <c r="K1" t="s">
        <v>288</v>
      </c>
    </row>
    <row r="2" spans="1:11" x14ac:dyDescent="0.25">
      <c r="A2">
        <v>1</v>
      </c>
      <c r="B2" s="10">
        <v>110000</v>
      </c>
      <c r="C2" s="11">
        <v>1710000</v>
      </c>
      <c r="D2" s="12">
        <f>(C2-B2)/C2</f>
        <v>0.93567251461988299</v>
      </c>
      <c r="E2" s="62">
        <f>_xlfn.AGGREGATE(1,6,D2:D6)</f>
        <v>0.91571373755569263</v>
      </c>
      <c r="F2" s="94">
        <f>_xlfn.AGGREGATE(7,6,D2:D6)</f>
        <v>1.8067555350234819E-2</v>
      </c>
      <c r="G2" s="14">
        <v>100000</v>
      </c>
      <c r="H2" s="11">
        <v>1800000</v>
      </c>
      <c r="I2" s="13">
        <f t="shared" ref="I2" si="0">(H2-G2)/H2</f>
        <v>0.94444444444444442</v>
      </c>
      <c r="J2" s="62">
        <f>_xlfn.AGGREGATE(1,6,I2:I6)</f>
        <v>0.92144058168598042</v>
      </c>
      <c r="K2" s="94">
        <f>_xlfn.AGGREGATE(7,6,I2:I6)</f>
        <v>3.5961174321029257E-2</v>
      </c>
    </row>
    <row r="3" spans="1:11" x14ac:dyDescent="0.25">
      <c r="A3">
        <v>2</v>
      </c>
      <c r="B3" s="10">
        <v>210000</v>
      </c>
      <c r="C3" s="11">
        <v>2110000</v>
      </c>
      <c r="D3" s="12">
        <f t="shared" ref="D3:D4" si="1">(C3-B3)/C3</f>
        <v>0.90047393364928907</v>
      </c>
      <c r="G3" s="14">
        <v>98000</v>
      </c>
      <c r="H3" s="11">
        <v>1630000</v>
      </c>
      <c r="I3" s="13">
        <f t="shared" ref="I3:I4" si="2">(H3-G3)/H3</f>
        <v>0.93987730061349695</v>
      </c>
      <c r="K3" s="62"/>
    </row>
    <row r="4" spans="1:11" x14ac:dyDescent="0.25">
      <c r="A4">
        <v>3</v>
      </c>
      <c r="B4" s="10">
        <v>170000</v>
      </c>
      <c r="C4" s="11">
        <v>1910000</v>
      </c>
      <c r="D4" s="12">
        <f t="shared" si="1"/>
        <v>0.91099476439790572</v>
      </c>
      <c r="G4" s="14">
        <v>180000</v>
      </c>
      <c r="H4" s="11">
        <v>1500000</v>
      </c>
      <c r="I4" s="13">
        <f t="shared" si="2"/>
        <v>0.88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76ACE-3904-4B43-8F04-B87D9A64C9EF}">
  <sheetPr codeName="Sheet8"/>
  <dimension ref="A1:AC119"/>
  <sheetViews>
    <sheetView tabSelected="1" topLeftCell="D1" zoomScale="85" zoomScaleNormal="85" workbookViewId="0">
      <selection activeCell="Q68" sqref="Q2:AC68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29" ht="33.75" customHeight="1" x14ac:dyDescent="0.25">
      <c r="A1" t="s">
        <v>54</v>
      </c>
      <c r="B1" s="8">
        <f>CellCount_Viability!A2</f>
        <v>46268</v>
      </c>
      <c r="F1" s="67" t="s">
        <v>73</v>
      </c>
      <c r="G1" s="67" t="s">
        <v>55</v>
      </c>
      <c r="H1" s="67" t="s">
        <v>56</v>
      </c>
      <c r="I1" s="67" t="s">
        <v>57</v>
      </c>
      <c r="J1" s="67" t="s">
        <v>58</v>
      </c>
      <c r="K1" s="67" t="s">
        <v>59</v>
      </c>
      <c r="L1" s="67" t="s">
        <v>60</v>
      </c>
      <c r="M1" s="67" t="s">
        <v>61</v>
      </c>
      <c r="N1" s="67" t="s">
        <v>62</v>
      </c>
      <c r="O1" s="67" t="s">
        <v>63</v>
      </c>
    </row>
    <row r="2" spans="1:29" x14ac:dyDescent="0.25">
      <c r="A2" s="104" t="s">
        <v>64</v>
      </c>
      <c r="B2" s="105"/>
      <c r="C2" s="104" t="s">
        <v>65</v>
      </c>
      <c r="D2" s="105"/>
      <c r="E2" s="67" t="s">
        <v>66</v>
      </c>
      <c r="F2" s="68">
        <v>1.39</v>
      </c>
      <c r="G2" s="68">
        <v>1.98</v>
      </c>
      <c r="H2" s="68">
        <v>2.2599999999999998</v>
      </c>
      <c r="I2" s="68">
        <v>5.28</v>
      </c>
      <c r="J2" s="94">
        <v>26.942384999999994</v>
      </c>
      <c r="K2" s="97">
        <v>86.334395000000001</v>
      </c>
      <c r="L2" s="97">
        <v>20.242259999999998</v>
      </c>
      <c r="M2" s="97">
        <v>7.8562249999999993</v>
      </c>
      <c r="N2" s="97">
        <v>0</v>
      </c>
      <c r="O2" s="97">
        <v>0.77248499999999998</v>
      </c>
    </row>
    <row r="3" spans="1:29" x14ac:dyDescent="0.25">
      <c r="A3" s="104" t="s">
        <v>67</v>
      </c>
      <c r="B3" s="105"/>
      <c r="C3" s="104" t="s">
        <v>68</v>
      </c>
      <c r="D3" s="105"/>
      <c r="E3" s="67" t="s">
        <v>66</v>
      </c>
      <c r="F3" s="68">
        <v>1.4735021541605773</v>
      </c>
      <c r="G3" s="68">
        <v>1.9843252387252583</v>
      </c>
      <c r="H3" s="68">
        <v>2.423106514431201</v>
      </c>
      <c r="I3" s="68">
        <v>5.6250642398221391</v>
      </c>
      <c r="J3" s="94">
        <v>29.392615470503017</v>
      </c>
      <c r="K3" s="97">
        <v>87.7094383584936</v>
      </c>
      <c r="L3" s="97">
        <v>20.828936301596958</v>
      </c>
      <c r="M3" s="97">
        <v>8.0467367689575031</v>
      </c>
      <c r="N3" s="97">
        <v>0</v>
      </c>
      <c r="O3" s="97">
        <v>0.82138259689570514</v>
      </c>
      <c r="Q3">
        <f ca="1">F2+RAND()*0.1*F$2*$AC3</f>
        <v>1.3858953921614159</v>
      </c>
      <c r="R3">
        <f t="shared" ref="R3:Y3" ca="1" si="0">G2+RAND()*0.1*G$2*$AC3</f>
        <v>1.9703372256237301</v>
      </c>
      <c r="S3">
        <f t="shared" ca="1" si="0"/>
        <v>2.1217538820442687</v>
      </c>
      <c r="T3">
        <f t="shared" ca="1" si="0"/>
        <v>5.0391490170914919</v>
      </c>
      <c r="U3">
        <f t="shared" ca="1" si="0"/>
        <v>26.129547293732742</v>
      </c>
      <c r="V3">
        <f t="shared" ca="1" si="0"/>
        <v>82.607923020175747</v>
      </c>
      <c r="W3">
        <f t="shared" ca="1" si="0"/>
        <v>18.87683193242956</v>
      </c>
      <c r="X3">
        <f ca="1">M2+RAND()*0.1*M$2*$AC3</f>
        <v>7.6875977582783337</v>
      </c>
      <c r="Y3">
        <f t="shared" ca="1" si="0"/>
        <v>0</v>
      </c>
      <c r="Z3">
        <f ca="1">O3+RAND()*0.1*O$2*$AC3</f>
        <v>0.77665153789884389</v>
      </c>
      <c r="AB3">
        <f ca="1">RAND()</f>
        <v>0.85319291601699465</v>
      </c>
      <c r="AC3">
        <f ca="1">IF(AB3&gt;0.5,-1,1)</f>
        <v>-1</v>
      </c>
    </row>
    <row r="4" spans="1:29" x14ac:dyDescent="0.25">
      <c r="A4" s="104" t="s">
        <v>69</v>
      </c>
      <c r="B4" s="105"/>
      <c r="C4" s="104" t="s">
        <v>70</v>
      </c>
      <c r="D4" s="105"/>
      <c r="E4" s="67" t="s">
        <v>66</v>
      </c>
      <c r="F4" s="68">
        <v>1.3751697263472329</v>
      </c>
      <c r="G4" s="68">
        <v>1.9079447259893438</v>
      </c>
      <c r="H4" s="68">
        <v>2.1430262974375403</v>
      </c>
      <c r="I4" s="68">
        <v>4.9558849986246711</v>
      </c>
      <c r="J4" s="94">
        <v>25.215700058764718</v>
      </c>
      <c r="K4" s="97">
        <v>86.086046209798653</v>
      </c>
      <c r="L4" s="97">
        <v>19.90902903100735</v>
      </c>
      <c r="M4" s="97">
        <v>7.5396479657176227</v>
      </c>
      <c r="N4" s="97">
        <v>0</v>
      </c>
      <c r="O4" s="97">
        <v>0.69851360806324925</v>
      </c>
      <c r="Q4">
        <f t="shared" ref="Q4:Q5" ca="1" si="1">F3+RAND()*0.1*F$2*$AC4</f>
        <v>1.4808597271787869</v>
      </c>
      <c r="R4">
        <f t="shared" ref="R4:R5" ca="1" si="2">G3+RAND()*0.1*G$2*$AC4</f>
        <v>2.0983488406676178</v>
      </c>
      <c r="S4">
        <f t="shared" ref="S4:S5" ca="1" si="3">H3+RAND()*0.1*H$2*$AC4</f>
        <v>2.4511903481453627</v>
      </c>
      <c r="T4">
        <f t="shared" ref="T4:T5" ca="1" si="4">I3+RAND()*0.1*I$2*$AC4</f>
        <v>5.9901754689776006</v>
      </c>
      <c r="U4">
        <f t="shared" ref="U4:U5" ca="1" si="5">J3+RAND()*0.1*J$2*$AC4</f>
        <v>30.224517024706493</v>
      </c>
      <c r="V4">
        <f t="shared" ref="V4:V5" ca="1" si="6">K3+RAND()*0.1*K$2*$AC4</f>
        <v>88.197674541093164</v>
      </c>
      <c r="W4">
        <f t="shared" ref="W4:W5" ca="1" si="7">L3+RAND()*0.1*L$2*$AC4</f>
        <v>21.276621416176216</v>
      </c>
      <c r="X4">
        <f t="shared" ref="X4:X5" ca="1" si="8">M3+RAND()*0.1*M$2*$AC4</f>
        <v>8.1073399478502548</v>
      </c>
      <c r="Y4">
        <f t="shared" ref="Y4:Y5" ca="1" si="9">N3+RAND()*0.1*N$2*$AC4</f>
        <v>0</v>
      </c>
      <c r="Z4">
        <f t="shared" ref="Z4:Z5" ca="1" si="10">O3+RAND()*0.1*O$2*$AC4</f>
        <v>0.89212896608285297</v>
      </c>
      <c r="AB4">
        <f t="shared" ref="AB4:AB5" ca="1" si="11">RAND()</f>
        <v>1.5452620272157214E-3</v>
      </c>
      <c r="AC4">
        <f ca="1">IF(AB4&gt;0.5,-1,1)</f>
        <v>1</v>
      </c>
    </row>
    <row r="5" spans="1:29" x14ac:dyDescent="0.25">
      <c r="A5" s="104" t="s">
        <v>71</v>
      </c>
      <c r="B5" s="105"/>
      <c r="C5" s="104" t="s">
        <v>72</v>
      </c>
      <c r="D5" s="105"/>
      <c r="E5" s="67" t="s">
        <v>66</v>
      </c>
      <c r="F5" s="68">
        <v>1.3061013535251424</v>
      </c>
      <c r="G5" s="68">
        <v>1.90433781233979</v>
      </c>
      <c r="H5" s="68">
        <v>2.0417964341323067</v>
      </c>
      <c r="I5" s="68">
        <v>4.8638422171534357</v>
      </c>
      <c r="J5" s="94">
        <v>25.271711778245685</v>
      </c>
      <c r="K5" s="97">
        <v>78.554664334748693</v>
      </c>
      <c r="L5" s="97">
        <v>18.269822439119519</v>
      </c>
      <c r="M5" s="97">
        <v>7.1126853955458742</v>
      </c>
      <c r="N5" s="97">
        <v>0</v>
      </c>
      <c r="O5" s="97">
        <v>0.71921288956232232</v>
      </c>
      <c r="Q5">
        <f t="shared" ca="1" si="1"/>
        <v>1.2897224810808898</v>
      </c>
      <c r="R5">
        <f t="shared" ca="1" si="2"/>
        <v>1.8272234941694736</v>
      </c>
      <c r="S5">
        <f t="shared" ca="1" si="3"/>
        <v>2.0539774037057192</v>
      </c>
      <c r="T5">
        <f t="shared" ca="1" si="4"/>
        <v>4.8928274088046306</v>
      </c>
      <c r="U5">
        <f t="shared" ca="1" si="5"/>
        <v>24.737968771975428</v>
      </c>
      <c r="V5">
        <f t="shared" ca="1" si="6"/>
        <v>82.736777950964054</v>
      </c>
      <c r="W5">
        <f t="shared" ca="1" si="7"/>
        <v>19.050496564499699</v>
      </c>
      <c r="X5">
        <f t="shared" ca="1" si="8"/>
        <v>7.4377110913678575</v>
      </c>
      <c r="Y5">
        <f t="shared" ca="1" si="9"/>
        <v>0</v>
      </c>
      <c r="Z5">
        <f t="shared" ca="1" si="10"/>
        <v>0.64805330445806486</v>
      </c>
      <c r="AB5">
        <f t="shared" ca="1" si="11"/>
        <v>0.63147169735405162</v>
      </c>
      <c r="AC5">
        <f ca="1">IF(AB5&gt;0.5,-1,1)</f>
        <v>-1</v>
      </c>
    </row>
    <row r="6" spans="1:29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29" ht="22.5" x14ac:dyDescent="0.25">
      <c r="A7" t="s">
        <v>74</v>
      </c>
      <c r="B7" s="8">
        <f>CellCount_Viability!A3</f>
        <v>46269</v>
      </c>
      <c r="F7" s="67" t="s">
        <v>73</v>
      </c>
      <c r="G7" s="67" t="s">
        <v>55</v>
      </c>
      <c r="H7" s="67" t="s">
        <v>56</v>
      </c>
      <c r="I7" s="67" t="s">
        <v>57</v>
      </c>
      <c r="J7" s="67" t="s">
        <v>58</v>
      </c>
      <c r="K7" s="67" t="s">
        <v>59</v>
      </c>
      <c r="L7" s="67" t="s">
        <v>60</v>
      </c>
      <c r="M7" s="67" t="s">
        <v>61</v>
      </c>
      <c r="N7" s="67" t="s">
        <v>62</v>
      </c>
      <c r="O7" s="67" t="s">
        <v>63</v>
      </c>
    </row>
    <row r="8" spans="1:29" ht="13.9" customHeight="1" x14ac:dyDescent="0.25">
      <c r="A8" s="104" t="s">
        <v>82</v>
      </c>
      <c r="B8" s="105"/>
      <c r="C8" s="104" t="s">
        <v>83</v>
      </c>
      <c r="D8" s="105"/>
      <c r="E8" s="67" t="s">
        <v>66</v>
      </c>
      <c r="F8" s="68">
        <v>1.39</v>
      </c>
      <c r="G8" s="68">
        <v>1.98</v>
      </c>
      <c r="H8" s="68">
        <v>2.2599999999999998</v>
      </c>
      <c r="I8" s="68">
        <v>5.28</v>
      </c>
      <c r="J8">
        <v>28.198499999999999</v>
      </c>
      <c r="K8">
        <v>79.487799999999993</v>
      </c>
      <c r="L8">
        <v>15.057</v>
      </c>
      <c r="M8">
        <v>6.3650000000000002</v>
      </c>
      <c r="N8">
        <v>0.44805</v>
      </c>
      <c r="O8">
        <v>3.9455999999999993</v>
      </c>
      <c r="R8" s="107"/>
      <c r="S8" s="107"/>
      <c r="T8" s="107"/>
      <c r="U8" s="107"/>
      <c r="V8" s="107"/>
      <c r="W8" s="107"/>
    </row>
    <row r="9" spans="1:29" ht="13.9" customHeight="1" x14ac:dyDescent="0.25">
      <c r="A9" s="104" t="s">
        <v>84</v>
      </c>
      <c r="B9" s="105"/>
      <c r="C9" s="104" t="s">
        <v>85</v>
      </c>
      <c r="D9" s="105"/>
      <c r="E9" s="67" t="s">
        <v>66</v>
      </c>
      <c r="F9" s="68">
        <v>1.4756450129444436</v>
      </c>
      <c r="G9" s="68">
        <v>2.1700287183738496</v>
      </c>
      <c r="H9" s="68">
        <v>2.4778039611356943</v>
      </c>
      <c r="I9" s="68">
        <v>5.6955847068470158</v>
      </c>
      <c r="J9">
        <v>30.107173916546646</v>
      </c>
      <c r="K9">
        <v>82.268747240430031</v>
      </c>
      <c r="L9">
        <v>15.115613292831789</v>
      </c>
      <c r="M9">
        <v>6.3816882028969033</v>
      </c>
      <c r="N9">
        <v>0.48309529684802827</v>
      </c>
      <c r="O9">
        <v>3.9754122098697509</v>
      </c>
      <c r="Q9">
        <f ca="1">F8+RAND()*0.1*F8*$AC9</f>
        <v>1.2688352448381699</v>
      </c>
      <c r="R9">
        <f t="shared" ref="R9:Z11" ca="1" si="12">G8+RAND()*0.1*G8*$AC9</f>
        <v>1.8914755813285788</v>
      </c>
      <c r="S9">
        <f t="shared" ca="1" si="12"/>
        <v>2.0809251441152838</v>
      </c>
      <c r="T9">
        <f t="shared" ca="1" si="12"/>
        <v>4.7850522187129556</v>
      </c>
      <c r="U9">
        <f t="shared" ca="1" si="12"/>
        <v>27.416020247865308</v>
      </c>
      <c r="V9">
        <f t="shared" ca="1" si="12"/>
        <v>75.183668963028751</v>
      </c>
      <c r="W9">
        <f t="shared" ca="1" si="12"/>
        <v>13.570895460025305</v>
      </c>
      <c r="X9">
        <f t="shared" ca="1" si="12"/>
        <v>5.8850877570136815</v>
      </c>
      <c r="Y9">
        <f t="shared" ca="1" si="12"/>
        <v>0.41159024925258897</v>
      </c>
      <c r="Z9">
        <f t="shared" ca="1" si="12"/>
        <v>3.6509685117452091</v>
      </c>
      <c r="AB9">
        <f ca="1">RAND()</f>
        <v>0.95333243776487464</v>
      </c>
      <c r="AC9">
        <f ca="1">IF(AB9&gt;0.5,-1,1)</f>
        <v>-1</v>
      </c>
    </row>
    <row r="10" spans="1:29" ht="13.9" customHeight="1" x14ac:dyDescent="0.25">
      <c r="A10" s="104" t="s">
        <v>86</v>
      </c>
      <c r="B10" s="105"/>
      <c r="C10" s="104" t="s">
        <v>87</v>
      </c>
      <c r="D10" s="105"/>
      <c r="E10" s="67" t="s">
        <v>66</v>
      </c>
      <c r="F10" s="68">
        <v>1.4528711282935525</v>
      </c>
      <c r="G10" s="68">
        <v>2.1534706876038237</v>
      </c>
      <c r="H10" s="68">
        <v>2.2754431926467333</v>
      </c>
      <c r="I10" s="68">
        <v>5.5605270214046687</v>
      </c>
      <c r="J10">
        <v>29.412766135412753</v>
      </c>
      <c r="K10">
        <v>83.955020735171757</v>
      </c>
      <c r="L10">
        <v>16.434680396400982</v>
      </c>
      <c r="M10">
        <v>6.699274591158896</v>
      </c>
      <c r="N10">
        <v>0.48091671697142313</v>
      </c>
      <c r="O10">
        <v>4.3306834171091166</v>
      </c>
      <c r="Q10">
        <f t="shared" ref="Q10" ca="1" si="13">F9+RAND()*0.1*F9*$AC10</f>
        <v>1.4893336941632589</v>
      </c>
      <c r="R10">
        <f t="shared" ca="1" si="12"/>
        <v>2.1826435001173965</v>
      </c>
      <c r="S10">
        <f t="shared" ca="1" si="12"/>
        <v>2.6000873928144257</v>
      </c>
      <c r="T10">
        <f t="shared" ca="1" si="12"/>
        <v>6.1022944882573622</v>
      </c>
      <c r="U10">
        <f t="shared" ca="1" si="12"/>
        <v>32.675465420788271</v>
      </c>
      <c r="V10">
        <f t="shared" ca="1" si="12"/>
        <v>89.042829857372837</v>
      </c>
      <c r="W10">
        <f t="shared" ca="1" si="12"/>
        <v>16.283362273716044</v>
      </c>
      <c r="X10">
        <f t="shared" ca="1" si="12"/>
        <v>6.7380407373813656</v>
      </c>
      <c r="Y10">
        <f t="shared" ca="1" si="12"/>
        <v>0.52974804662396668</v>
      </c>
      <c r="Z10">
        <f t="shared" ca="1" si="12"/>
        <v>4.0642837493256936</v>
      </c>
      <c r="AB10">
        <f t="shared" ref="AB10:AB11" ca="1" si="14">RAND()</f>
        <v>0.11534867012654904</v>
      </c>
      <c r="AC10">
        <f ca="1">IF(AB10&gt;0.5,-1,1)</f>
        <v>1</v>
      </c>
    </row>
    <row r="11" spans="1:29" ht="13.9" customHeight="1" x14ac:dyDescent="0.25">
      <c r="A11" s="104" t="s">
        <v>88</v>
      </c>
      <c r="B11" s="105"/>
      <c r="C11" s="104" t="s">
        <v>89</v>
      </c>
      <c r="D11" s="105"/>
      <c r="E11" s="67" t="s">
        <v>66</v>
      </c>
      <c r="F11" s="68">
        <v>1.519171197223613</v>
      </c>
      <c r="G11" s="68">
        <v>2.1428144347869016</v>
      </c>
      <c r="H11" s="68">
        <v>2.4504354139227154</v>
      </c>
      <c r="I11" s="68">
        <v>5.5967404001413099</v>
      </c>
      <c r="J11">
        <v>29.464913672944835</v>
      </c>
      <c r="K11">
        <v>84.999986734780236</v>
      </c>
      <c r="L11">
        <v>16.38355672207884</v>
      </c>
      <c r="M11">
        <v>6.7229295218782594</v>
      </c>
      <c r="N11">
        <v>0.45465546810960178</v>
      </c>
      <c r="O11">
        <v>4.3048177253836988</v>
      </c>
      <c r="Q11">
        <f ca="1">F10+RAND()*0.1*F10*$AC11</f>
        <v>1.5286634477228593</v>
      </c>
      <c r="R11">
        <f t="shared" ca="1" si="12"/>
        <v>2.3075937126929622</v>
      </c>
      <c r="S11">
        <f t="shared" ca="1" si="12"/>
        <v>2.3425985376578757</v>
      </c>
      <c r="T11">
        <f t="shared" ca="1" si="12"/>
        <v>5.7981334467973262</v>
      </c>
      <c r="U11">
        <f t="shared" ca="1" si="12"/>
        <v>29.545004953910627</v>
      </c>
      <c r="V11">
        <f t="shared" ca="1" si="12"/>
        <v>85.224739901711146</v>
      </c>
      <c r="W11">
        <f t="shared" ca="1" si="12"/>
        <v>17.458923850925899</v>
      </c>
      <c r="X11">
        <f t="shared" ca="1" si="12"/>
        <v>7.1054772728965041</v>
      </c>
      <c r="Y11">
        <f t="shared" ca="1" si="12"/>
        <v>0.51206801230990817</v>
      </c>
      <c r="Z11">
        <f t="shared" ca="1" si="12"/>
        <v>4.7305443223505597</v>
      </c>
      <c r="AB11">
        <f t="shared" ca="1" si="14"/>
        <v>0.34706288351529335</v>
      </c>
      <c r="AC11">
        <f ca="1">IF(AB11&gt;0.5,-1,1)</f>
        <v>1</v>
      </c>
    </row>
    <row r="13" spans="1:29" ht="22.5" x14ac:dyDescent="0.25">
      <c r="A13" t="s">
        <v>75</v>
      </c>
      <c r="B13" s="8">
        <f>CellCount_Viability!A4</f>
        <v>46270</v>
      </c>
      <c r="F13" s="67" t="s">
        <v>73</v>
      </c>
      <c r="G13" s="67" t="s">
        <v>55</v>
      </c>
      <c r="H13" s="67" t="s">
        <v>56</v>
      </c>
      <c r="I13" s="67" t="s">
        <v>57</v>
      </c>
      <c r="J13" s="67" t="s">
        <v>58</v>
      </c>
      <c r="K13" s="67" t="s">
        <v>59</v>
      </c>
      <c r="L13" s="67" t="s">
        <v>60</v>
      </c>
      <c r="M13" s="67" t="s">
        <v>61</v>
      </c>
      <c r="N13" s="67" t="s">
        <v>62</v>
      </c>
      <c r="O13" s="67" t="s">
        <v>63</v>
      </c>
    </row>
    <row r="14" spans="1:29" ht="13.9" customHeight="1" x14ac:dyDescent="0.25">
      <c r="A14" s="104" t="s">
        <v>90</v>
      </c>
      <c r="B14" s="105"/>
      <c r="C14" s="104" t="s">
        <v>91</v>
      </c>
      <c r="D14" s="105"/>
      <c r="E14" s="67" t="s">
        <v>66</v>
      </c>
      <c r="F14" s="68">
        <v>1.39</v>
      </c>
      <c r="G14" s="68">
        <v>1.98</v>
      </c>
      <c r="H14" s="68">
        <v>2.2599999999999998</v>
      </c>
      <c r="I14" s="68">
        <v>5.28</v>
      </c>
      <c r="J14" s="68">
        <v>26.788574999999998</v>
      </c>
      <c r="K14" s="68">
        <v>75.513409999999993</v>
      </c>
      <c r="L14" s="68">
        <v>14.30415</v>
      </c>
      <c r="M14" s="68">
        <v>6.0467500000000003</v>
      </c>
      <c r="N14" s="68">
        <v>0.42564750000000001</v>
      </c>
      <c r="O14" s="68">
        <v>3.7483199999999992</v>
      </c>
    </row>
    <row r="15" spans="1:29" ht="13.9" customHeight="1" x14ac:dyDescent="0.25">
      <c r="A15" s="104" t="s">
        <v>92</v>
      </c>
      <c r="B15" s="105"/>
      <c r="C15" s="104" t="s">
        <v>93</v>
      </c>
      <c r="D15" s="105"/>
      <c r="E15" s="67" t="s">
        <v>66</v>
      </c>
      <c r="F15" s="68">
        <v>1.3407401280054423</v>
      </c>
      <c r="G15" s="68">
        <v>1.9695818740208504</v>
      </c>
      <c r="H15" s="68">
        <v>2.0984753453641094</v>
      </c>
      <c r="I15" s="68">
        <v>4.9610019248007813</v>
      </c>
      <c r="J15" s="68">
        <v>25.089905239452257</v>
      </c>
      <c r="K15" s="68">
        <v>69.592720882315433</v>
      </c>
      <c r="L15" s="68">
        <v>13.165488790949096</v>
      </c>
      <c r="M15" s="68">
        <v>6.0323936327868495</v>
      </c>
      <c r="N15" s="68">
        <v>0.41708444930474442</v>
      </c>
      <c r="O15" s="68">
        <v>3.5874725078848195</v>
      </c>
      <c r="Q15">
        <f ca="1">F14+RAND()*0.1*F14*$AC15</f>
        <v>1.4445143299877845</v>
      </c>
      <c r="R15">
        <f t="shared" ref="R15:R17" ca="1" si="15">G14+RAND()*0.1*G14*$AC15</f>
        <v>2.0632551303917213</v>
      </c>
      <c r="S15">
        <f t="shared" ref="S15:S17" ca="1" si="16">H14+RAND()*0.1*H14*$AC15</f>
        <v>2.2877739879255614</v>
      </c>
      <c r="T15">
        <f t="shared" ref="T15:T17" ca="1" si="17">I14+RAND()*0.1*I14*$AC15</f>
        <v>5.5908741647950713</v>
      </c>
      <c r="U15">
        <f t="shared" ref="U15:U17" ca="1" si="18">J14+RAND()*0.1*J14*$AC15</f>
        <v>27.92444004813488</v>
      </c>
      <c r="V15">
        <f t="shared" ref="V15:V17" ca="1" si="19">K14+RAND()*0.1*K14*$AC15</f>
        <v>75.972474928248104</v>
      </c>
      <c r="W15">
        <f t="shared" ref="W15:W17" ca="1" si="20">L14+RAND()*0.1*L14*$AC15</f>
        <v>14.693319820894891</v>
      </c>
      <c r="X15">
        <f t="shared" ref="X15:X17" ca="1" si="21">M14+RAND()*0.1*M14*$AC15</f>
        <v>6.6458349793703855</v>
      </c>
      <c r="Y15">
        <f t="shared" ref="Y15:Y17" ca="1" si="22">N14+RAND()*0.1*N14*$AC15</f>
        <v>0.43675337825981242</v>
      </c>
      <c r="Z15">
        <f t="shared" ref="Z15:Z17" ca="1" si="23">O14+RAND()*0.1*O14*$AC15</f>
        <v>4.0325749082638875</v>
      </c>
      <c r="AB15">
        <f ca="1">RAND()</f>
        <v>0.29768811962301167</v>
      </c>
      <c r="AC15">
        <f ca="1">IF(AB15&gt;0.5,-1,1)</f>
        <v>1</v>
      </c>
    </row>
    <row r="16" spans="1:29" ht="13.9" customHeight="1" x14ac:dyDescent="0.25">
      <c r="A16" s="104" t="s">
        <v>94</v>
      </c>
      <c r="B16" s="105"/>
      <c r="C16" s="104" t="s">
        <v>95</v>
      </c>
      <c r="D16" s="105"/>
      <c r="E16" s="67" t="s">
        <v>66</v>
      </c>
      <c r="F16" s="68">
        <v>1.3443000953842481</v>
      </c>
      <c r="G16" s="68">
        <v>1.8064107134244609</v>
      </c>
      <c r="H16" s="68">
        <v>2.2404704704963865</v>
      </c>
      <c r="I16" s="68">
        <v>5.1946226464971019</v>
      </c>
      <c r="J16" s="68">
        <v>24.906745027368629</v>
      </c>
      <c r="K16" s="68">
        <v>75.119817196402536</v>
      </c>
      <c r="L16" s="68">
        <v>14.203539241432624</v>
      </c>
      <c r="M16" s="68">
        <v>5.6624443992838858</v>
      </c>
      <c r="N16" s="68">
        <v>0.3922931170845057</v>
      </c>
      <c r="O16" s="68">
        <v>3.4238976223313555</v>
      </c>
      <c r="Q16">
        <f t="shared" ref="Q16" ca="1" si="24">F15+RAND()*0.1*F15*$AC16</f>
        <v>1.4001930181254874</v>
      </c>
      <c r="R16">
        <f t="shared" ca="1" si="15"/>
        <v>2.1616140140752913</v>
      </c>
      <c r="S16">
        <f t="shared" ca="1" si="16"/>
        <v>2.306943236292248</v>
      </c>
      <c r="T16">
        <f t="shared" ca="1" si="17"/>
        <v>5.3474267812312082</v>
      </c>
      <c r="U16">
        <f t="shared" ca="1" si="18"/>
        <v>26.870342521375843</v>
      </c>
      <c r="V16">
        <f t="shared" ca="1" si="19"/>
        <v>71.223875306952237</v>
      </c>
      <c r="W16">
        <f t="shared" ca="1" si="20"/>
        <v>13.747675000517368</v>
      </c>
      <c r="X16">
        <f t="shared" ca="1" si="21"/>
        <v>6.5632045108210963</v>
      </c>
      <c r="Y16">
        <f t="shared" ca="1" si="22"/>
        <v>0.45313804598901536</v>
      </c>
      <c r="Z16">
        <f t="shared" ca="1" si="23"/>
        <v>3.8470981873214014</v>
      </c>
      <c r="AB16">
        <f t="shared" ref="AB16:AB17" ca="1" si="25">RAND()</f>
        <v>7.6448281312604505E-2</v>
      </c>
      <c r="AC16">
        <f ca="1">IF(AB16&gt;0.5,-1,1)</f>
        <v>1</v>
      </c>
    </row>
    <row r="17" spans="1:29" ht="13.9" customHeight="1" x14ac:dyDescent="0.25">
      <c r="A17" s="104" t="s">
        <v>96</v>
      </c>
      <c r="B17" s="105"/>
      <c r="C17" s="104" t="s">
        <v>97</v>
      </c>
      <c r="D17" s="105"/>
      <c r="E17" s="67" t="s">
        <v>66</v>
      </c>
      <c r="F17" s="68">
        <v>1.384777461693151</v>
      </c>
      <c r="G17" s="68">
        <v>1.8690811856507861</v>
      </c>
      <c r="H17" s="68">
        <v>2.1160039700843418</v>
      </c>
      <c r="I17" s="68">
        <v>5.0399626612410886</v>
      </c>
      <c r="J17" s="68">
        <v>25.169151546672019</v>
      </c>
      <c r="K17" s="68">
        <v>69.401115222539971</v>
      </c>
      <c r="L17" s="68">
        <v>13.090769892755331</v>
      </c>
      <c r="M17" s="68">
        <v>5.815434388472676</v>
      </c>
      <c r="N17" s="68">
        <v>0.38544163687067062</v>
      </c>
      <c r="O17" s="68">
        <v>3.4893134176327365</v>
      </c>
      <c r="Q17">
        <f ca="1">F16+RAND()*0.1*F16*$AC17</f>
        <v>1.368418690347518</v>
      </c>
      <c r="R17">
        <f t="shared" ca="1" si="15"/>
        <v>1.9078985776167336</v>
      </c>
      <c r="S17">
        <f t="shared" ca="1" si="16"/>
        <v>2.3445990692640892</v>
      </c>
      <c r="T17">
        <f t="shared" ca="1" si="17"/>
        <v>5.3928244557244307</v>
      </c>
      <c r="U17">
        <f t="shared" ca="1" si="18"/>
        <v>27.006479891657587</v>
      </c>
      <c r="V17">
        <f t="shared" ca="1" si="19"/>
        <v>79.383811312994624</v>
      </c>
      <c r="W17">
        <f t="shared" ca="1" si="20"/>
        <v>15.470596521989641</v>
      </c>
      <c r="X17">
        <f t="shared" ca="1" si="21"/>
        <v>5.7550102030288919</v>
      </c>
      <c r="Y17">
        <f t="shared" ca="1" si="22"/>
        <v>0.39411944778292701</v>
      </c>
      <c r="Z17">
        <f t="shared" ca="1" si="23"/>
        <v>3.7538512694005663</v>
      </c>
      <c r="AB17">
        <f t="shared" ca="1" si="25"/>
        <v>0.33530240941555922</v>
      </c>
      <c r="AC17">
        <f ca="1">IF(AB17&gt;0.5,-1,1)</f>
        <v>1</v>
      </c>
    </row>
    <row r="19" spans="1:29" ht="22.5" x14ac:dyDescent="0.25">
      <c r="A19" t="s">
        <v>76</v>
      </c>
      <c r="B19" s="8">
        <f>CellCount_Viability!A5</f>
        <v>46271</v>
      </c>
      <c r="F19" s="67" t="s">
        <v>73</v>
      </c>
      <c r="G19" s="67" t="s">
        <v>55</v>
      </c>
      <c r="H19" s="67" t="s">
        <v>56</v>
      </c>
      <c r="I19" s="67" t="s">
        <v>57</v>
      </c>
      <c r="J19" s="67" t="s">
        <v>58</v>
      </c>
      <c r="K19" s="67" t="s">
        <v>59</v>
      </c>
      <c r="L19" s="67" t="s">
        <v>60</v>
      </c>
      <c r="M19" s="67" t="s">
        <v>61</v>
      </c>
      <c r="N19" s="67" t="s">
        <v>62</v>
      </c>
      <c r="O19" s="67" t="s">
        <v>63</v>
      </c>
    </row>
    <row r="20" spans="1:29" ht="13.9" customHeight="1" x14ac:dyDescent="0.25">
      <c r="A20" s="104" t="s">
        <v>98</v>
      </c>
      <c r="B20" s="105"/>
      <c r="C20" s="104" t="s">
        <v>99</v>
      </c>
      <c r="D20" s="105"/>
      <c r="E20" s="67" t="s">
        <v>66</v>
      </c>
      <c r="F20" s="68">
        <v>1.39</v>
      </c>
      <c r="G20" s="68">
        <v>1.98</v>
      </c>
      <c r="H20" s="68">
        <v>2.2599999999999998</v>
      </c>
      <c r="I20" s="68">
        <v>5.28</v>
      </c>
      <c r="J20" s="68">
        <v>26.372500000000002</v>
      </c>
      <c r="K20" s="68">
        <v>55.183799999999998</v>
      </c>
      <c r="L20" s="68">
        <v>3.2287500000000002</v>
      </c>
      <c r="M20" s="68">
        <v>3.6717499999999998</v>
      </c>
      <c r="N20" s="68">
        <v>1.5141</v>
      </c>
      <c r="O20" s="68">
        <v>26.409599999999998</v>
      </c>
    </row>
    <row r="21" spans="1:29" ht="13.9" customHeight="1" x14ac:dyDescent="0.25">
      <c r="A21" s="104" t="s">
        <v>100</v>
      </c>
      <c r="B21" s="105"/>
      <c r="C21" s="104" t="s">
        <v>101</v>
      </c>
      <c r="D21" s="105"/>
      <c r="E21" s="67" t="s">
        <v>66</v>
      </c>
      <c r="F21" s="68">
        <v>1.3035427426042245</v>
      </c>
      <c r="G21" s="68">
        <v>1.8138698146703054</v>
      </c>
      <c r="H21" s="68">
        <v>2.0380927058027147</v>
      </c>
      <c r="I21" s="68">
        <v>5.2048815433562927</v>
      </c>
      <c r="J21" s="68">
        <v>26.025311377359262</v>
      </c>
      <c r="K21" s="68">
        <v>52.85821196189162</v>
      </c>
      <c r="L21" s="68">
        <v>3.2094501182389279</v>
      </c>
      <c r="M21" s="68">
        <v>3.5426309075517275</v>
      </c>
      <c r="N21" s="68">
        <v>1.4825672231450233</v>
      </c>
      <c r="O21" s="68">
        <v>24.328810744538352</v>
      </c>
      <c r="Q21">
        <f ca="1">F20+RAND()*0.1*F20*$AC21</f>
        <v>1.5158663804183454</v>
      </c>
      <c r="R21">
        <f t="shared" ref="R21:R23" ca="1" si="26">G20+RAND()*0.1*G20*$AC21</f>
        <v>2.0576601616319392</v>
      </c>
      <c r="S21">
        <f t="shared" ref="S21:S23" ca="1" si="27">H20+RAND()*0.1*H20*$AC21</f>
        <v>2.4801944950955992</v>
      </c>
      <c r="T21">
        <f t="shared" ref="T21:T23" ca="1" si="28">I20+RAND()*0.1*I20*$AC21</f>
        <v>5.6792175661304167</v>
      </c>
      <c r="U21">
        <f t="shared" ref="U21:U23" ca="1" si="29">J20+RAND()*0.1*J20*$AC21</f>
        <v>28.469652301857806</v>
      </c>
      <c r="V21">
        <f t="shared" ref="V21:V23" ca="1" si="30">K20+RAND()*0.1*K20*$AC21</f>
        <v>60.484831988469899</v>
      </c>
      <c r="W21">
        <f t="shared" ref="W21:W23" ca="1" si="31">L20+RAND()*0.1*L20*$AC21</f>
        <v>3.4573642750098843</v>
      </c>
      <c r="X21">
        <f t="shared" ref="X21:X23" ca="1" si="32">M20+RAND()*0.1*M20*$AC21</f>
        <v>3.7258327447199378</v>
      </c>
      <c r="Y21">
        <f t="shared" ref="Y21:Y23" ca="1" si="33">N20+RAND()*0.1*N20*$AC21</f>
        <v>1.5288766617613496</v>
      </c>
      <c r="Z21">
        <f t="shared" ref="Z21:Z23" ca="1" si="34">O20+RAND()*0.1*O20*$AC21</f>
        <v>27.856141677360775</v>
      </c>
      <c r="AB21">
        <f ca="1">RAND()</f>
        <v>0.41382755971719154</v>
      </c>
      <c r="AC21">
        <f ca="1">IF(AB21&gt;0.5,-1,1)</f>
        <v>1</v>
      </c>
    </row>
    <row r="22" spans="1:29" ht="13.9" customHeight="1" x14ac:dyDescent="0.25">
      <c r="A22" s="104" t="s">
        <v>102</v>
      </c>
      <c r="B22" s="105"/>
      <c r="C22" s="104" t="s">
        <v>103</v>
      </c>
      <c r="D22" s="105"/>
      <c r="E22" s="67" t="s">
        <v>66</v>
      </c>
      <c r="F22" s="68">
        <v>1.2903474756066338</v>
      </c>
      <c r="G22" s="68">
        <v>1.9573992472095398</v>
      </c>
      <c r="H22" s="68">
        <v>2.1243747096117143</v>
      </c>
      <c r="I22" s="68">
        <v>4.9880837224626449</v>
      </c>
      <c r="J22" s="68">
        <v>24.100979207154651</v>
      </c>
      <c r="K22" s="68">
        <v>54.602924943941233</v>
      </c>
      <c r="L22" s="68">
        <v>3.1052025990939391</v>
      </c>
      <c r="M22" s="68">
        <v>3.5368488363399644</v>
      </c>
      <c r="N22" s="68">
        <v>1.4724185203654792</v>
      </c>
      <c r="O22" s="68">
        <v>24.684250734234809</v>
      </c>
      <c r="Q22">
        <f t="shared" ref="Q22" ca="1" si="35">F21+RAND()*0.1*F21*$AC22</f>
        <v>1.3987153510960668</v>
      </c>
      <c r="R22">
        <f t="shared" ca="1" si="26"/>
        <v>1.8593143380199422</v>
      </c>
      <c r="S22">
        <f t="shared" ca="1" si="27"/>
        <v>2.1061572940414539</v>
      </c>
      <c r="T22">
        <f t="shared" ca="1" si="28"/>
        <v>5.5719959654349784</v>
      </c>
      <c r="U22">
        <f t="shared" ca="1" si="29"/>
        <v>26.872021288785962</v>
      </c>
      <c r="V22">
        <f t="shared" ca="1" si="30"/>
        <v>55.781671541484769</v>
      </c>
      <c r="W22">
        <f t="shared" ca="1" si="31"/>
        <v>3.2663871565853602</v>
      </c>
      <c r="X22">
        <f t="shared" ca="1" si="32"/>
        <v>3.5687590667637648</v>
      </c>
      <c r="Y22">
        <f t="shared" ca="1" si="33"/>
        <v>1.5533979842251113</v>
      </c>
      <c r="Z22">
        <f t="shared" ca="1" si="34"/>
        <v>24.427254698563623</v>
      </c>
      <c r="AB22">
        <f t="shared" ref="AB22:AB23" ca="1" si="36">RAND()</f>
        <v>0.45018994031157855</v>
      </c>
      <c r="AC22">
        <f ca="1">IF(AB22&gt;0.5,-1,1)</f>
        <v>1</v>
      </c>
    </row>
    <row r="23" spans="1:29" ht="13.9" customHeight="1" x14ac:dyDescent="0.25">
      <c r="A23" s="104" t="s">
        <v>104</v>
      </c>
      <c r="B23" s="105"/>
      <c r="C23" s="104" t="s">
        <v>105</v>
      </c>
      <c r="D23" s="105"/>
      <c r="E23" s="67" t="s">
        <v>66</v>
      </c>
      <c r="F23" s="68">
        <v>1.4473291263253425</v>
      </c>
      <c r="G23" s="68">
        <v>2.0539860098521197</v>
      </c>
      <c r="H23" s="68">
        <v>2.4078975710636712</v>
      </c>
      <c r="I23" s="68">
        <v>5.2809783113113333</v>
      </c>
      <c r="J23" s="68">
        <v>27.440364706750767</v>
      </c>
      <c r="K23" s="68">
        <v>59.194062393140896</v>
      </c>
      <c r="L23" s="68">
        <v>3.5444025049821239</v>
      </c>
      <c r="M23" s="68">
        <v>3.91408543315799</v>
      </c>
      <c r="N23" s="68">
        <v>1.5558999005890568</v>
      </c>
      <c r="O23" s="68">
        <v>27.422575356275203</v>
      </c>
      <c r="Q23">
        <f ca="1">F22+RAND()*0.1*F22*$AC23</f>
        <v>1.173108987540471</v>
      </c>
      <c r="R23">
        <f t="shared" ca="1" si="26"/>
        <v>1.8498332143824996</v>
      </c>
      <c r="S23">
        <f t="shared" ca="1" si="27"/>
        <v>2.1012905264216206</v>
      </c>
      <c r="T23">
        <f t="shared" ca="1" si="28"/>
        <v>4.6935695679526264</v>
      </c>
      <c r="U23">
        <f t="shared" ca="1" si="29"/>
        <v>23.438746837703672</v>
      </c>
      <c r="V23">
        <f t="shared" ca="1" si="30"/>
        <v>50.751858923631303</v>
      </c>
      <c r="W23">
        <f t="shared" ca="1" si="31"/>
        <v>3.043917069648534</v>
      </c>
      <c r="X23">
        <f t="shared" ca="1" si="32"/>
        <v>3.4978383971207885</v>
      </c>
      <c r="Y23">
        <f t="shared" ca="1" si="33"/>
        <v>1.4242584514393053</v>
      </c>
      <c r="Z23">
        <f t="shared" ca="1" si="34"/>
        <v>23.792414245405496</v>
      </c>
      <c r="AB23">
        <f t="shared" ca="1" si="36"/>
        <v>0.76504734585092327</v>
      </c>
      <c r="AC23">
        <f ca="1">IF(AB23&gt;0.5,-1,1)</f>
        <v>-1</v>
      </c>
    </row>
    <row r="25" spans="1:29" ht="22.5" x14ac:dyDescent="0.25">
      <c r="A25" t="s">
        <v>77</v>
      </c>
      <c r="B25" s="8">
        <f>CellCount_Viability!A6</f>
        <v>46272</v>
      </c>
      <c r="F25" s="67" t="s">
        <v>73</v>
      </c>
      <c r="G25" s="67" t="s">
        <v>55</v>
      </c>
      <c r="H25" s="67" t="s">
        <v>56</v>
      </c>
      <c r="I25" s="67" t="s">
        <v>57</v>
      </c>
      <c r="J25" s="67" t="s">
        <v>58</v>
      </c>
      <c r="K25" s="67" t="s">
        <v>59</v>
      </c>
      <c r="L25" s="67" t="s">
        <v>60</v>
      </c>
      <c r="M25" s="67" t="s">
        <v>61</v>
      </c>
      <c r="N25" s="67" t="s">
        <v>62</v>
      </c>
      <c r="O25" s="67" t="s">
        <v>63</v>
      </c>
    </row>
    <row r="26" spans="1:29" ht="13.9" customHeight="1" x14ac:dyDescent="0.25">
      <c r="A26" s="104" t="s">
        <v>106</v>
      </c>
      <c r="B26" s="105"/>
      <c r="C26" s="104" t="s">
        <v>107</v>
      </c>
      <c r="D26" s="105"/>
      <c r="E26" s="67" t="s">
        <v>66</v>
      </c>
      <c r="F26" s="68">
        <v>1.39</v>
      </c>
      <c r="G26" s="68">
        <v>1.98</v>
      </c>
      <c r="H26" s="68">
        <v>2.2599999999999998</v>
      </c>
      <c r="I26" s="68">
        <v>5.28</v>
      </c>
      <c r="J26" s="68">
        <v>25.052500000000002</v>
      </c>
      <c r="K26" s="68">
        <v>36.411900000000003</v>
      </c>
      <c r="L26" s="68">
        <v>0</v>
      </c>
      <c r="M26" s="68">
        <v>1.7669999999999999</v>
      </c>
      <c r="N26" s="68">
        <v>1.9776</v>
      </c>
      <c r="O26" s="68">
        <v>33.998400000000004</v>
      </c>
    </row>
    <row r="27" spans="1:29" ht="13.9" customHeight="1" x14ac:dyDescent="0.25">
      <c r="A27" s="104" t="s">
        <v>108</v>
      </c>
      <c r="B27" s="105"/>
      <c r="C27" s="104" t="s">
        <v>109</v>
      </c>
      <c r="D27" s="105"/>
      <c r="E27" s="67" t="s">
        <v>66</v>
      </c>
      <c r="F27" s="68">
        <v>1.4690633993138178</v>
      </c>
      <c r="G27" s="68">
        <v>2.0377214800403389</v>
      </c>
      <c r="H27" s="68">
        <v>2.2635269742022524</v>
      </c>
      <c r="I27" s="68">
        <v>5.5776635041698794</v>
      </c>
      <c r="J27" s="68">
        <v>26.12097882151917</v>
      </c>
      <c r="K27" s="68">
        <v>38.253618989872635</v>
      </c>
      <c r="L27" s="68">
        <v>0</v>
      </c>
      <c r="M27" s="68">
        <v>1.8929599049913641</v>
      </c>
      <c r="N27" s="68">
        <v>2.1354300066442513</v>
      </c>
      <c r="O27" s="68">
        <v>35.951831616225462</v>
      </c>
      <c r="Q27">
        <f ca="1">F26+RAND()*0.1*F26*$AC27</f>
        <v>1.3067045403498148</v>
      </c>
      <c r="R27">
        <f t="shared" ref="R27:R29" ca="1" si="37">G26+RAND()*0.1*G26*$AC27</f>
        <v>1.8381292090880492</v>
      </c>
      <c r="S27">
        <f t="shared" ref="S27:S29" ca="1" si="38">H26+RAND()*0.1*H26*$AC27</f>
        <v>2.2200620414109147</v>
      </c>
      <c r="T27">
        <f t="shared" ref="T27:T29" ca="1" si="39">I26+RAND()*0.1*I26*$AC27</f>
        <v>4.7536439694519528</v>
      </c>
      <c r="U27">
        <f t="shared" ref="U27:U29" ca="1" si="40">J26+RAND()*0.1*J26*$AC27</f>
        <v>23.539253162263694</v>
      </c>
      <c r="V27">
        <f t="shared" ref="V27:V29" ca="1" si="41">K26+RAND()*0.1*K26*$AC27</f>
        <v>35.2525879716557</v>
      </c>
      <c r="W27">
        <f t="shared" ref="W27:W29" ca="1" si="42">L26+RAND()*0.1*L26*$AC27</f>
        <v>0</v>
      </c>
      <c r="X27">
        <f t="shared" ref="X27:X29" ca="1" si="43">M26+RAND()*0.1*M26*$AC27</f>
        <v>1.7566169210729692</v>
      </c>
      <c r="Y27">
        <f t="shared" ref="Y27:Y29" ca="1" si="44">N26+RAND()*0.1*N26*$AC27</f>
        <v>1.9556529632268957</v>
      </c>
      <c r="Z27">
        <f t="shared" ref="Z27:Z29" ca="1" si="45">O26+RAND()*0.1*O26*$AC27</f>
        <v>32.664286049508178</v>
      </c>
      <c r="AB27">
        <f ca="1">RAND()</f>
        <v>0.74025422492263737</v>
      </c>
      <c r="AC27">
        <f ca="1">IF(AB27&gt;0.5,-1,1)</f>
        <v>-1</v>
      </c>
    </row>
    <row r="28" spans="1:29" ht="13.9" customHeight="1" x14ac:dyDescent="0.25">
      <c r="A28" s="104" t="s">
        <v>110</v>
      </c>
      <c r="B28" s="105"/>
      <c r="C28" s="104" t="s">
        <v>111</v>
      </c>
      <c r="D28" s="105"/>
      <c r="E28" s="67" t="s">
        <v>66</v>
      </c>
      <c r="F28" s="68">
        <v>1.3610221703143026</v>
      </c>
      <c r="G28" s="68">
        <v>1.8069906560501547</v>
      </c>
      <c r="H28" s="68">
        <v>2.2117796978878048</v>
      </c>
      <c r="I28" s="68">
        <v>4.9850130413447378</v>
      </c>
      <c r="J28" s="68">
        <v>24.822959580047598</v>
      </c>
      <c r="K28" s="68">
        <v>34.296970846363763</v>
      </c>
      <c r="L28" s="68">
        <v>0</v>
      </c>
      <c r="M28" s="68">
        <v>1.7182177456733367</v>
      </c>
      <c r="N28" s="68">
        <v>1.7850010222707098</v>
      </c>
      <c r="O28" s="68">
        <v>30.80677533754211</v>
      </c>
      <c r="Q28">
        <f t="shared" ref="Q28" ca="1" si="46">F27+RAND()*0.1*F27*$AC28</f>
        <v>1.3660610044352488</v>
      </c>
      <c r="R28">
        <f t="shared" ca="1" si="37"/>
        <v>1.8449429670447339</v>
      </c>
      <c r="S28">
        <f t="shared" ca="1" si="38"/>
        <v>2.2492901643079213</v>
      </c>
      <c r="T28">
        <f t="shared" ca="1" si="39"/>
        <v>5.2336038190784562</v>
      </c>
      <c r="U28">
        <f t="shared" ca="1" si="40"/>
        <v>24.471247992707855</v>
      </c>
      <c r="V28">
        <f t="shared" ca="1" si="41"/>
        <v>35.249105506746119</v>
      </c>
      <c r="W28">
        <f t="shared" ca="1" si="42"/>
        <v>0</v>
      </c>
      <c r="X28">
        <f t="shared" ca="1" si="43"/>
        <v>1.883463161172682</v>
      </c>
      <c r="Y28">
        <f t="shared" ca="1" si="44"/>
        <v>1.9731736956533581</v>
      </c>
      <c r="Z28">
        <f t="shared" ca="1" si="45"/>
        <v>33.467921146802148</v>
      </c>
      <c r="AB28">
        <f t="shared" ref="AB28:AB29" ca="1" si="47">RAND()</f>
        <v>0.73877932572385596</v>
      </c>
      <c r="AC28">
        <f ca="1">IF(AB28&gt;0.5,-1,1)</f>
        <v>-1</v>
      </c>
    </row>
    <row r="29" spans="1:29" ht="13.9" customHeight="1" x14ac:dyDescent="0.25">
      <c r="A29" s="104" t="s">
        <v>112</v>
      </c>
      <c r="B29" s="105"/>
      <c r="C29" s="104" t="s">
        <v>113</v>
      </c>
      <c r="D29" s="105"/>
      <c r="E29" s="67" t="s">
        <v>66</v>
      </c>
      <c r="F29" s="68">
        <v>1.3814276557513341</v>
      </c>
      <c r="G29" s="68">
        <v>1.8243475483815681</v>
      </c>
      <c r="H29" s="68">
        <v>2.0743451234960246</v>
      </c>
      <c r="I29" s="68">
        <v>5.1991272282955725</v>
      </c>
      <c r="J29" s="68">
        <v>24.44829280357116</v>
      </c>
      <c r="K29" s="68">
        <v>32.8105493831223</v>
      </c>
      <c r="L29" s="68">
        <v>0</v>
      </c>
      <c r="M29" s="68">
        <v>1.6221765257832557</v>
      </c>
      <c r="N29" s="68">
        <v>1.8075027222885691</v>
      </c>
      <c r="O29" s="68">
        <v>33.876394059768934</v>
      </c>
      <c r="Q29">
        <f ca="1">F28+RAND()*0.1*F28*$AC29</f>
        <v>1.3210750982101758</v>
      </c>
      <c r="R29">
        <f t="shared" ca="1" si="37"/>
        <v>1.7992208319727885</v>
      </c>
      <c r="S29">
        <f t="shared" ca="1" si="38"/>
        <v>2.1888386174480572</v>
      </c>
      <c r="T29">
        <f t="shared" ca="1" si="39"/>
        <v>4.8221970943519432</v>
      </c>
      <c r="U29">
        <f t="shared" ca="1" si="40"/>
        <v>24.019646778953589</v>
      </c>
      <c r="V29">
        <f t="shared" ca="1" si="41"/>
        <v>34.124533209044593</v>
      </c>
      <c r="W29">
        <f t="shared" ca="1" si="42"/>
        <v>0</v>
      </c>
      <c r="X29">
        <f t="shared" ca="1" si="43"/>
        <v>1.6625229127944343</v>
      </c>
      <c r="Y29">
        <f t="shared" ca="1" si="44"/>
        <v>1.6607395002819176</v>
      </c>
      <c r="Z29">
        <f t="shared" ca="1" si="45"/>
        <v>27.877837091981775</v>
      </c>
      <c r="AB29">
        <f t="shared" ca="1" si="47"/>
        <v>0.59291595363134397</v>
      </c>
      <c r="AC29">
        <f ca="1">IF(AB29&gt;0.5,-1,1)</f>
        <v>-1</v>
      </c>
    </row>
    <row r="31" spans="1:29" ht="22.5" x14ac:dyDescent="0.25">
      <c r="A31" t="s">
        <v>78</v>
      </c>
      <c r="B31" s="8">
        <f>CellCount_Viability!A7</f>
        <v>46273</v>
      </c>
      <c r="F31" s="67" t="s">
        <v>73</v>
      </c>
      <c r="G31" s="67" t="s">
        <v>55</v>
      </c>
      <c r="H31" s="67" t="s">
        <v>56</v>
      </c>
      <c r="I31" s="67" t="s">
        <v>57</v>
      </c>
      <c r="J31" s="67" t="s">
        <v>58</v>
      </c>
      <c r="K31" s="67" t="s">
        <v>59</v>
      </c>
      <c r="L31" s="67" t="s">
        <v>60</v>
      </c>
      <c r="M31" s="67" t="s">
        <v>61</v>
      </c>
      <c r="N31" s="67" t="s">
        <v>62</v>
      </c>
      <c r="O31" s="67" t="s">
        <v>63</v>
      </c>
    </row>
    <row r="32" spans="1:29" ht="13.9" customHeight="1" x14ac:dyDescent="0.25">
      <c r="A32" s="104" t="s">
        <v>114</v>
      </c>
      <c r="B32" s="105"/>
      <c r="C32" s="104" t="s">
        <v>115</v>
      </c>
      <c r="D32" s="105"/>
      <c r="E32" s="67" t="s">
        <v>66</v>
      </c>
      <c r="F32" s="68">
        <v>1.39</v>
      </c>
      <c r="G32" s="68">
        <v>1.98</v>
      </c>
      <c r="H32" s="68">
        <v>2.2599999999999998</v>
      </c>
      <c r="I32" s="68">
        <v>5.28</v>
      </c>
      <c r="J32" s="68">
        <v>23.2485</v>
      </c>
      <c r="K32" s="68">
        <v>20.393800000000002</v>
      </c>
      <c r="L32" s="68">
        <v>0</v>
      </c>
      <c r="M32" s="68">
        <v>0</v>
      </c>
      <c r="N32" s="68">
        <v>2.2660000000000005</v>
      </c>
      <c r="O32" s="68">
        <v>46.435199999999995</v>
      </c>
    </row>
    <row r="33" spans="1:29" ht="13.9" customHeight="1" x14ac:dyDescent="0.25">
      <c r="A33" s="104" t="s">
        <v>116</v>
      </c>
      <c r="B33" s="105"/>
      <c r="C33" s="104" t="s">
        <v>117</v>
      </c>
      <c r="D33" s="105"/>
      <c r="E33" s="67" t="s">
        <v>66</v>
      </c>
      <c r="F33" s="68">
        <v>1.341551386907456</v>
      </c>
      <c r="G33" s="68">
        <v>1.7902536632961832</v>
      </c>
      <c r="H33" s="68">
        <v>2.0544875693437796</v>
      </c>
      <c r="I33" s="68">
        <v>4.8921039441886967</v>
      </c>
      <c r="J33" s="68">
        <v>23.048329861712691</v>
      </c>
      <c r="K33" s="68">
        <v>18.514023790092171</v>
      </c>
      <c r="L33" s="68">
        <v>0</v>
      </c>
      <c r="M33" s="68">
        <v>0</v>
      </c>
      <c r="N33" s="68">
        <v>2.2077236854826099</v>
      </c>
      <c r="O33" s="68">
        <v>45.162738997192776</v>
      </c>
      <c r="Q33">
        <f ca="1">F32+RAND()*0.1*F32*$AC33</f>
        <v>1.4752272969168589</v>
      </c>
      <c r="R33">
        <f t="shared" ref="R33:R35" ca="1" si="48">G32+RAND()*0.1*G32*$AC33</f>
        <v>2.0714504605389226</v>
      </c>
      <c r="S33">
        <f t="shared" ref="S33:S35" ca="1" si="49">H32+RAND()*0.1*H32*$AC33</f>
        <v>2.4536447741370262</v>
      </c>
      <c r="T33">
        <f t="shared" ref="T33:T35" ca="1" si="50">I32+RAND()*0.1*I32*$AC33</f>
        <v>5.5796119508527866</v>
      </c>
      <c r="U33">
        <f t="shared" ref="U33:U35" ca="1" si="51">J32+RAND()*0.1*J32*$AC33</f>
        <v>25.099983654536686</v>
      </c>
      <c r="V33">
        <f t="shared" ref="V33:V35" ca="1" si="52">K32+RAND()*0.1*K32*$AC33</f>
        <v>21.523232649393165</v>
      </c>
      <c r="W33">
        <f t="shared" ref="W33:W35" ca="1" si="53">L32+RAND()*0.1*L32*$AC33</f>
        <v>0</v>
      </c>
      <c r="X33">
        <f t="shared" ref="X33:X35" ca="1" si="54">M32+RAND()*0.1*M32*$AC33</f>
        <v>0</v>
      </c>
      <c r="Y33">
        <f t="shared" ref="Y33:Y35" ca="1" si="55">N32+RAND()*0.1*N32*$AC33</f>
        <v>2.3359339503986805</v>
      </c>
      <c r="Z33">
        <f t="shared" ref="Z33:Z35" ca="1" si="56">O32+RAND()*0.1*O32*$AC33</f>
        <v>49.475636560772159</v>
      </c>
      <c r="AB33">
        <f ca="1">RAND()</f>
        <v>0.41798342867297178</v>
      </c>
      <c r="AC33">
        <f ca="1">IF(AB33&gt;0.5,-1,1)</f>
        <v>1</v>
      </c>
    </row>
    <row r="34" spans="1:29" ht="13.9" customHeight="1" x14ac:dyDescent="0.25">
      <c r="A34" s="104" t="s">
        <v>118</v>
      </c>
      <c r="B34" s="105"/>
      <c r="C34" s="104" t="s">
        <v>119</v>
      </c>
      <c r="D34" s="105"/>
      <c r="E34" s="67" t="s">
        <v>66</v>
      </c>
      <c r="F34" s="68">
        <v>1.4428452930964968</v>
      </c>
      <c r="G34" s="68">
        <v>2.1076895266433446</v>
      </c>
      <c r="H34" s="68">
        <v>2.4260157826976951</v>
      </c>
      <c r="I34" s="68">
        <v>5.2795557829806326</v>
      </c>
      <c r="J34" s="68">
        <v>24.910881077170686</v>
      </c>
      <c r="K34" s="68">
        <v>21.563166512117338</v>
      </c>
      <c r="L34" s="68">
        <v>0</v>
      </c>
      <c r="M34" s="68">
        <v>0</v>
      </c>
      <c r="N34" s="68">
        <v>2.4365091844588802</v>
      </c>
      <c r="O34" s="68">
        <v>47.851994852144379</v>
      </c>
      <c r="Q34">
        <f t="shared" ref="Q34" ca="1" si="57">F33+RAND()*0.1*F33*$AC34</f>
        <v>1.3833706456753059</v>
      </c>
      <c r="R34">
        <f t="shared" ca="1" si="48"/>
        <v>1.9243086230016428</v>
      </c>
      <c r="S34">
        <f t="shared" ca="1" si="49"/>
        <v>2.0805156708839729</v>
      </c>
      <c r="T34">
        <f t="shared" ca="1" si="50"/>
        <v>5.0501776525087818</v>
      </c>
      <c r="U34">
        <f t="shared" ca="1" si="51"/>
        <v>24.305884769829028</v>
      </c>
      <c r="V34">
        <f t="shared" ca="1" si="52"/>
        <v>18.889354925562198</v>
      </c>
      <c r="W34">
        <f t="shared" ca="1" si="53"/>
        <v>0</v>
      </c>
      <c r="X34">
        <f t="shared" ca="1" si="54"/>
        <v>0</v>
      </c>
      <c r="Y34">
        <f t="shared" ca="1" si="55"/>
        <v>2.3203062769113827</v>
      </c>
      <c r="Z34">
        <f t="shared" ca="1" si="56"/>
        <v>48.422196120579954</v>
      </c>
      <c r="AB34">
        <f t="shared" ref="AB34:AB35" ca="1" si="58">RAND()</f>
        <v>0.26403946407855372</v>
      </c>
      <c r="AC34">
        <f ca="1">IF(AB34&gt;0.5,-1,1)</f>
        <v>1</v>
      </c>
    </row>
    <row r="35" spans="1:29" ht="13.9" customHeight="1" x14ac:dyDescent="0.25">
      <c r="A35" s="104" t="s">
        <v>120</v>
      </c>
      <c r="B35" s="105"/>
      <c r="C35" s="104" t="s">
        <v>121</v>
      </c>
      <c r="D35" s="105"/>
      <c r="E35" s="67" t="s">
        <v>66</v>
      </c>
      <c r="F35" s="68">
        <v>1.3734119471236368</v>
      </c>
      <c r="G35" s="68">
        <v>1.9096683035405417</v>
      </c>
      <c r="H35" s="68">
        <v>2.2448415333141858</v>
      </c>
      <c r="I35" s="68">
        <v>4.7902873477148216</v>
      </c>
      <c r="J35" s="68">
        <v>21.88450809658142</v>
      </c>
      <c r="K35" s="68">
        <v>18.960856522846218</v>
      </c>
      <c r="L35" s="68">
        <v>0</v>
      </c>
      <c r="M35" s="68">
        <v>0</v>
      </c>
      <c r="N35" s="68">
        <v>2.2626018063523428</v>
      </c>
      <c r="O35" s="68">
        <v>43.853854671851252</v>
      </c>
      <c r="Q35">
        <f ca="1">F34+RAND()*0.1*F34*$AC35</f>
        <v>1.4952212764537047</v>
      </c>
      <c r="R35">
        <f t="shared" ca="1" si="48"/>
        <v>2.2453493601068457</v>
      </c>
      <c r="S35">
        <f t="shared" ca="1" si="49"/>
        <v>2.4657207624544064</v>
      </c>
      <c r="T35">
        <f t="shared" ca="1" si="50"/>
        <v>5.7541409331722848</v>
      </c>
      <c r="U35">
        <f t="shared" ca="1" si="51"/>
        <v>27.271426122025485</v>
      </c>
      <c r="V35">
        <f t="shared" ca="1" si="52"/>
        <v>22.535462039660967</v>
      </c>
      <c r="W35">
        <f t="shared" ca="1" si="53"/>
        <v>0</v>
      </c>
      <c r="X35">
        <f t="shared" ca="1" si="54"/>
        <v>0</v>
      </c>
      <c r="Y35">
        <f t="shared" ca="1" si="55"/>
        <v>2.4387029837630725</v>
      </c>
      <c r="Z35">
        <f t="shared" ca="1" si="56"/>
        <v>48.925631519108443</v>
      </c>
      <c r="AB35">
        <f t="shared" ca="1" si="58"/>
        <v>0.13580744893887042</v>
      </c>
      <c r="AC35">
        <f ca="1">IF(AB35&gt;0.5,-1,1)</f>
        <v>1</v>
      </c>
    </row>
    <row r="37" spans="1:29" ht="22.5" x14ac:dyDescent="0.25">
      <c r="A37" t="s">
        <v>79</v>
      </c>
      <c r="B37" s="8">
        <f>CellCount_Viability!A8</f>
        <v>46274</v>
      </c>
      <c r="F37" s="67" t="s">
        <v>73</v>
      </c>
      <c r="G37" s="67" t="s">
        <v>55</v>
      </c>
      <c r="H37" s="67" t="s">
        <v>56</v>
      </c>
      <c r="I37" s="67" t="s">
        <v>57</v>
      </c>
      <c r="J37" s="67" t="s">
        <v>58</v>
      </c>
      <c r="K37" s="67" t="s">
        <v>59</v>
      </c>
      <c r="L37" s="67" t="s">
        <v>60</v>
      </c>
      <c r="M37" s="67" t="s">
        <v>61</v>
      </c>
      <c r="N37" s="67" t="s">
        <v>62</v>
      </c>
      <c r="O37" s="67" t="s">
        <v>63</v>
      </c>
    </row>
    <row r="38" spans="1:29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1.39</v>
      </c>
      <c r="G38" s="68">
        <v>1.98</v>
      </c>
      <c r="H38" s="68">
        <v>2.2599999999999998</v>
      </c>
      <c r="I38" s="68">
        <v>5.28</v>
      </c>
      <c r="J38" s="68">
        <v>20.091500000000003</v>
      </c>
      <c r="K38" s="68">
        <v>5.1254</v>
      </c>
      <c r="L38" s="68">
        <v>0</v>
      </c>
      <c r="M38" s="68">
        <v>0</v>
      </c>
      <c r="N38" s="68">
        <v>2.5131999999999999</v>
      </c>
      <c r="O38" s="68">
        <v>55.550399999999996</v>
      </c>
    </row>
    <row r="39" spans="1:29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1.4200210525183508</v>
      </c>
      <c r="G39" s="68">
        <v>2.1163255756599249</v>
      </c>
      <c r="H39" s="68">
        <v>2.3630029536434956</v>
      </c>
      <c r="I39" s="68">
        <v>5.2871829704761746</v>
      </c>
      <c r="J39" s="68">
        <v>21.623550045356584</v>
      </c>
      <c r="K39" s="68">
        <v>5.4662063040534461</v>
      </c>
      <c r="L39" s="68">
        <v>0</v>
      </c>
      <c r="M39" s="68">
        <v>0</v>
      </c>
      <c r="N39" s="68">
        <v>2.6982422180647734</v>
      </c>
      <c r="O39" s="68">
        <v>59.789287804510231</v>
      </c>
      <c r="Q39">
        <f ca="1">F38+RAND()*0.1*F38*$AC39</f>
        <v>1.482586634393855</v>
      </c>
      <c r="R39">
        <f t="shared" ref="R39:R41" ca="1" si="59">G38+RAND()*0.1*G38*$AC39</f>
        <v>2.0728600910516435</v>
      </c>
      <c r="S39">
        <f t="shared" ref="S39:S41" ca="1" si="60">H38+RAND()*0.1*H38*$AC39</f>
        <v>2.3775719914008375</v>
      </c>
      <c r="T39">
        <f t="shared" ref="T39:T41" ca="1" si="61">I38+RAND()*0.1*I38*$AC39</f>
        <v>5.5638047016247212</v>
      </c>
      <c r="U39">
        <f t="shared" ref="U39:U41" ca="1" si="62">J38+RAND()*0.1*J38*$AC39</f>
        <v>20.636438546594391</v>
      </c>
      <c r="V39">
        <f t="shared" ref="V39:V41" ca="1" si="63">K38+RAND()*0.1*K38*$AC39</f>
        <v>5.5085015598201137</v>
      </c>
      <c r="W39">
        <f t="shared" ref="W39:W41" ca="1" si="64">L38+RAND()*0.1*L38*$AC39</f>
        <v>0</v>
      </c>
      <c r="X39">
        <f t="shared" ref="X39:X41" ca="1" si="65">M38+RAND()*0.1*M38*$AC39</f>
        <v>0</v>
      </c>
      <c r="Y39">
        <f t="shared" ref="Y39:Y41" ca="1" si="66">N38+RAND()*0.1*N38*$AC39</f>
        <v>2.609447133248469</v>
      </c>
      <c r="Z39">
        <f t="shared" ref="Z39:Z41" ca="1" si="67">O38+RAND()*0.1*O38*$AC39</f>
        <v>60.027249147012952</v>
      </c>
      <c r="AB39">
        <f ca="1">RAND()</f>
        <v>0.18321942294931204</v>
      </c>
      <c r="AC39">
        <f ca="1">IF(AB39&gt;0.5,-1,1)</f>
        <v>1</v>
      </c>
    </row>
    <row r="40" spans="1:29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1.4319852347614763</v>
      </c>
      <c r="G40" s="68">
        <v>2.1142534167200338</v>
      </c>
      <c r="H40" s="68">
        <v>2.3603221377578456</v>
      </c>
      <c r="I40" s="68">
        <v>5.7049310518194964</v>
      </c>
      <c r="J40" s="68">
        <v>20.573138435491217</v>
      </c>
      <c r="K40" s="68">
        <v>5.4486372636867504</v>
      </c>
      <c r="L40" s="68">
        <v>0</v>
      </c>
      <c r="M40" s="68">
        <v>0</v>
      </c>
      <c r="N40" s="68">
        <v>2.6263487662645479</v>
      </c>
      <c r="O40" s="68">
        <v>57.510543321870045</v>
      </c>
      <c r="Q40">
        <f t="shared" ref="Q40" ca="1" si="68">F39+RAND()*0.1*F39*$AC40</f>
        <v>1.5152236156623937</v>
      </c>
      <c r="R40">
        <f t="shared" ca="1" si="59"/>
        <v>2.1359701402181637</v>
      </c>
      <c r="S40">
        <f t="shared" ca="1" si="60"/>
        <v>2.367375976646978</v>
      </c>
      <c r="T40">
        <f t="shared" ca="1" si="61"/>
        <v>5.3190547000243695</v>
      </c>
      <c r="U40">
        <f t="shared" ca="1" si="62"/>
        <v>23.188310205557965</v>
      </c>
      <c r="V40">
        <f t="shared" ca="1" si="63"/>
        <v>5.541886181757711</v>
      </c>
      <c r="W40">
        <f t="shared" ca="1" si="64"/>
        <v>0</v>
      </c>
      <c r="X40">
        <f t="shared" ca="1" si="65"/>
        <v>0</v>
      </c>
      <c r="Y40">
        <f t="shared" ca="1" si="66"/>
        <v>2.7545505833534327</v>
      </c>
      <c r="Z40">
        <f t="shared" ca="1" si="67"/>
        <v>63.213860927432421</v>
      </c>
      <c r="AB40">
        <f t="shared" ref="AB40:AB41" ca="1" si="69">RAND()</f>
        <v>0.4566036050402984</v>
      </c>
      <c r="AC40">
        <f ca="1">IF(AB40&gt;0.5,-1,1)</f>
        <v>1</v>
      </c>
    </row>
    <row r="41" spans="1:29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1.2755547025867917</v>
      </c>
      <c r="G41" s="68">
        <v>1.7828081044659978</v>
      </c>
      <c r="H41" s="68">
        <v>2.1620688060908875</v>
      </c>
      <c r="I41" s="68">
        <v>5.1989519884818183</v>
      </c>
      <c r="J41" s="68">
        <v>19.27682929662252</v>
      </c>
      <c r="K41" s="68">
        <v>5.123316596017145</v>
      </c>
      <c r="L41" s="68">
        <v>0</v>
      </c>
      <c r="M41" s="68">
        <v>0</v>
      </c>
      <c r="N41" s="68">
        <v>2.4416561484910386</v>
      </c>
      <c r="O41" s="68">
        <v>53.622253942007006</v>
      </c>
      <c r="Q41">
        <f ca="1">F40+RAND()*0.1*F40*$AC41</f>
        <v>1.4420419233787873</v>
      </c>
      <c r="R41">
        <f t="shared" ca="1" si="59"/>
        <v>2.3252439477867517</v>
      </c>
      <c r="S41">
        <f t="shared" ca="1" si="60"/>
        <v>2.5703294417115221</v>
      </c>
      <c r="T41">
        <f t="shared" ca="1" si="61"/>
        <v>5.7335250565242077</v>
      </c>
      <c r="U41">
        <f t="shared" ca="1" si="62"/>
        <v>22.545189481320616</v>
      </c>
      <c r="V41">
        <f t="shared" ca="1" si="63"/>
        <v>5.963270337926855</v>
      </c>
      <c r="W41">
        <f t="shared" ca="1" si="64"/>
        <v>0</v>
      </c>
      <c r="X41">
        <f t="shared" ca="1" si="65"/>
        <v>0</v>
      </c>
      <c r="Y41">
        <f t="shared" ca="1" si="66"/>
        <v>2.7712052032223311</v>
      </c>
      <c r="Z41">
        <f t="shared" ca="1" si="67"/>
        <v>60.01656092438715</v>
      </c>
      <c r="AB41">
        <f t="shared" ca="1" si="69"/>
        <v>0.22499596282006717</v>
      </c>
      <c r="AC41">
        <f ca="1">IF(AB41&gt;0.5,-1,1)</f>
        <v>1</v>
      </c>
    </row>
    <row r="43" spans="1:29" ht="22.5" x14ac:dyDescent="0.25">
      <c r="A43" t="s">
        <v>80</v>
      </c>
      <c r="B43" s="8">
        <f>CellCount_Viability!A9</f>
        <v>46275</v>
      </c>
      <c r="F43" s="67" t="s">
        <v>73</v>
      </c>
      <c r="G43" s="67" t="s">
        <v>55</v>
      </c>
      <c r="H43" s="67" t="s">
        <v>56</v>
      </c>
      <c r="I43" s="67" t="s">
        <v>57</v>
      </c>
      <c r="J43" s="67" t="s">
        <v>58</v>
      </c>
      <c r="K43" s="67" t="s">
        <v>59</v>
      </c>
      <c r="L43" s="67" t="s">
        <v>60</v>
      </c>
      <c r="M43" s="67" t="s">
        <v>61</v>
      </c>
      <c r="N43" s="67" t="s">
        <v>62</v>
      </c>
      <c r="O43" s="67" t="s">
        <v>63</v>
      </c>
    </row>
    <row r="44" spans="1:29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1.39</v>
      </c>
      <c r="G44" s="68">
        <v>1.98</v>
      </c>
      <c r="H44" s="68">
        <v>2.2599999999999998</v>
      </c>
      <c r="I44" s="68">
        <v>5.28</v>
      </c>
      <c r="J44" s="68">
        <v>18.59</v>
      </c>
      <c r="K44" s="68">
        <v>3.9053000000000004</v>
      </c>
      <c r="L44" s="68">
        <v>0</v>
      </c>
      <c r="M44" s="68">
        <v>0</v>
      </c>
      <c r="N44" s="68">
        <v>2.5132000000000003</v>
      </c>
      <c r="O44" s="68">
        <v>57.628799999999998</v>
      </c>
    </row>
    <row r="45" spans="1:29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1.5268091296273745</v>
      </c>
      <c r="G45" s="68">
        <v>2.1169050807584759</v>
      </c>
      <c r="H45" s="68">
        <v>2.4192133332329551</v>
      </c>
      <c r="I45" s="68">
        <v>5.3362137140975081</v>
      </c>
      <c r="J45" s="68">
        <v>19.1567020642232</v>
      </c>
      <c r="K45" s="68">
        <v>4.1677915366504035</v>
      </c>
      <c r="L45" s="68">
        <v>0</v>
      </c>
      <c r="M45" s="68">
        <v>0</v>
      </c>
      <c r="N45" s="68">
        <v>2.5821495428315195</v>
      </c>
      <c r="O45" s="68">
        <v>62.170091995840913</v>
      </c>
      <c r="Q45">
        <f ca="1">F44+RAND()*0.1*F44*$AC45</f>
        <v>1.3284938018460593</v>
      </c>
      <c r="R45">
        <f t="shared" ref="R45:R47" ca="1" si="70">G44+RAND()*0.1*G44*$AC45</f>
        <v>1.8277656266557345</v>
      </c>
      <c r="S45">
        <f t="shared" ref="S45:S47" ca="1" si="71">H44+RAND()*0.1*H44*$AC45</f>
        <v>2.1125375610094252</v>
      </c>
      <c r="T45">
        <f t="shared" ref="T45:T47" ca="1" si="72">I44+RAND()*0.1*I44*$AC45</f>
        <v>4.9508214061537377</v>
      </c>
      <c r="U45">
        <f t="shared" ref="U45:U47" ca="1" si="73">J44+RAND()*0.1*J44*$AC45</f>
        <v>18.504166773165572</v>
      </c>
      <c r="V45">
        <f t="shared" ref="V45:V47" ca="1" si="74">K44+RAND()*0.1*K44*$AC45</f>
        <v>3.5255294125169896</v>
      </c>
      <c r="W45">
        <f t="shared" ref="W45:W47" ca="1" si="75">L44+RAND()*0.1*L44*$AC45</f>
        <v>0</v>
      </c>
      <c r="X45">
        <f t="shared" ref="X45:X47" ca="1" si="76">M44+RAND()*0.1*M44*$AC45</f>
        <v>0</v>
      </c>
      <c r="Y45">
        <f t="shared" ref="Y45:Y47" ca="1" si="77">N44+RAND()*0.1*N44*$AC45</f>
        <v>2.3433011115082625</v>
      </c>
      <c r="Z45">
        <f t="shared" ref="Z45:Z47" ca="1" si="78">O44+RAND()*0.1*O44*$AC45</f>
        <v>52.691173735714649</v>
      </c>
      <c r="AB45">
        <f ca="1">RAND()</f>
        <v>0.77171240400678365</v>
      </c>
      <c r="AC45">
        <f ca="1">IF(AB45&gt;0.5,-1,1)</f>
        <v>-1</v>
      </c>
    </row>
    <row r="46" spans="1:29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1.3517183780300059</v>
      </c>
      <c r="G46" s="68">
        <v>1.9577415491872139</v>
      </c>
      <c r="H46" s="68">
        <v>2.0795223348310086</v>
      </c>
      <c r="I46" s="68">
        <v>5.2249060510748535</v>
      </c>
      <c r="J46" s="68">
        <v>18.038544524094714</v>
      </c>
      <c r="K46" s="68">
        <v>3.7483339629713801</v>
      </c>
      <c r="L46" s="68">
        <v>0</v>
      </c>
      <c r="M46" s="68">
        <v>0</v>
      </c>
      <c r="N46" s="68">
        <v>2.3351034415496033</v>
      </c>
      <c r="O46" s="68">
        <v>57.053400206919932</v>
      </c>
      <c r="Q46">
        <f t="shared" ref="Q46" ca="1" si="79">F45+RAND()*0.1*F45*$AC46</f>
        <v>1.4689375600511874</v>
      </c>
      <c r="R46">
        <f t="shared" ca="1" si="70"/>
        <v>2.116355084145384</v>
      </c>
      <c r="S46">
        <f t="shared" ca="1" si="71"/>
        <v>2.3444130580480671</v>
      </c>
      <c r="T46">
        <f t="shared" ca="1" si="72"/>
        <v>5.294955087919889</v>
      </c>
      <c r="U46">
        <f t="shared" ca="1" si="73"/>
        <v>18.425985754020108</v>
      </c>
      <c r="V46">
        <f t="shared" ca="1" si="74"/>
        <v>3.7530301741351764</v>
      </c>
      <c r="W46">
        <f t="shared" ca="1" si="75"/>
        <v>0</v>
      </c>
      <c r="X46">
        <f t="shared" ca="1" si="76"/>
        <v>0</v>
      </c>
      <c r="Y46">
        <f t="shared" ca="1" si="77"/>
        <v>2.4011144336445747</v>
      </c>
      <c r="Z46">
        <f t="shared" ca="1" si="78"/>
        <v>59.635899997827579</v>
      </c>
      <c r="AB46">
        <f t="shared" ref="AB46:AB47" ca="1" si="80">RAND()</f>
        <v>0.7120710014514342</v>
      </c>
      <c r="AC46">
        <f ca="1">IF(AB46&gt;0.5,-1,1)</f>
        <v>-1</v>
      </c>
    </row>
    <row r="47" spans="1:29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1.4007558956446544</v>
      </c>
      <c r="G47" s="68">
        <v>2.0773404975872238</v>
      </c>
      <c r="H47" s="68">
        <v>2.4164428528241495</v>
      </c>
      <c r="I47" s="68">
        <v>5.7686605885706941</v>
      </c>
      <c r="J47" s="68">
        <v>19.596897070347417</v>
      </c>
      <c r="K47" s="68">
        <v>3.9190099036210584</v>
      </c>
      <c r="L47" s="68">
        <v>0</v>
      </c>
      <c r="M47" s="68">
        <v>0</v>
      </c>
      <c r="N47" s="68">
        <v>2.5256059171122724</v>
      </c>
      <c r="O47" s="68">
        <v>62.967193678326396</v>
      </c>
      <c r="Q47">
        <f ca="1">F46+RAND()*0.1*F46*$AC47</f>
        <v>1.3384551596161278</v>
      </c>
      <c r="R47">
        <f t="shared" ca="1" si="70"/>
        <v>1.899245626135317</v>
      </c>
      <c r="S47">
        <f t="shared" ca="1" si="71"/>
        <v>2.0590662981009031</v>
      </c>
      <c r="T47">
        <f t="shared" ca="1" si="72"/>
        <v>4.8056618257423764</v>
      </c>
      <c r="U47">
        <f t="shared" ca="1" si="73"/>
        <v>17.470342386902729</v>
      </c>
      <c r="V47">
        <f t="shared" ca="1" si="74"/>
        <v>3.4606953292872902</v>
      </c>
      <c r="W47">
        <f t="shared" ca="1" si="75"/>
        <v>0</v>
      </c>
      <c r="X47">
        <f t="shared" ca="1" si="76"/>
        <v>0</v>
      </c>
      <c r="Y47">
        <f t="shared" ca="1" si="77"/>
        <v>2.237166984006167</v>
      </c>
      <c r="Z47">
        <f t="shared" ca="1" si="78"/>
        <v>55.913441702836622</v>
      </c>
      <c r="AB47">
        <f t="shared" ca="1" si="80"/>
        <v>0.93899251970543041</v>
      </c>
      <c r="AC47">
        <f ca="1">IF(AB47&gt;0.5,-1,1)</f>
        <v>-1</v>
      </c>
    </row>
    <row r="49" spans="1:29" ht="22.5" x14ac:dyDescent="0.25">
      <c r="A49" t="s">
        <v>81</v>
      </c>
      <c r="B49" s="8">
        <f>CellCount_Viability!A10</f>
        <v>46276</v>
      </c>
      <c r="F49" s="67" t="s">
        <v>73</v>
      </c>
      <c r="G49" s="67" t="s">
        <v>55</v>
      </c>
      <c r="H49" s="67" t="s">
        <v>56</v>
      </c>
      <c r="I49" s="67" t="s">
        <v>57</v>
      </c>
      <c r="J49" s="67" t="s">
        <v>58</v>
      </c>
      <c r="K49" s="67" t="s">
        <v>59</v>
      </c>
      <c r="L49" s="67" t="s">
        <v>60</v>
      </c>
      <c r="M49" s="67" t="s">
        <v>61</v>
      </c>
      <c r="N49" s="67" t="s">
        <v>62</v>
      </c>
      <c r="O49" s="67" t="s">
        <v>63</v>
      </c>
    </row>
    <row r="50" spans="1:29" x14ac:dyDescent="0.25">
      <c r="A50" s="104" t="s">
        <v>64</v>
      </c>
      <c r="B50" s="105"/>
      <c r="C50" s="104" t="s">
        <v>65</v>
      </c>
      <c r="D50" s="105"/>
      <c r="E50" s="67" t="s">
        <v>66</v>
      </c>
      <c r="F50" s="68">
        <v>1.39</v>
      </c>
      <c r="G50" s="68">
        <v>1.98</v>
      </c>
      <c r="H50" s="68">
        <v>2.2599999999999998</v>
      </c>
      <c r="I50" s="68">
        <v>5.28</v>
      </c>
      <c r="J50" s="68">
        <v>17.940999999999999</v>
      </c>
      <c r="K50" s="68">
        <v>3.4397999999999995</v>
      </c>
      <c r="L50" s="68">
        <v>0</v>
      </c>
      <c r="M50" s="68">
        <v>0</v>
      </c>
      <c r="N50" s="68">
        <v>2.5750000000000002</v>
      </c>
      <c r="O50" s="68">
        <v>57.878399999999999</v>
      </c>
    </row>
    <row r="51" spans="1:29" x14ac:dyDescent="0.25">
      <c r="A51" s="104" t="s">
        <v>67</v>
      </c>
      <c r="B51" s="105"/>
      <c r="C51" s="104" t="s">
        <v>68</v>
      </c>
      <c r="D51" s="105"/>
      <c r="E51" s="67" t="s">
        <v>66</v>
      </c>
      <c r="F51" s="68">
        <v>1.3040106901833386</v>
      </c>
      <c r="G51" s="68">
        <v>1.8458147829528777</v>
      </c>
      <c r="H51" s="68">
        <v>2.190187384843246</v>
      </c>
      <c r="I51" s="68">
        <v>5.0420693444295566</v>
      </c>
      <c r="J51" s="68">
        <v>16.626940572497691</v>
      </c>
      <c r="K51" s="68">
        <v>3.3787045027003901</v>
      </c>
      <c r="L51" s="68">
        <v>0</v>
      </c>
      <c r="M51" s="68">
        <v>0</v>
      </c>
      <c r="N51" s="68">
        <v>2.5278012878514122</v>
      </c>
      <c r="O51" s="68">
        <v>55.605870085631359</v>
      </c>
      <c r="Q51">
        <f ca="1">F50+RAND()*0.1*F50*$AC51</f>
        <v>1.4187683194979004</v>
      </c>
      <c r="R51">
        <f t="shared" ref="R51:R53" ca="1" si="81">G50+RAND()*0.1*G50*$AC51</f>
        <v>2.0916367698469354</v>
      </c>
      <c r="S51">
        <f t="shared" ref="S51:S53" ca="1" si="82">H50+RAND()*0.1*H50*$AC51</f>
        <v>2.3952609907755029</v>
      </c>
      <c r="T51">
        <f t="shared" ref="T51:T53" ca="1" si="83">I50+RAND()*0.1*I50*$AC51</f>
        <v>5.6249629689606513</v>
      </c>
      <c r="U51">
        <f t="shared" ref="U51:U53" ca="1" si="84">J50+RAND()*0.1*J50*$AC51</f>
        <v>17.996926541717599</v>
      </c>
      <c r="V51">
        <f t="shared" ref="V51:V53" ca="1" si="85">K50+RAND()*0.1*K50*$AC51</f>
        <v>3.5789617230476543</v>
      </c>
      <c r="W51">
        <f t="shared" ref="W51:W53" ca="1" si="86">L50+RAND()*0.1*L50*$AC51</f>
        <v>0</v>
      </c>
      <c r="X51">
        <f t="shared" ref="X51:X53" ca="1" si="87">M50+RAND()*0.1*M50*$AC51</f>
        <v>0</v>
      </c>
      <c r="Y51">
        <f t="shared" ref="Y51:Y53" ca="1" si="88">N50+RAND()*0.1*N50*$AC51</f>
        <v>2.6434352700322292</v>
      </c>
      <c r="Z51">
        <f t="shared" ref="Z51:Z53" ca="1" si="89">O50+RAND()*0.1*O50*$AC51</f>
        <v>59.133067251927578</v>
      </c>
      <c r="AB51">
        <f ca="1">RAND()</f>
        <v>0.39975619230450044</v>
      </c>
      <c r="AC51">
        <f ca="1">IF(AB51&gt;0.5,-1,1)</f>
        <v>1</v>
      </c>
    </row>
    <row r="52" spans="1:29" x14ac:dyDescent="0.25">
      <c r="A52" s="104" t="s">
        <v>69</v>
      </c>
      <c r="B52" s="105"/>
      <c r="C52" s="104" t="s">
        <v>70</v>
      </c>
      <c r="D52" s="105"/>
      <c r="E52" s="67" t="s">
        <v>66</v>
      </c>
      <c r="F52" s="68">
        <v>1.3640102161662793</v>
      </c>
      <c r="G52" s="68">
        <v>1.8573575628734209</v>
      </c>
      <c r="H52" s="68">
        <v>2.1105346059074739</v>
      </c>
      <c r="I52" s="68">
        <v>5.2608264882620261</v>
      </c>
      <c r="J52" s="68">
        <v>17.44969981640962</v>
      </c>
      <c r="K52" s="68">
        <v>3.3849072332321173</v>
      </c>
      <c r="L52" s="68">
        <v>0</v>
      </c>
      <c r="M52" s="68">
        <v>0</v>
      </c>
      <c r="N52" s="68">
        <v>2.5114235002245682</v>
      </c>
      <c r="O52" s="68">
        <v>56.610063980313718</v>
      </c>
      <c r="Q52">
        <f t="shared" ref="Q52" ca="1" si="90">F51+RAND()*0.1*F51*$AC52</f>
        <v>1.1755601823745605</v>
      </c>
      <c r="R52">
        <f t="shared" ca="1" si="81"/>
        <v>1.7812814585775245</v>
      </c>
      <c r="S52">
        <f t="shared" ca="1" si="82"/>
        <v>2.1236146045019417</v>
      </c>
      <c r="T52">
        <f t="shared" ca="1" si="83"/>
        <v>4.6031396080280063</v>
      </c>
      <c r="U52">
        <f t="shared" ca="1" si="84"/>
        <v>16.417791632672856</v>
      </c>
      <c r="V52">
        <f t="shared" ca="1" si="85"/>
        <v>3.2596337627130798</v>
      </c>
      <c r="W52">
        <f t="shared" ca="1" si="86"/>
        <v>0</v>
      </c>
      <c r="X52">
        <f t="shared" ca="1" si="87"/>
        <v>0</v>
      </c>
      <c r="Y52">
        <f t="shared" ca="1" si="88"/>
        <v>2.4616733445512393</v>
      </c>
      <c r="Z52">
        <f t="shared" ca="1" si="89"/>
        <v>53.295466396156606</v>
      </c>
      <c r="AB52">
        <f t="shared" ref="AB52:AB53" ca="1" si="91">RAND()</f>
        <v>0.81433610258030042</v>
      </c>
      <c r="AC52">
        <f ca="1">IF(AB52&gt;0.5,-1,1)</f>
        <v>-1</v>
      </c>
    </row>
    <row r="53" spans="1:29" x14ac:dyDescent="0.25">
      <c r="A53" s="104" t="s">
        <v>71</v>
      </c>
      <c r="B53" s="105"/>
      <c r="C53" s="104" t="s">
        <v>72</v>
      </c>
      <c r="D53" s="105"/>
      <c r="E53" s="67" t="s">
        <v>66</v>
      </c>
      <c r="F53" s="68">
        <v>1.455298462202512</v>
      </c>
      <c r="G53" s="68">
        <v>2.1607300217834409</v>
      </c>
      <c r="H53" s="68">
        <v>2.4800287766054776</v>
      </c>
      <c r="I53" s="68">
        <v>5.6739894004742073</v>
      </c>
      <c r="J53" s="68">
        <v>18.302159458592872</v>
      </c>
      <c r="K53" s="68">
        <v>3.5900772627482884</v>
      </c>
      <c r="L53" s="68">
        <v>0</v>
      </c>
      <c r="M53" s="68">
        <v>0</v>
      </c>
      <c r="N53" s="68">
        <v>2.5892500623784751</v>
      </c>
      <c r="O53" s="68">
        <v>62.096405957140163</v>
      </c>
      <c r="Q53">
        <f ca="1">F52+RAND()*0.1*F52*$AC53</f>
        <v>1.2858191912920935</v>
      </c>
      <c r="R53">
        <f t="shared" ca="1" si="81"/>
        <v>1.8422631754566712</v>
      </c>
      <c r="S53">
        <f t="shared" ca="1" si="82"/>
        <v>1.9722081794957262</v>
      </c>
      <c r="T53">
        <f t="shared" ca="1" si="83"/>
        <v>5.0630560727939518</v>
      </c>
      <c r="U53">
        <f t="shared" ca="1" si="84"/>
        <v>17.371103028293476</v>
      </c>
      <c r="V53">
        <f t="shared" ca="1" si="85"/>
        <v>3.0659873958685235</v>
      </c>
      <c r="W53">
        <f t="shared" ca="1" si="86"/>
        <v>0</v>
      </c>
      <c r="X53">
        <f t="shared" ca="1" si="87"/>
        <v>0</v>
      </c>
      <c r="Y53">
        <f t="shared" ca="1" si="88"/>
        <v>2.4087370996226354</v>
      </c>
      <c r="Z53">
        <f t="shared" ca="1" si="89"/>
        <v>53.760285804956375</v>
      </c>
      <c r="AB53">
        <f t="shared" ca="1" si="91"/>
        <v>0.88514023148739007</v>
      </c>
      <c r="AC53">
        <f ca="1">IF(AB53&gt;0.5,-1,1)</f>
        <v>-1</v>
      </c>
    </row>
    <row r="55" spans="1:29" ht="22.5" x14ac:dyDescent="0.25">
      <c r="A55" t="s">
        <v>137</v>
      </c>
      <c r="B55" s="8">
        <f>CellCount_Viability!A11</f>
        <v>46277</v>
      </c>
      <c r="F55" s="67" t="s">
        <v>73</v>
      </c>
      <c r="G55" s="67" t="s">
        <v>55</v>
      </c>
      <c r="H55" s="67" t="s">
        <v>56</v>
      </c>
      <c r="I55" s="67" t="s">
        <v>57</v>
      </c>
      <c r="J55" s="67" t="s">
        <v>58</v>
      </c>
      <c r="K55" s="67" t="s">
        <v>59</v>
      </c>
      <c r="L55" s="67" t="s">
        <v>60</v>
      </c>
      <c r="M55" s="67" t="s">
        <v>61</v>
      </c>
      <c r="N55" s="67" t="s">
        <v>62</v>
      </c>
      <c r="O55" s="67" t="s">
        <v>63</v>
      </c>
    </row>
    <row r="56" spans="1:29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1.39</v>
      </c>
      <c r="G56" s="68">
        <v>1.98</v>
      </c>
      <c r="H56" s="68">
        <v>2.2599999999999998</v>
      </c>
      <c r="I56" s="68">
        <v>5.28</v>
      </c>
      <c r="J56" s="68">
        <v>17.721</v>
      </c>
      <c r="K56" s="68">
        <v>3.3026</v>
      </c>
      <c r="L56" s="68">
        <v>0</v>
      </c>
      <c r="M56" s="68">
        <v>0</v>
      </c>
      <c r="N56" s="68">
        <v>2.5647000000000002</v>
      </c>
      <c r="O56" s="68">
        <v>57.758399999999995</v>
      </c>
    </row>
    <row r="57" spans="1:29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1.2943369410447265</v>
      </c>
      <c r="G57" s="68">
        <v>1.8427628680606738</v>
      </c>
      <c r="H57" s="68">
        <v>2.1013885546681412</v>
      </c>
      <c r="I57" s="68">
        <v>5.0186912523555209</v>
      </c>
      <c r="J57" s="68">
        <v>17.259204150292803</v>
      </c>
      <c r="K57" s="68">
        <v>3.2650417413309722</v>
      </c>
      <c r="L57" s="68">
        <v>0</v>
      </c>
      <c r="M57" s="68">
        <v>0</v>
      </c>
      <c r="N57" s="68">
        <v>2.4927336358564389</v>
      </c>
      <c r="O57" s="68">
        <v>53.372694252234112</v>
      </c>
      <c r="Q57">
        <f ca="1">F56+RAND()*0.1*F56*$AC57</f>
        <v>1.4060419246837133</v>
      </c>
      <c r="R57">
        <f t="shared" ref="R57:R59" ca="1" si="92">G56+RAND()*0.1*G56*$AC57</f>
        <v>2.0484639755288754</v>
      </c>
      <c r="S57">
        <f t="shared" ref="S57:S59" ca="1" si="93">H56+RAND()*0.1*H56*$AC57</f>
        <v>2.4219735797651256</v>
      </c>
      <c r="T57">
        <f t="shared" ref="T57:T59" ca="1" si="94">I56+RAND()*0.1*I56*$AC57</f>
        <v>5.6018740516537182</v>
      </c>
      <c r="U57">
        <f t="shared" ref="U57:U59" ca="1" si="95">J56+RAND()*0.1*J56*$AC57</f>
        <v>18.826549416717874</v>
      </c>
      <c r="V57">
        <f t="shared" ref="V57:V59" ca="1" si="96">K56+RAND()*0.1*K56*$AC57</f>
        <v>3.6282668070613977</v>
      </c>
      <c r="W57">
        <f t="shared" ref="W57:W59" ca="1" si="97">L56+RAND()*0.1*L56*$AC57</f>
        <v>0</v>
      </c>
      <c r="X57">
        <f t="shared" ref="X57:X59" ca="1" si="98">M56+RAND()*0.1*M56*$AC57</f>
        <v>0</v>
      </c>
      <c r="Y57">
        <f t="shared" ref="Y57:Y59" ca="1" si="99">N56+RAND()*0.1*N56*$AC57</f>
        <v>2.6008613679805226</v>
      </c>
      <c r="Z57">
        <f t="shared" ref="Z57:Z59" ca="1" si="100">O56+RAND()*0.1*O56*$AC57</f>
        <v>61.174663340243455</v>
      </c>
      <c r="AB57">
        <f ca="1">RAND()</f>
        <v>0.39877183480441925</v>
      </c>
      <c r="AC57">
        <f ca="1">IF(AB57&gt;0.5,-1,1)</f>
        <v>1</v>
      </c>
    </row>
    <row r="58" spans="1:29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1.3017357435435057</v>
      </c>
      <c r="G58" s="68">
        <v>1.9594597285100195</v>
      </c>
      <c r="H58" s="68">
        <v>2.2531409895839118</v>
      </c>
      <c r="I58" s="68">
        <v>5.2329268487590603</v>
      </c>
      <c r="J58" s="68">
        <v>17.371867654175883</v>
      </c>
      <c r="K58" s="68">
        <v>3.1149730054006017</v>
      </c>
      <c r="L58" s="68">
        <v>0</v>
      </c>
      <c r="M58" s="68">
        <v>0</v>
      </c>
      <c r="N58" s="68">
        <v>2.5241250042280456</v>
      </c>
      <c r="O58" s="68">
        <v>52.357877715341417</v>
      </c>
      <c r="Q58">
        <f t="shared" ref="Q58" ca="1" si="101">F57+RAND()*0.1*F57*$AC58</f>
        <v>1.4087855055041785</v>
      </c>
      <c r="R58">
        <f t="shared" ca="1" si="92"/>
        <v>1.9574947769372575</v>
      </c>
      <c r="S58">
        <f t="shared" ca="1" si="93"/>
        <v>2.2114346111760286</v>
      </c>
      <c r="T58">
        <f t="shared" ca="1" si="94"/>
        <v>5.145381089238386</v>
      </c>
      <c r="U58">
        <f t="shared" ca="1" si="95"/>
        <v>17.629887471454438</v>
      </c>
      <c r="V58">
        <f t="shared" ca="1" si="96"/>
        <v>3.3412734508601205</v>
      </c>
      <c r="W58">
        <f t="shared" ca="1" si="97"/>
        <v>0</v>
      </c>
      <c r="X58">
        <f t="shared" ca="1" si="98"/>
        <v>0</v>
      </c>
      <c r="Y58">
        <f t="shared" ca="1" si="99"/>
        <v>2.6760767399058345</v>
      </c>
      <c r="Z58">
        <f t="shared" ca="1" si="100"/>
        <v>56.748399389206298</v>
      </c>
      <c r="AB58">
        <f t="shared" ref="AB58:AB59" ca="1" si="102">RAND()</f>
        <v>0.44777400012206559</v>
      </c>
      <c r="AC58">
        <f ca="1">IF(AB58&gt;0.5,-1,1)</f>
        <v>1</v>
      </c>
    </row>
    <row r="59" spans="1:29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1.4797174069198009</v>
      </c>
      <c r="G59" s="68">
        <v>2.1214839886353833</v>
      </c>
      <c r="H59" s="68">
        <v>2.3654510786414007</v>
      </c>
      <c r="I59" s="68">
        <v>5.5252757388484968</v>
      </c>
      <c r="J59" s="68">
        <v>18.801408959020904</v>
      </c>
      <c r="K59" s="68">
        <v>3.3331950752740047</v>
      </c>
      <c r="L59" s="68">
        <v>0</v>
      </c>
      <c r="M59" s="68">
        <v>0</v>
      </c>
      <c r="N59" s="68">
        <v>2.7566836630008713</v>
      </c>
      <c r="O59" s="68">
        <v>63.244259882390189</v>
      </c>
      <c r="Q59">
        <f ca="1">F58+RAND()*0.1*F58*$AC59</f>
        <v>1.22636126853892</v>
      </c>
      <c r="R59">
        <f t="shared" ca="1" si="92"/>
        <v>1.9379551918205198</v>
      </c>
      <c r="S59">
        <f t="shared" ca="1" si="93"/>
        <v>2.1623919689300406</v>
      </c>
      <c r="T59">
        <f t="shared" ca="1" si="94"/>
        <v>5.2259289940990934</v>
      </c>
      <c r="U59">
        <f t="shared" ca="1" si="95"/>
        <v>15.656163579919554</v>
      </c>
      <c r="V59">
        <f t="shared" ca="1" si="96"/>
        <v>3.0493940171993863</v>
      </c>
      <c r="W59">
        <f t="shared" ca="1" si="97"/>
        <v>0</v>
      </c>
      <c r="X59">
        <f t="shared" ca="1" si="98"/>
        <v>0</v>
      </c>
      <c r="Y59">
        <f t="shared" ca="1" si="99"/>
        <v>2.508071239810937</v>
      </c>
      <c r="Z59">
        <f t="shared" ca="1" si="100"/>
        <v>47.811536634085968</v>
      </c>
      <c r="AB59">
        <f t="shared" ca="1" si="102"/>
        <v>0.50031931853885114</v>
      </c>
      <c r="AC59">
        <f ca="1">IF(AB59&gt;0.5,-1,1)</f>
        <v>-1</v>
      </c>
    </row>
    <row r="61" spans="1:29" ht="22.5" x14ac:dyDescent="0.25">
      <c r="A61" t="s">
        <v>138</v>
      </c>
      <c r="B61" s="8">
        <f>CellCount_Viability!A12</f>
        <v>46278</v>
      </c>
      <c r="F61" s="67" t="s">
        <v>73</v>
      </c>
      <c r="G61" s="67" t="s">
        <v>55</v>
      </c>
      <c r="H61" s="67" t="s">
        <v>56</v>
      </c>
      <c r="I61" s="67" t="s">
        <v>57</v>
      </c>
      <c r="J61" s="67" t="s">
        <v>58</v>
      </c>
      <c r="K61" s="67" t="s">
        <v>59</v>
      </c>
      <c r="L61" s="67" t="s">
        <v>60</v>
      </c>
      <c r="M61" s="67" t="s">
        <v>61</v>
      </c>
      <c r="N61" s="67" t="s">
        <v>62</v>
      </c>
      <c r="O61" s="67" t="s">
        <v>63</v>
      </c>
    </row>
    <row r="62" spans="1:29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1.39</v>
      </c>
      <c r="G62" s="68">
        <v>1.98</v>
      </c>
      <c r="H62" s="68">
        <v>2.2599999999999998</v>
      </c>
      <c r="I62" s="68">
        <v>5.28</v>
      </c>
      <c r="J62" s="68">
        <v>17.479000000000003</v>
      </c>
      <c r="K62" s="68">
        <v>3.1997</v>
      </c>
      <c r="L62" s="68">
        <v>0</v>
      </c>
      <c r="M62" s="68">
        <v>0</v>
      </c>
      <c r="N62" s="68">
        <v>2.5337999999999998</v>
      </c>
      <c r="O62" s="68">
        <v>58.353599999999993</v>
      </c>
    </row>
    <row r="63" spans="1:29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1.4349853723919768</v>
      </c>
      <c r="G63" s="68">
        <v>2.1143909789129629</v>
      </c>
      <c r="H63" s="68">
        <v>2.3041386681992573</v>
      </c>
      <c r="I63" s="68">
        <v>5.3338342664240983</v>
      </c>
      <c r="J63" s="68">
        <v>18.814299260791316</v>
      </c>
      <c r="K63" s="68">
        <v>3.3596088182431769</v>
      </c>
      <c r="L63" s="68">
        <v>0</v>
      </c>
      <c r="M63" s="68">
        <v>0</v>
      </c>
      <c r="N63" s="68">
        <v>2.6329941711603739</v>
      </c>
      <c r="O63" s="68">
        <v>63.743407983812702</v>
      </c>
      <c r="Q63">
        <f ca="1">F62+RAND()*0.1*F62*$AC63</f>
        <v>1.2566694945542132</v>
      </c>
      <c r="R63">
        <f t="shared" ref="R63:R65" ca="1" si="103">G62+RAND()*0.1*G62*$AC63</f>
        <v>1.8418605876821108</v>
      </c>
      <c r="S63">
        <f t="shared" ref="S63:S65" ca="1" si="104">H62+RAND()*0.1*H62*$AC63</f>
        <v>2.1794935478847099</v>
      </c>
      <c r="T63">
        <f t="shared" ref="T63:T65" ca="1" si="105">I62+RAND()*0.1*I62*$AC63</f>
        <v>4.8361752574954204</v>
      </c>
      <c r="U63">
        <f t="shared" ref="U63:U65" ca="1" si="106">J62+RAND()*0.1*J62*$AC63</f>
        <v>16.755644920566485</v>
      </c>
      <c r="V63">
        <f t="shared" ref="V63:V65" ca="1" si="107">K62+RAND()*0.1*K62*$AC63</f>
        <v>3.1908214791496836</v>
      </c>
      <c r="W63">
        <f t="shared" ref="W63:W65" ca="1" si="108">L62+RAND()*0.1*L62*$AC63</f>
        <v>0</v>
      </c>
      <c r="X63">
        <f t="shared" ref="X63:X65" ca="1" si="109">M62+RAND()*0.1*M62*$AC63</f>
        <v>0</v>
      </c>
      <c r="Y63">
        <f t="shared" ref="Y63:Y65" ca="1" si="110">N62+RAND()*0.1*N62*$AC63</f>
        <v>2.3538142513222264</v>
      </c>
      <c r="Z63">
        <f t="shared" ref="Z63:Z65" ca="1" si="111">O62+RAND()*0.1*O62*$AC63</f>
        <v>54.390152955775463</v>
      </c>
      <c r="AB63">
        <f ca="1">RAND()</f>
        <v>0.63897994398840774</v>
      </c>
      <c r="AC63">
        <f ca="1">IF(AB63&gt;0.5,-1,1)</f>
        <v>-1</v>
      </c>
    </row>
    <row r="64" spans="1:29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1.3870420525813791</v>
      </c>
      <c r="G64" s="68">
        <v>1.9011724592028336</v>
      </c>
      <c r="H64" s="68">
        <v>2.0482493779209063</v>
      </c>
      <c r="I64" s="68">
        <v>4.9990365267164218</v>
      </c>
      <c r="J64" s="68">
        <v>17.109169756501188</v>
      </c>
      <c r="K64" s="68">
        <v>3.0727928605133812</v>
      </c>
      <c r="L64" s="68">
        <v>0</v>
      </c>
      <c r="M64" s="68">
        <v>0</v>
      </c>
      <c r="N64" s="68">
        <v>2.2943974025089577</v>
      </c>
      <c r="O64" s="68">
        <v>52.624479430433361</v>
      </c>
      <c r="Q64">
        <f t="shared" ref="Q64" ca="1" si="112">F63+RAND()*0.1*F63*$AC64</f>
        <v>1.4816981613806233</v>
      </c>
      <c r="R64">
        <f t="shared" ca="1" si="103"/>
        <v>2.1362008378169177</v>
      </c>
      <c r="S64">
        <f t="shared" ca="1" si="104"/>
        <v>2.4371714403288758</v>
      </c>
      <c r="T64">
        <f t="shared" ca="1" si="105"/>
        <v>5.4137497453862071</v>
      </c>
      <c r="U64">
        <f t="shared" ca="1" si="106"/>
        <v>20.17716287965218</v>
      </c>
      <c r="V64">
        <f t="shared" ca="1" si="107"/>
        <v>3.4179385127451565</v>
      </c>
      <c r="W64">
        <f t="shared" ca="1" si="108"/>
        <v>0</v>
      </c>
      <c r="X64">
        <f t="shared" ca="1" si="109"/>
        <v>0</v>
      </c>
      <c r="Y64">
        <f t="shared" ca="1" si="110"/>
        <v>2.7473402523911616</v>
      </c>
      <c r="Z64">
        <f t="shared" ca="1" si="111"/>
        <v>69.474548161301385</v>
      </c>
      <c r="AB64">
        <f t="shared" ref="AB64:AB65" ca="1" si="113">RAND()</f>
        <v>0.24638436525047458</v>
      </c>
      <c r="AC64">
        <f ca="1">IF(AB64&gt;0.5,-1,1)</f>
        <v>1</v>
      </c>
    </row>
    <row r="65" spans="1:29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1.3763723758695436</v>
      </c>
      <c r="G65" s="68">
        <v>1.8948871433012995</v>
      </c>
      <c r="H65" s="68">
        <v>2.0725496511132406</v>
      </c>
      <c r="I65" s="68">
        <v>5.0803100291990066</v>
      </c>
      <c r="J65" s="68">
        <v>17.362299189436023</v>
      </c>
      <c r="K65" s="68">
        <v>3.011106106372798</v>
      </c>
      <c r="L65" s="68">
        <v>0</v>
      </c>
      <c r="M65" s="68">
        <v>0</v>
      </c>
      <c r="N65" s="68">
        <v>2.3356625538163729</v>
      </c>
      <c r="O65" s="68">
        <v>52.692590320123493</v>
      </c>
      <c r="Q65">
        <f ca="1">F64+RAND()*0.1*F64*$AC65</f>
        <v>1.5251309516571052</v>
      </c>
      <c r="R65">
        <f t="shared" ca="1" si="103"/>
        <v>2.0746526088358599</v>
      </c>
      <c r="S65">
        <f t="shared" ca="1" si="104"/>
        <v>2.1122734393170122</v>
      </c>
      <c r="T65">
        <f t="shared" ca="1" si="105"/>
        <v>5.2480111905374285</v>
      </c>
      <c r="U65">
        <f t="shared" ca="1" si="106"/>
        <v>17.326488286686274</v>
      </c>
      <c r="V65">
        <f t="shared" ca="1" si="107"/>
        <v>3.3735869084306676</v>
      </c>
      <c r="W65">
        <f t="shared" ca="1" si="108"/>
        <v>0</v>
      </c>
      <c r="X65">
        <f t="shared" ca="1" si="109"/>
        <v>0</v>
      </c>
      <c r="Y65">
        <f t="shared" ca="1" si="110"/>
        <v>2.4560548596296208</v>
      </c>
      <c r="Z65">
        <f t="shared" ca="1" si="111"/>
        <v>55.7482437059546</v>
      </c>
      <c r="AB65">
        <f t="shared" ca="1" si="113"/>
        <v>0.42546359193473149</v>
      </c>
      <c r="AC65">
        <f ca="1">IF(AB65&gt;0.5,-1,1)</f>
        <v>1</v>
      </c>
    </row>
    <row r="67" spans="1:29" ht="22.5" x14ac:dyDescent="0.25">
      <c r="A67" t="s">
        <v>139</v>
      </c>
      <c r="B67" s="8">
        <f>CellCount_Viability!A13</f>
        <v>0</v>
      </c>
      <c r="F67" s="67" t="s">
        <v>73</v>
      </c>
      <c r="G67" s="67" t="s">
        <v>55</v>
      </c>
      <c r="H67" s="67" t="s">
        <v>56</v>
      </c>
      <c r="I67" s="67" t="s">
        <v>57</v>
      </c>
      <c r="J67" s="67" t="s">
        <v>58</v>
      </c>
      <c r="K67" s="67" t="s">
        <v>59</v>
      </c>
      <c r="L67" s="67" t="s">
        <v>60</v>
      </c>
      <c r="M67" s="67" t="s">
        <v>61</v>
      </c>
      <c r="N67" s="67" t="s">
        <v>62</v>
      </c>
      <c r="O67" s="67" t="s">
        <v>63</v>
      </c>
    </row>
    <row r="68" spans="1:29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 t="e">
        <v>#N/A</v>
      </c>
      <c r="I68" s="68" t="e">
        <v>#N/A</v>
      </c>
      <c r="J68" s="68" t="e">
        <v>#N/A</v>
      </c>
      <c r="K68" s="68" t="e">
        <v>#N/A</v>
      </c>
      <c r="L68" s="68" t="e">
        <v>#N/A</v>
      </c>
      <c r="M68" s="68" t="e">
        <v>#N/A</v>
      </c>
      <c r="N68" s="68" t="e">
        <v>#N/A</v>
      </c>
      <c r="O68" s="68" t="e">
        <v>#N/A</v>
      </c>
    </row>
    <row r="69" spans="1:29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 t="e">
        <v>#N/A</v>
      </c>
      <c r="I69" s="68" t="e">
        <v>#N/A</v>
      </c>
      <c r="J69" s="68" t="e">
        <v>#N/A</v>
      </c>
      <c r="K69" s="68" t="e">
        <v>#N/A</v>
      </c>
      <c r="L69" s="68" t="e">
        <v>#N/A</v>
      </c>
      <c r="M69" s="68" t="e">
        <v>#N/A</v>
      </c>
      <c r="N69" s="68" t="e">
        <v>#N/A</v>
      </c>
      <c r="O69" s="68" t="e">
        <v>#N/A</v>
      </c>
    </row>
    <row r="70" spans="1:29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 t="e">
        <v>#N/A</v>
      </c>
      <c r="I70" s="68" t="e">
        <v>#N/A</v>
      </c>
      <c r="J70" s="68" t="e">
        <v>#N/A</v>
      </c>
      <c r="K70" s="68" t="e">
        <v>#N/A</v>
      </c>
      <c r="L70" s="68" t="e">
        <v>#N/A</v>
      </c>
      <c r="M70" s="68" t="e">
        <v>#N/A</v>
      </c>
      <c r="N70" s="68" t="e">
        <v>#N/A</v>
      </c>
      <c r="O70" s="68" t="e">
        <v>#N/A</v>
      </c>
    </row>
    <row r="71" spans="1:29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 t="e">
        <v>#N/A</v>
      </c>
      <c r="I71" s="68" t="e">
        <v>#N/A</v>
      </c>
      <c r="J71" s="68" t="e">
        <v>#N/A</v>
      </c>
      <c r="K71" s="68" t="e">
        <v>#N/A</v>
      </c>
      <c r="L71" s="68" t="e">
        <v>#N/A</v>
      </c>
      <c r="M71" s="68" t="e">
        <v>#N/A</v>
      </c>
      <c r="N71" s="68" t="e">
        <v>#N/A</v>
      </c>
      <c r="O71" s="68" t="e">
        <v>#N/A</v>
      </c>
    </row>
    <row r="73" spans="1:29" ht="22.5" x14ac:dyDescent="0.25">
      <c r="A73" t="s">
        <v>140</v>
      </c>
      <c r="B73" s="8">
        <f>CellCount_Viability!A14</f>
        <v>0</v>
      </c>
      <c r="F73" s="67" t="s">
        <v>73</v>
      </c>
      <c r="G73" s="67" t="s">
        <v>55</v>
      </c>
      <c r="H73" s="67" t="s">
        <v>56</v>
      </c>
      <c r="I73" s="67" t="s">
        <v>57</v>
      </c>
      <c r="J73" s="67" t="s">
        <v>58</v>
      </c>
      <c r="K73" s="67" t="s">
        <v>59</v>
      </c>
      <c r="L73" s="67" t="s">
        <v>60</v>
      </c>
      <c r="M73" s="67" t="s">
        <v>61</v>
      </c>
      <c r="N73" s="67" t="s">
        <v>62</v>
      </c>
      <c r="O73" s="67" t="s">
        <v>63</v>
      </c>
    </row>
    <row r="74" spans="1:29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 t="e">
        <v>#N/A</v>
      </c>
      <c r="I74" s="68" t="e">
        <v>#N/A</v>
      </c>
      <c r="J74" s="68" t="e">
        <v>#N/A</v>
      </c>
      <c r="K74" s="68" t="e">
        <v>#N/A</v>
      </c>
      <c r="L74" s="68" t="e">
        <v>#N/A</v>
      </c>
      <c r="M74" s="68" t="e">
        <v>#N/A</v>
      </c>
      <c r="N74" s="68" t="e">
        <v>#N/A</v>
      </c>
      <c r="O74" s="68" t="e">
        <v>#N/A</v>
      </c>
    </row>
    <row r="75" spans="1:29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 t="e">
        <v>#N/A</v>
      </c>
      <c r="I75" s="68" t="e">
        <v>#N/A</v>
      </c>
      <c r="J75" s="68" t="e">
        <v>#N/A</v>
      </c>
      <c r="K75" s="68" t="e">
        <v>#N/A</v>
      </c>
      <c r="L75" s="68" t="e">
        <v>#N/A</v>
      </c>
      <c r="M75" s="68" t="e">
        <v>#N/A</v>
      </c>
      <c r="N75" s="68" t="e">
        <v>#N/A</v>
      </c>
      <c r="O75" s="68" t="e">
        <v>#N/A</v>
      </c>
    </row>
    <row r="76" spans="1:29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 t="e">
        <v>#N/A</v>
      </c>
      <c r="I76" s="68" t="e">
        <v>#N/A</v>
      </c>
      <c r="J76" s="68" t="e">
        <v>#N/A</v>
      </c>
      <c r="K76" s="68" t="e">
        <v>#N/A</v>
      </c>
      <c r="L76" s="68" t="e">
        <v>#N/A</v>
      </c>
      <c r="M76" s="68" t="e">
        <v>#N/A</v>
      </c>
      <c r="N76" s="68" t="e">
        <v>#N/A</v>
      </c>
      <c r="O76" s="68" t="e">
        <v>#N/A</v>
      </c>
    </row>
    <row r="77" spans="1:29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 t="e">
        <v>#N/A</v>
      </c>
      <c r="I77" s="68" t="e">
        <v>#N/A</v>
      </c>
      <c r="J77" s="68" t="e">
        <v>#N/A</v>
      </c>
      <c r="K77" s="68" t="e">
        <v>#N/A</v>
      </c>
      <c r="L77" s="68" t="e">
        <v>#N/A</v>
      </c>
      <c r="M77" s="68" t="e">
        <v>#N/A</v>
      </c>
      <c r="N77" s="68" t="e">
        <v>#N/A</v>
      </c>
      <c r="O77" s="68" t="e">
        <v>#N/A</v>
      </c>
    </row>
    <row r="79" spans="1:29" ht="22.5" x14ac:dyDescent="0.25">
      <c r="A79" t="s">
        <v>141</v>
      </c>
      <c r="B79" s="8">
        <f>CellCount_Viability!A15</f>
        <v>0</v>
      </c>
      <c r="F79" s="67" t="s">
        <v>73</v>
      </c>
      <c r="G79" s="67" t="s">
        <v>55</v>
      </c>
      <c r="H79" s="67" t="s">
        <v>56</v>
      </c>
      <c r="I79" s="67" t="s">
        <v>57</v>
      </c>
      <c r="J79" s="67" t="s">
        <v>58</v>
      </c>
      <c r="K79" s="67" t="s">
        <v>59</v>
      </c>
      <c r="L79" s="67" t="s">
        <v>60</v>
      </c>
      <c r="M79" s="67" t="s">
        <v>61</v>
      </c>
      <c r="N79" s="67" t="s">
        <v>62</v>
      </c>
      <c r="O79" s="67" t="s">
        <v>63</v>
      </c>
    </row>
    <row r="80" spans="1:29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 t="e">
        <v>#N/A</v>
      </c>
      <c r="I80" s="68" t="e">
        <v>#N/A</v>
      </c>
      <c r="J80" s="68" t="e">
        <v>#N/A</v>
      </c>
      <c r="K80" s="68" t="e">
        <v>#N/A</v>
      </c>
      <c r="L80" s="68" t="e">
        <v>#N/A</v>
      </c>
      <c r="M80" s="68" t="e">
        <v>#N/A</v>
      </c>
      <c r="N80" s="68" t="e">
        <v>#N/A</v>
      </c>
      <c r="O80" s="68" t="e">
        <v>#N/A</v>
      </c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 t="e">
        <v>#N/A</v>
      </c>
      <c r="I81" s="68" t="e">
        <v>#N/A</v>
      </c>
      <c r="J81" s="68" t="e">
        <v>#N/A</v>
      </c>
      <c r="K81" s="68" t="e">
        <v>#N/A</v>
      </c>
      <c r="L81" s="68" t="e">
        <v>#N/A</v>
      </c>
      <c r="M81" s="68" t="e">
        <v>#N/A</v>
      </c>
      <c r="N81" s="68" t="e">
        <v>#N/A</v>
      </c>
      <c r="O81" s="68" t="e">
        <v>#N/A</v>
      </c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 t="e">
        <v>#N/A</v>
      </c>
      <c r="I82" s="68" t="e">
        <v>#N/A</v>
      </c>
      <c r="J82" s="68" t="e">
        <v>#N/A</v>
      </c>
      <c r="K82" s="68" t="e">
        <v>#N/A</v>
      </c>
      <c r="L82" s="68" t="e">
        <v>#N/A</v>
      </c>
      <c r="M82" s="68" t="e">
        <v>#N/A</v>
      </c>
      <c r="N82" s="68" t="e">
        <v>#N/A</v>
      </c>
      <c r="O82" s="68" t="e">
        <v>#N/A</v>
      </c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 t="e">
        <v>#N/A</v>
      </c>
      <c r="I83" s="68" t="e">
        <v>#N/A</v>
      </c>
      <c r="J83" s="68" t="e">
        <v>#N/A</v>
      </c>
      <c r="K83" s="68" t="e">
        <v>#N/A</v>
      </c>
      <c r="L83" s="68" t="e">
        <v>#N/A</v>
      </c>
      <c r="M83" s="68" t="e">
        <v>#N/A</v>
      </c>
      <c r="N83" s="68" t="e">
        <v>#N/A</v>
      </c>
      <c r="O83" s="68" t="e">
        <v>#N/A</v>
      </c>
    </row>
    <row r="85" spans="1:15" ht="22.5" x14ac:dyDescent="0.25">
      <c r="A85" t="s">
        <v>142</v>
      </c>
      <c r="B85" s="8">
        <f>CellCount_Viability!A16</f>
        <v>0</v>
      </c>
      <c r="F85" s="67" t="s">
        <v>73</v>
      </c>
      <c r="G85" s="67" t="s">
        <v>55</v>
      </c>
      <c r="H85" s="67" t="s">
        <v>56</v>
      </c>
      <c r="I85" s="67" t="s">
        <v>57</v>
      </c>
      <c r="J85" s="67" t="s">
        <v>58</v>
      </c>
      <c r="K85" s="67" t="s">
        <v>59</v>
      </c>
      <c r="L85" s="67" t="s">
        <v>60</v>
      </c>
      <c r="M85" s="67" t="s">
        <v>61</v>
      </c>
      <c r="N85" s="67" t="s">
        <v>62</v>
      </c>
      <c r="O85" s="67" t="s">
        <v>63</v>
      </c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 t="e">
        <v>#N/A</v>
      </c>
      <c r="I86" s="68" t="e">
        <v>#N/A</v>
      </c>
      <c r="J86" s="68" t="e">
        <v>#N/A</v>
      </c>
      <c r="K86" s="68" t="e">
        <v>#N/A</v>
      </c>
      <c r="L86" s="68" t="e">
        <v>#N/A</v>
      </c>
      <c r="M86" s="68" t="e">
        <v>#N/A</v>
      </c>
      <c r="N86" s="68" t="e">
        <v>#N/A</v>
      </c>
      <c r="O86" s="68" t="e">
        <v>#N/A</v>
      </c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 t="e">
        <v>#N/A</v>
      </c>
      <c r="I87" s="68" t="e">
        <v>#N/A</v>
      </c>
      <c r="J87" s="68" t="e">
        <v>#N/A</v>
      </c>
      <c r="K87" s="68" t="e">
        <v>#N/A</v>
      </c>
      <c r="L87" s="68" t="e">
        <v>#N/A</v>
      </c>
      <c r="M87" s="68" t="e">
        <v>#N/A</v>
      </c>
      <c r="N87" s="68" t="e">
        <v>#N/A</v>
      </c>
      <c r="O87" s="68" t="e">
        <v>#N/A</v>
      </c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 t="e">
        <v>#N/A</v>
      </c>
      <c r="I88" s="68" t="e">
        <v>#N/A</v>
      </c>
      <c r="J88" s="68" t="e">
        <v>#N/A</v>
      </c>
      <c r="K88" s="68" t="e">
        <v>#N/A</v>
      </c>
      <c r="L88" s="68" t="e">
        <v>#N/A</v>
      </c>
      <c r="M88" s="68" t="e">
        <v>#N/A</v>
      </c>
      <c r="N88" s="68" t="e">
        <v>#N/A</v>
      </c>
      <c r="O88" s="68" t="e">
        <v>#N/A</v>
      </c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 t="e">
        <v>#N/A</v>
      </c>
      <c r="I89" s="68" t="e">
        <v>#N/A</v>
      </c>
      <c r="J89" s="68" t="e">
        <v>#N/A</v>
      </c>
      <c r="K89" s="68" t="e">
        <v>#N/A</v>
      </c>
      <c r="L89" s="68" t="e">
        <v>#N/A</v>
      </c>
      <c r="M89" s="68" t="e">
        <v>#N/A</v>
      </c>
      <c r="N89" s="68" t="e">
        <v>#N/A</v>
      </c>
      <c r="O89" s="68" t="e">
        <v>#N/A</v>
      </c>
    </row>
    <row r="91" spans="1:15" ht="22.5" x14ac:dyDescent="0.25">
      <c r="A91" t="s">
        <v>143</v>
      </c>
      <c r="B91" s="8">
        <f>CellCount_Viability!A17</f>
        <v>0</v>
      </c>
      <c r="F91" s="67" t="s">
        <v>73</v>
      </c>
      <c r="G91" s="67" t="s">
        <v>55</v>
      </c>
      <c r="H91" s="67" t="s">
        <v>56</v>
      </c>
      <c r="I91" s="67" t="s">
        <v>57</v>
      </c>
      <c r="J91" s="67" t="s">
        <v>58</v>
      </c>
      <c r="K91" s="67" t="s">
        <v>59</v>
      </c>
      <c r="L91" s="67" t="s">
        <v>60</v>
      </c>
      <c r="M91" s="67" t="s">
        <v>61</v>
      </c>
      <c r="N91" s="67" t="s">
        <v>62</v>
      </c>
      <c r="O91" s="67" t="s">
        <v>63</v>
      </c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 t="e">
        <v>#N/A</v>
      </c>
      <c r="I92" s="68" t="e">
        <v>#N/A</v>
      </c>
      <c r="J92" s="68" t="e">
        <v>#N/A</v>
      </c>
      <c r="K92" s="68" t="e">
        <v>#N/A</v>
      </c>
      <c r="L92" s="68" t="e">
        <v>#N/A</v>
      </c>
      <c r="M92" s="68" t="e">
        <v>#N/A</v>
      </c>
      <c r="N92" s="68" t="e">
        <v>#N/A</v>
      </c>
      <c r="O92" s="68" t="e">
        <v>#N/A</v>
      </c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 t="e">
        <v>#N/A</v>
      </c>
      <c r="I93" s="68" t="e">
        <v>#N/A</v>
      </c>
      <c r="J93" s="68" t="e">
        <v>#N/A</v>
      </c>
      <c r="K93" s="68" t="e">
        <v>#N/A</v>
      </c>
      <c r="L93" s="68" t="e">
        <v>#N/A</v>
      </c>
      <c r="M93" s="68" t="e">
        <v>#N/A</v>
      </c>
      <c r="N93" s="68" t="e">
        <v>#N/A</v>
      </c>
      <c r="O93" s="68" t="e">
        <v>#N/A</v>
      </c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 t="e">
        <v>#N/A</v>
      </c>
      <c r="I94" s="68" t="e">
        <v>#N/A</v>
      </c>
      <c r="J94" s="68" t="e">
        <v>#N/A</v>
      </c>
      <c r="K94" s="68" t="e">
        <v>#N/A</v>
      </c>
      <c r="L94" s="68" t="e">
        <v>#N/A</v>
      </c>
      <c r="M94" s="68" t="e">
        <v>#N/A</v>
      </c>
      <c r="N94" s="68" t="e">
        <v>#N/A</v>
      </c>
      <c r="O94" s="68" t="e">
        <v>#N/A</v>
      </c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 t="e">
        <v>#N/A</v>
      </c>
      <c r="I95" s="68" t="e">
        <v>#N/A</v>
      </c>
      <c r="J95" s="68" t="e">
        <v>#N/A</v>
      </c>
      <c r="K95" s="68" t="e">
        <v>#N/A</v>
      </c>
      <c r="L95" s="68" t="e">
        <v>#N/A</v>
      </c>
      <c r="M95" s="68" t="e">
        <v>#N/A</v>
      </c>
      <c r="N95" s="68" t="e">
        <v>#N/A</v>
      </c>
      <c r="O95" s="68" t="e">
        <v>#N/A</v>
      </c>
    </row>
    <row r="97" spans="1:15" ht="22.5" x14ac:dyDescent="0.25">
      <c r="A97" t="s">
        <v>144</v>
      </c>
      <c r="B97" s="8">
        <f>CellCount_Viability!A18</f>
        <v>0</v>
      </c>
      <c r="F97" s="67" t="s">
        <v>73</v>
      </c>
      <c r="G97" s="67" t="s">
        <v>55</v>
      </c>
      <c r="H97" s="67" t="s">
        <v>56</v>
      </c>
      <c r="I97" s="67" t="s">
        <v>57</v>
      </c>
      <c r="J97" s="67" t="s">
        <v>58</v>
      </c>
      <c r="K97" s="67" t="s">
        <v>59</v>
      </c>
      <c r="L97" s="67" t="s">
        <v>60</v>
      </c>
      <c r="M97" s="67" t="s">
        <v>61</v>
      </c>
      <c r="N97" s="67" t="s">
        <v>62</v>
      </c>
      <c r="O97" s="67" t="s">
        <v>63</v>
      </c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 t="e">
        <v>#N/A</v>
      </c>
      <c r="I98" s="68" t="e">
        <v>#N/A</v>
      </c>
      <c r="J98" s="68" t="e">
        <v>#N/A</v>
      </c>
      <c r="K98" s="68" t="e">
        <v>#N/A</v>
      </c>
      <c r="L98" s="68" t="e">
        <v>#N/A</v>
      </c>
      <c r="M98" s="68" t="e">
        <v>#N/A</v>
      </c>
      <c r="N98" s="68" t="e">
        <v>#N/A</v>
      </c>
      <c r="O98" s="68" t="e">
        <v>#N/A</v>
      </c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 t="e">
        <v>#N/A</v>
      </c>
      <c r="I99" s="68" t="e">
        <v>#N/A</v>
      </c>
      <c r="J99" s="68" t="e">
        <v>#N/A</v>
      </c>
      <c r="K99" s="68" t="e">
        <v>#N/A</v>
      </c>
      <c r="L99" s="68" t="e">
        <v>#N/A</v>
      </c>
      <c r="M99" s="68" t="e">
        <v>#N/A</v>
      </c>
      <c r="N99" s="68" t="e">
        <v>#N/A</v>
      </c>
      <c r="O99" s="68" t="e">
        <v>#N/A</v>
      </c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 t="e">
        <v>#N/A</v>
      </c>
      <c r="I100" s="68" t="e">
        <v>#N/A</v>
      </c>
      <c r="J100" s="68" t="e">
        <v>#N/A</v>
      </c>
      <c r="K100" s="68" t="e">
        <v>#N/A</v>
      </c>
      <c r="L100" s="68" t="e">
        <v>#N/A</v>
      </c>
      <c r="M100" s="68" t="e">
        <v>#N/A</v>
      </c>
      <c r="N100" s="68" t="e">
        <v>#N/A</v>
      </c>
      <c r="O100" s="68" t="e">
        <v>#N/A</v>
      </c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 t="e">
        <v>#N/A</v>
      </c>
      <c r="I101" s="68" t="e">
        <v>#N/A</v>
      </c>
      <c r="J101" s="68" t="e">
        <v>#N/A</v>
      </c>
      <c r="K101" s="68" t="e">
        <v>#N/A</v>
      </c>
      <c r="L101" s="68" t="e">
        <v>#N/A</v>
      </c>
      <c r="M101" s="68" t="e">
        <v>#N/A</v>
      </c>
      <c r="N101" s="68" t="e">
        <v>#N/A</v>
      </c>
      <c r="O101" s="68" t="e">
        <v>#N/A</v>
      </c>
    </row>
    <row r="103" spans="1:15" ht="22.5" x14ac:dyDescent="0.25">
      <c r="A103" t="s">
        <v>145</v>
      </c>
      <c r="B103" s="8">
        <f>CellCount_Viability!A19</f>
        <v>0</v>
      </c>
      <c r="F103" s="67" t="s">
        <v>73</v>
      </c>
      <c r="G103" s="67" t="s">
        <v>55</v>
      </c>
      <c r="H103" s="67" t="s">
        <v>56</v>
      </c>
      <c r="I103" s="67" t="s">
        <v>57</v>
      </c>
      <c r="J103" s="67" t="s">
        <v>58</v>
      </c>
      <c r="K103" s="67" t="s">
        <v>59</v>
      </c>
      <c r="L103" s="67" t="s">
        <v>60</v>
      </c>
      <c r="M103" s="67" t="s">
        <v>61</v>
      </c>
      <c r="N103" s="67" t="s">
        <v>62</v>
      </c>
      <c r="O103" s="67" t="s">
        <v>63</v>
      </c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 t="e">
        <v>#N/A</v>
      </c>
      <c r="I104" s="68" t="e">
        <v>#N/A</v>
      </c>
      <c r="J104" s="68" t="e">
        <v>#N/A</v>
      </c>
      <c r="K104" s="68" t="e">
        <v>#N/A</v>
      </c>
      <c r="L104" s="68" t="e">
        <v>#N/A</v>
      </c>
      <c r="M104" s="68" t="e">
        <v>#N/A</v>
      </c>
      <c r="N104" s="68" t="e">
        <v>#N/A</v>
      </c>
      <c r="O104" s="68" t="e">
        <v>#N/A</v>
      </c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 t="e">
        <v>#N/A</v>
      </c>
      <c r="I105" s="68" t="e">
        <v>#N/A</v>
      </c>
      <c r="J105" s="68" t="e">
        <v>#N/A</v>
      </c>
      <c r="K105" s="68" t="e">
        <v>#N/A</v>
      </c>
      <c r="L105" s="68" t="e">
        <v>#N/A</v>
      </c>
      <c r="M105" s="68" t="e">
        <v>#N/A</v>
      </c>
      <c r="N105" s="68" t="e">
        <v>#N/A</v>
      </c>
      <c r="O105" s="68" t="e">
        <v>#N/A</v>
      </c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 t="e">
        <v>#N/A</v>
      </c>
      <c r="I106" s="68" t="e">
        <v>#N/A</v>
      </c>
      <c r="J106" s="68" t="e">
        <v>#N/A</v>
      </c>
      <c r="K106" s="68" t="e">
        <v>#N/A</v>
      </c>
      <c r="L106" s="68" t="e">
        <v>#N/A</v>
      </c>
      <c r="M106" s="68" t="e">
        <v>#N/A</v>
      </c>
      <c r="N106" s="68" t="e">
        <v>#N/A</v>
      </c>
      <c r="O106" s="68" t="e">
        <v>#N/A</v>
      </c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 t="e">
        <v>#N/A</v>
      </c>
      <c r="I107" s="68" t="e">
        <v>#N/A</v>
      </c>
      <c r="J107" s="68" t="e">
        <v>#N/A</v>
      </c>
      <c r="K107" s="68" t="e">
        <v>#N/A</v>
      </c>
      <c r="L107" s="68" t="e">
        <v>#N/A</v>
      </c>
      <c r="M107" s="68" t="e">
        <v>#N/A</v>
      </c>
      <c r="N107" s="68" t="e">
        <v>#N/A</v>
      </c>
      <c r="O107" s="68" t="e">
        <v>#N/A</v>
      </c>
    </row>
    <row r="109" spans="1:15" ht="22.5" x14ac:dyDescent="0.25">
      <c r="A109" t="s">
        <v>146</v>
      </c>
      <c r="B109" s="8">
        <f>CellCount_Viability!A20</f>
        <v>0</v>
      </c>
      <c r="F109" s="67" t="s">
        <v>73</v>
      </c>
      <c r="G109" s="67" t="s">
        <v>55</v>
      </c>
      <c r="H109" s="67" t="s">
        <v>56</v>
      </c>
      <c r="I109" s="67" t="s">
        <v>57</v>
      </c>
      <c r="J109" s="67" t="s">
        <v>58</v>
      </c>
      <c r="K109" s="67" t="s">
        <v>59</v>
      </c>
      <c r="L109" s="67" t="s">
        <v>60</v>
      </c>
      <c r="M109" s="67" t="s">
        <v>61</v>
      </c>
      <c r="N109" s="67" t="s">
        <v>62</v>
      </c>
      <c r="O109" s="67" t="s">
        <v>63</v>
      </c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 t="e">
        <v>#N/A</v>
      </c>
      <c r="I110" s="68" t="e">
        <v>#N/A</v>
      </c>
      <c r="J110" s="68" t="e">
        <v>#N/A</v>
      </c>
      <c r="K110" s="68" t="e">
        <v>#N/A</v>
      </c>
      <c r="L110" s="68" t="e">
        <v>#N/A</v>
      </c>
      <c r="M110" s="68" t="e">
        <v>#N/A</v>
      </c>
      <c r="N110" s="68" t="e">
        <v>#N/A</v>
      </c>
      <c r="O110" s="68" t="e">
        <v>#N/A</v>
      </c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 t="e">
        <v>#N/A</v>
      </c>
      <c r="I111" s="68" t="e">
        <v>#N/A</v>
      </c>
      <c r="J111" s="68" t="e">
        <v>#N/A</v>
      </c>
      <c r="K111" s="68" t="e">
        <v>#N/A</v>
      </c>
      <c r="L111" s="68" t="e">
        <v>#N/A</v>
      </c>
      <c r="M111" s="68" t="e">
        <v>#N/A</v>
      </c>
      <c r="N111" s="68" t="e">
        <v>#N/A</v>
      </c>
      <c r="O111" s="68" t="e">
        <v>#N/A</v>
      </c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 t="e">
        <v>#N/A</v>
      </c>
      <c r="I112" s="68" t="e">
        <v>#N/A</v>
      </c>
      <c r="J112" s="68" t="e">
        <v>#N/A</v>
      </c>
      <c r="K112" s="68" t="e">
        <v>#N/A</v>
      </c>
      <c r="L112" s="68" t="e">
        <v>#N/A</v>
      </c>
      <c r="M112" s="68" t="e">
        <v>#N/A</v>
      </c>
      <c r="N112" s="68" t="e">
        <v>#N/A</v>
      </c>
      <c r="O112" s="68" t="e">
        <v>#N/A</v>
      </c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 t="e">
        <v>#N/A</v>
      </c>
      <c r="I113" s="68" t="e">
        <v>#N/A</v>
      </c>
      <c r="J113" s="68" t="e">
        <v>#N/A</v>
      </c>
      <c r="K113" s="68" t="e">
        <v>#N/A</v>
      </c>
      <c r="L113" s="68" t="e">
        <v>#N/A</v>
      </c>
      <c r="M113" s="68" t="e">
        <v>#N/A</v>
      </c>
      <c r="N113" s="68" t="e">
        <v>#N/A</v>
      </c>
      <c r="O113" s="68" t="e">
        <v>#N/A</v>
      </c>
    </row>
    <row r="115" spans="1:15" ht="22.5" x14ac:dyDescent="0.25">
      <c r="A115" t="s">
        <v>147</v>
      </c>
      <c r="B115" s="8">
        <f>CellCount_Viability!A21</f>
        <v>0</v>
      </c>
      <c r="F115" s="67" t="s">
        <v>73</v>
      </c>
      <c r="G115" s="67" t="s">
        <v>55</v>
      </c>
      <c r="H115" s="67" t="s">
        <v>56</v>
      </c>
      <c r="I115" s="67" t="s">
        <v>57</v>
      </c>
      <c r="J115" s="67" t="s">
        <v>58</v>
      </c>
      <c r="K115" s="67" t="s">
        <v>59</v>
      </c>
      <c r="L115" s="67" t="s">
        <v>60</v>
      </c>
      <c r="M115" s="67" t="s">
        <v>61</v>
      </c>
      <c r="N115" s="67" t="s">
        <v>62</v>
      </c>
      <c r="O115" s="67" t="s">
        <v>63</v>
      </c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 t="e">
        <v>#N/A</v>
      </c>
      <c r="I116" s="68" t="e">
        <v>#N/A</v>
      </c>
      <c r="J116" s="68" t="e">
        <v>#N/A</v>
      </c>
      <c r="K116" s="68" t="e">
        <v>#N/A</v>
      </c>
      <c r="L116" s="68" t="e">
        <v>#N/A</v>
      </c>
      <c r="M116" s="68" t="e">
        <v>#N/A</v>
      </c>
      <c r="N116" s="68" t="e">
        <v>#N/A</v>
      </c>
      <c r="O116" s="68" t="e">
        <v>#N/A</v>
      </c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 t="e">
        <v>#N/A</v>
      </c>
      <c r="I117" s="68" t="e">
        <v>#N/A</v>
      </c>
      <c r="J117" s="68" t="e">
        <v>#N/A</v>
      </c>
      <c r="K117" s="68" t="e">
        <v>#N/A</v>
      </c>
      <c r="L117" s="68" t="e">
        <v>#N/A</v>
      </c>
      <c r="M117" s="68" t="e">
        <v>#N/A</v>
      </c>
      <c r="N117" s="68" t="e">
        <v>#N/A</v>
      </c>
      <c r="O117" s="68" t="e">
        <v>#N/A</v>
      </c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 t="e">
        <v>#N/A</v>
      </c>
      <c r="I118" s="68" t="e">
        <v>#N/A</v>
      </c>
      <c r="J118" s="68" t="e">
        <v>#N/A</v>
      </c>
      <c r="K118" s="68" t="e">
        <v>#N/A</v>
      </c>
      <c r="L118" s="68" t="e">
        <v>#N/A</v>
      </c>
      <c r="M118" s="68" t="e">
        <v>#N/A</v>
      </c>
      <c r="N118" s="68" t="e">
        <v>#N/A</v>
      </c>
      <c r="O118" s="68" t="e">
        <v>#N/A</v>
      </c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 t="e">
        <v>#N/A</v>
      </c>
      <c r="I119" s="68" t="e">
        <v>#N/A</v>
      </c>
      <c r="J119" s="68" t="e">
        <v>#N/A</v>
      </c>
      <c r="K119" s="68" t="e">
        <v>#N/A</v>
      </c>
      <c r="L119" s="68" t="e">
        <v>#N/A</v>
      </c>
      <c r="M119" s="68" t="e">
        <v>#N/A</v>
      </c>
      <c r="N119" s="68" t="e">
        <v>#N/A</v>
      </c>
      <c r="O119" s="68" t="e">
        <v>#N/A</v>
      </c>
    </row>
  </sheetData>
  <mergeCells count="162">
    <mergeCell ref="A5:B5"/>
    <mergeCell ref="C5:D5"/>
    <mergeCell ref="A6:B6"/>
    <mergeCell ref="C6:D6"/>
    <mergeCell ref="A2:B2"/>
    <mergeCell ref="C2:D2"/>
    <mergeCell ref="A3:B3"/>
    <mergeCell ref="C3:D3"/>
    <mergeCell ref="A4:B4"/>
    <mergeCell ref="C4:D4"/>
    <mergeCell ref="A11:B11"/>
    <mergeCell ref="C11:D11"/>
    <mergeCell ref="A14:B14"/>
    <mergeCell ref="C14:D14"/>
    <mergeCell ref="A15:B15"/>
    <mergeCell ref="C15:D15"/>
    <mergeCell ref="A8:B8"/>
    <mergeCell ref="C8:D8"/>
    <mergeCell ref="A9:B9"/>
    <mergeCell ref="C9:D9"/>
    <mergeCell ref="A10:B10"/>
    <mergeCell ref="C10:D10"/>
    <mergeCell ref="A21:B21"/>
    <mergeCell ref="C21:D21"/>
    <mergeCell ref="A22:B22"/>
    <mergeCell ref="C22:D22"/>
    <mergeCell ref="A23:B23"/>
    <mergeCell ref="C23:D23"/>
    <mergeCell ref="A16:B16"/>
    <mergeCell ref="C16:D16"/>
    <mergeCell ref="A17:B17"/>
    <mergeCell ref="C17:D17"/>
    <mergeCell ref="A20:B20"/>
    <mergeCell ref="C20:D20"/>
    <mergeCell ref="A29:B29"/>
    <mergeCell ref="C29:D29"/>
    <mergeCell ref="A32:B32"/>
    <mergeCell ref="C32:D32"/>
    <mergeCell ref="A33:B33"/>
    <mergeCell ref="C33:D33"/>
    <mergeCell ref="A26:B26"/>
    <mergeCell ref="C26:D26"/>
    <mergeCell ref="A27:B27"/>
    <mergeCell ref="C27:D27"/>
    <mergeCell ref="A28:B28"/>
    <mergeCell ref="C28:D28"/>
    <mergeCell ref="A39:B39"/>
    <mergeCell ref="C39:D39"/>
    <mergeCell ref="A40:B40"/>
    <mergeCell ref="C40:D40"/>
    <mergeCell ref="A41:B41"/>
    <mergeCell ref="C41:D41"/>
    <mergeCell ref="A34:B34"/>
    <mergeCell ref="C34:D34"/>
    <mergeCell ref="A35:B35"/>
    <mergeCell ref="C35:D35"/>
    <mergeCell ref="A38:B38"/>
    <mergeCell ref="C38:D38"/>
    <mergeCell ref="A47:B47"/>
    <mergeCell ref="C47:D47"/>
    <mergeCell ref="A50:B50"/>
    <mergeCell ref="C50:D50"/>
    <mergeCell ref="A51:B51"/>
    <mergeCell ref="C51:D51"/>
    <mergeCell ref="A44:B44"/>
    <mergeCell ref="C44:D44"/>
    <mergeCell ref="A45:B45"/>
    <mergeCell ref="C45:D45"/>
    <mergeCell ref="A46:B46"/>
    <mergeCell ref="C46:D46"/>
    <mergeCell ref="A56:B56"/>
    <mergeCell ref="C56:D56"/>
    <mergeCell ref="A57:B57"/>
    <mergeCell ref="C57:D57"/>
    <mergeCell ref="A58:B58"/>
    <mergeCell ref="C58:D58"/>
    <mergeCell ref="A52:B52"/>
    <mergeCell ref="C52:D52"/>
    <mergeCell ref="A53:B53"/>
    <mergeCell ref="C53:D53"/>
    <mergeCell ref="A64:B64"/>
    <mergeCell ref="C64:D64"/>
    <mergeCell ref="A65:B65"/>
    <mergeCell ref="C65:D65"/>
    <mergeCell ref="A68:B68"/>
    <mergeCell ref="C68:D68"/>
    <mergeCell ref="A59:B59"/>
    <mergeCell ref="C59:D59"/>
    <mergeCell ref="A62:B62"/>
    <mergeCell ref="C62:D62"/>
    <mergeCell ref="A63:B63"/>
    <mergeCell ref="C63:D63"/>
    <mergeCell ref="A74:B74"/>
    <mergeCell ref="C74:D74"/>
    <mergeCell ref="A75:B75"/>
    <mergeCell ref="C75:D75"/>
    <mergeCell ref="A76:B76"/>
    <mergeCell ref="C76:D76"/>
    <mergeCell ref="A69:B69"/>
    <mergeCell ref="C69:D69"/>
    <mergeCell ref="A70:B70"/>
    <mergeCell ref="C70:D70"/>
    <mergeCell ref="A71:B71"/>
    <mergeCell ref="C71:D71"/>
    <mergeCell ref="A82:B82"/>
    <mergeCell ref="C82:D82"/>
    <mergeCell ref="A83:B83"/>
    <mergeCell ref="C83:D83"/>
    <mergeCell ref="A86:B86"/>
    <mergeCell ref="C86:D86"/>
    <mergeCell ref="A77:B77"/>
    <mergeCell ref="C77:D77"/>
    <mergeCell ref="A80:B80"/>
    <mergeCell ref="C80:D80"/>
    <mergeCell ref="A81:B81"/>
    <mergeCell ref="C81:D81"/>
    <mergeCell ref="A92:B92"/>
    <mergeCell ref="C92:D92"/>
    <mergeCell ref="A93:B93"/>
    <mergeCell ref="C93:D93"/>
    <mergeCell ref="A94:B94"/>
    <mergeCell ref="C94:D94"/>
    <mergeCell ref="A87:B87"/>
    <mergeCell ref="C87:D87"/>
    <mergeCell ref="A88:B88"/>
    <mergeCell ref="C88:D88"/>
    <mergeCell ref="A89:B89"/>
    <mergeCell ref="C89:D89"/>
    <mergeCell ref="A100:B100"/>
    <mergeCell ref="C100:D100"/>
    <mergeCell ref="A101:B101"/>
    <mergeCell ref="C101:D101"/>
    <mergeCell ref="A104:B104"/>
    <mergeCell ref="C104:D104"/>
    <mergeCell ref="A95:B95"/>
    <mergeCell ref="C95:D95"/>
    <mergeCell ref="A98:B98"/>
    <mergeCell ref="C98:D98"/>
    <mergeCell ref="A99:B99"/>
    <mergeCell ref="C99:D99"/>
    <mergeCell ref="A110:B110"/>
    <mergeCell ref="C110:D110"/>
    <mergeCell ref="A111:B111"/>
    <mergeCell ref="C111:D111"/>
    <mergeCell ref="A112:B112"/>
    <mergeCell ref="C112:D112"/>
    <mergeCell ref="A105:B105"/>
    <mergeCell ref="C105:D105"/>
    <mergeCell ref="A106:B106"/>
    <mergeCell ref="C106:D106"/>
    <mergeCell ref="A107:B107"/>
    <mergeCell ref="C107:D107"/>
    <mergeCell ref="A118:B118"/>
    <mergeCell ref="C118:D118"/>
    <mergeCell ref="A119:B119"/>
    <mergeCell ref="C119:D119"/>
    <mergeCell ref="A113:B113"/>
    <mergeCell ref="C113:D113"/>
    <mergeCell ref="A116:B116"/>
    <mergeCell ref="C116:D116"/>
    <mergeCell ref="A117:B117"/>
    <mergeCell ref="C117:D1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F236-FC3B-409C-8F31-23EC54C3DDAA}">
  <sheetPr codeName="Sheet9"/>
  <dimension ref="A1:O119"/>
  <sheetViews>
    <sheetView topLeftCell="A41" workbookViewId="0">
      <selection activeCell="F56" sqref="F56:O59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15" ht="33.6" customHeight="1" x14ac:dyDescent="0.25">
      <c r="A1" t="s">
        <v>54</v>
      </c>
      <c r="B1" s="8">
        <f>CellCount_Viability!A2</f>
        <v>46268</v>
      </c>
      <c r="F1" s="67" t="s">
        <v>148</v>
      </c>
      <c r="G1" s="67" t="s">
        <v>63</v>
      </c>
      <c r="H1" s="67" t="s">
        <v>149</v>
      </c>
      <c r="I1" s="67" t="s">
        <v>150</v>
      </c>
      <c r="J1" s="67" t="s">
        <v>151</v>
      </c>
      <c r="K1" s="67" t="s">
        <v>152</v>
      </c>
      <c r="L1" s="67" t="s">
        <v>153</v>
      </c>
      <c r="M1" s="67" t="s">
        <v>154</v>
      </c>
      <c r="N1" s="67" t="s">
        <v>155</v>
      </c>
      <c r="O1" s="67" t="s">
        <v>156</v>
      </c>
    </row>
    <row r="2" spans="1:15" ht="9.1999999999999993" customHeight="1" x14ac:dyDescent="0.25">
      <c r="A2" s="104" t="s">
        <v>82</v>
      </c>
      <c r="B2" s="105"/>
      <c r="C2" s="104" t="s">
        <v>157</v>
      </c>
      <c r="D2" s="105"/>
      <c r="E2" s="67" t="s">
        <v>66</v>
      </c>
      <c r="F2" s="68">
        <v>0</v>
      </c>
      <c r="G2" s="68">
        <v>0</v>
      </c>
      <c r="H2" s="68">
        <v>0</v>
      </c>
      <c r="I2" s="68">
        <v>0</v>
      </c>
      <c r="J2" s="68">
        <v>0.49</v>
      </c>
      <c r="K2" s="68">
        <v>0</v>
      </c>
      <c r="L2" s="68">
        <v>3.58</v>
      </c>
      <c r="M2" s="68">
        <v>0</v>
      </c>
      <c r="N2" s="68">
        <v>0</v>
      </c>
      <c r="O2" s="68">
        <v>0</v>
      </c>
    </row>
    <row r="3" spans="1:15" ht="9.1999999999999993" customHeight="1" x14ac:dyDescent="0.25">
      <c r="A3" s="104" t="s">
        <v>84</v>
      </c>
      <c r="B3" s="105"/>
      <c r="C3" s="104" t="s">
        <v>158</v>
      </c>
      <c r="D3" s="105"/>
      <c r="E3" s="67" t="s">
        <v>66</v>
      </c>
      <c r="F3" s="68">
        <v>0.14000000000000001</v>
      </c>
      <c r="G3" s="68">
        <v>0</v>
      </c>
      <c r="H3" s="68">
        <v>0</v>
      </c>
      <c r="I3" s="68">
        <v>0</v>
      </c>
      <c r="J3" s="68">
        <v>0.48</v>
      </c>
      <c r="K3" s="68">
        <v>0</v>
      </c>
      <c r="L3" s="68">
        <v>3.46</v>
      </c>
      <c r="M3" s="68">
        <v>0</v>
      </c>
      <c r="N3" s="68">
        <v>0</v>
      </c>
      <c r="O3" s="68">
        <v>0</v>
      </c>
    </row>
    <row r="4" spans="1:15" ht="9.1999999999999993" customHeight="1" x14ac:dyDescent="0.25">
      <c r="A4" s="104" t="s">
        <v>86</v>
      </c>
      <c r="B4" s="105"/>
      <c r="C4" s="104" t="s">
        <v>159</v>
      </c>
      <c r="D4" s="105"/>
      <c r="E4" s="67" t="s">
        <v>66</v>
      </c>
      <c r="F4" s="68">
        <v>0</v>
      </c>
      <c r="G4" s="68">
        <v>0</v>
      </c>
      <c r="H4" s="68">
        <v>0</v>
      </c>
      <c r="I4" s="68">
        <v>0</v>
      </c>
      <c r="J4" s="68">
        <v>0.51</v>
      </c>
      <c r="K4" s="68">
        <v>0</v>
      </c>
      <c r="L4" s="68">
        <v>3.65</v>
      </c>
      <c r="M4" s="68">
        <v>0</v>
      </c>
      <c r="N4" s="68">
        <v>0</v>
      </c>
      <c r="O4" s="68">
        <v>0</v>
      </c>
    </row>
    <row r="5" spans="1:15" ht="9.1999999999999993" customHeight="1" x14ac:dyDescent="0.25">
      <c r="A5" s="104" t="s">
        <v>88</v>
      </c>
      <c r="B5" s="105"/>
      <c r="C5" s="104" t="s">
        <v>160</v>
      </c>
      <c r="D5" s="105"/>
      <c r="E5" s="67" t="s">
        <v>66</v>
      </c>
      <c r="F5" s="68">
        <v>0</v>
      </c>
      <c r="G5" s="68">
        <v>0</v>
      </c>
      <c r="H5" s="68">
        <v>0</v>
      </c>
      <c r="I5" s="68">
        <v>0</v>
      </c>
      <c r="J5" s="68">
        <v>0.47</v>
      </c>
      <c r="K5" s="68">
        <v>0</v>
      </c>
      <c r="L5" s="68">
        <v>3.64</v>
      </c>
      <c r="M5" s="68">
        <v>0</v>
      </c>
      <c r="N5" s="68">
        <v>0</v>
      </c>
      <c r="O5" s="68">
        <v>0</v>
      </c>
    </row>
    <row r="6" spans="1:15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ht="22.5" x14ac:dyDescent="0.25">
      <c r="A7" t="s">
        <v>74</v>
      </c>
      <c r="B7" s="8">
        <f>CellCount_Viability!A3</f>
        <v>46269</v>
      </c>
      <c r="F7" s="67" t="s">
        <v>148</v>
      </c>
      <c r="G7" s="67" t="s">
        <v>63</v>
      </c>
      <c r="H7" s="67" t="s">
        <v>149</v>
      </c>
      <c r="I7" s="67" t="s">
        <v>150</v>
      </c>
      <c r="J7" s="67" t="s">
        <v>151</v>
      </c>
      <c r="K7" s="67" t="s">
        <v>152</v>
      </c>
      <c r="L7" s="67" t="s">
        <v>153</v>
      </c>
      <c r="M7" s="67" t="s">
        <v>154</v>
      </c>
      <c r="N7" s="67" t="s">
        <v>155</v>
      </c>
      <c r="O7" s="67" t="s">
        <v>156</v>
      </c>
    </row>
    <row r="8" spans="1:15" ht="9.1999999999999993" customHeight="1" x14ac:dyDescent="0.25">
      <c r="A8" s="104" t="s">
        <v>82</v>
      </c>
      <c r="B8" s="105"/>
      <c r="C8" s="104" t="s">
        <v>157</v>
      </c>
      <c r="D8" s="105"/>
      <c r="E8" s="67" t="s">
        <v>66</v>
      </c>
      <c r="F8" s="68">
        <v>0.52</v>
      </c>
      <c r="G8" s="68">
        <v>0</v>
      </c>
      <c r="H8" s="68">
        <v>0</v>
      </c>
      <c r="I8" s="68">
        <v>0.13</v>
      </c>
      <c r="J8" s="68">
        <v>2.09</v>
      </c>
      <c r="K8" s="68">
        <v>0.05</v>
      </c>
      <c r="L8" s="68">
        <v>20.37</v>
      </c>
      <c r="M8" s="68">
        <v>0</v>
      </c>
      <c r="N8" s="68">
        <v>0</v>
      </c>
      <c r="O8" s="68">
        <v>0</v>
      </c>
    </row>
    <row r="9" spans="1:15" ht="9.1999999999999993" customHeight="1" x14ac:dyDescent="0.25">
      <c r="A9" s="104" t="s">
        <v>84</v>
      </c>
      <c r="B9" s="105"/>
      <c r="C9" s="104" t="s">
        <v>158</v>
      </c>
      <c r="D9" s="105"/>
      <c r="E9" s="67" t="s">
        <v>66</v>
      </c>
      <c r="F9" s="68">
        <v>0.49</v>
      </c>
      <c r="G9" s="68">
        <v>0</v>
      </c>
      <c r="H9" s="68">
        <v>0</v>
      </c>
      <c r="I9" s="68">
        <v>0.14000000000000001</v>
      </c>
      <c r="J9" s="68">
        <v>2.2400000000000002</v>
      </c>
      <c r="K9" s="68">
        <v>0.09</v>
      </c>
      <c r="L9" s="68">
        <v>21.61</v>
      </c>
      <c r="M9" s="68">
        <v>0</v>
      </c>
      <c r="N9" s="68">
        <v>0</v>
      </c>
      <c r="O9" s="68">
        <v>0</v>
      </c>
    </row>
    <row r="10" spans="1:15" ht="9.1999999999999993" customHeight="1" x14ac:dyDescent="0.25">
      <c r="A10" s="104" t="s">
        <v>86</v>
      </c>
      <c r="B10" s="105"/>
      <c r="C10" s="104" t="s">
        <v>159</v>
      </c>
      <c r="D10" s="105"/>
      <c r="E10" s="67" t="s">
        <v>66</v>
      </c>
      <c r="F10" s="68">
        <v>0.47</v>
      </c>
      <c r="G10" s="68">
        <v>0</v>
      </c>
      <c r="H10" s="68">
        <v>0</v>
      </c>
      <c r="I10" s="68">
        <v>0.13</v>
      </c>
      <c r="J10" s="68">
        <v>1.98</v>
      </c>
      <c r="K10" s="68">
        <v>0.06</v>
      </c>
      <c r="L10" s="68">
        <v>19.38</v>
      </c>
      <c r="M10" s="68">
        <v>0</v>
      </c>
      <c r="N10" s="68">
        <v>0</v>
      </c>
      <c r="O10" s="68">
        <v>0</v>
      </c>
    </row>
    <row r="11" spans="1:15" ht="9.1999999999999993" customHeight="1" x14ac:dyDescent="0.25">
      <c r="A11" s="104" t="s">
        <v>88</v>
      </c>
      <c r="B11" s="105"/>
      <c r="C11" s="104" t="s">
        <v>160</v>
      </c>
      <c r="D11" s="105"/>
      <c r="E11" s="67" t="s">
        <v>66</v>
      </c>
      <c r="F11" s="68">
        <v>0.47</v>
      </c>
      <c r="G11" s="68">
        <v>0</v>
      </c>
      <c r="H11" s="68">
        <v>0</v>
      </c>
      <c r="I11" s="68">
        <v>0.13</v>
      </c>
      <c r="J11" s="68">
        <v>1.98</v>
      </c>
      <c r="K11" s="68">
        <v>0.06</v>
      </c>
      <c r="L11" s="68">
        <v>19.38</v>
      </c>
      <c r="M11" s="68">
        <v>0</v>
      </c>
      <c r="N11" s="68">
        <v>0</v>
      </c>
      <c r="O11" s="68">
        <v>0</v>
      </c>
    </row>
    <row r="13" spans="1:15" ht="22.5" x14ac:dyDescent="0.25">
      <c r="A13" t="s">
        <v>75</v>
      </c>
      <c r="B13" s="8">
        <f>CellCount_Viability!A4</f>
        <v>46270</v>
      </c>
      <c r="F13" s="67" t="s">
        <v>148</v>
      </c>
      <c r="G13" s="67" t="s">
        <v>63</v>
      </c>
      <c r="H13" s="67" t="s">
        <v>149</v>
      </c>
      <c r="I13" s="67" t="s">
        <v>150</v>
      </c>
      <c r="J13" s="67" t="s">
        <v>151</v>
      </c>
      <c r="K13" s="67" t="s">
        <v>152</v>
      </c>
      <c r="L13" s="67" t="s">
        <v>153</v>
      </c>
      <c r="M13" s="67" t="s">
        <v>154</v>
      </c>
      <c r="N13" s="67" t="s">
        <v>155</v>
      </c>
      <c r="O13" s="67" t="s">
        <v>156</v>
      </c>
    </row>
    <row r="14" spans="1:15" ht="12.75" customHeight="1" x14ac:dyDescent="0.25">
      <c r="A14" s="104" t="s">
        <v>82</v>
      </c>
      <c r="B14" s="105"/>
      <c r="C14" s="104" t="s">
        <v>157</v>
      </c>
      <c r="D14" s="105"/>
      <c r="E14" s="67" t="s">
        <v>66</v>
      </c>
      <c r="F14">
        <v>6.41</v>
      </c>
      <c r="G14">
        <v>0</v>
      </c>
      <c r="H14">
        <v>4.3400000000000001E-2</v>
      </c>
      <c r="I14">
        <v>0.24159999999999998</v>
      </c>
      <c r="J14">
        <v>4.2972000000000001</v>
      </c>
      <c r="K14">
        <v>1.2962000000000002</v>
      </c>
      <c r="L14">
        <v>33.5884</v>
      </c>
      <c r="M14">
        <v>0.1736</v>
      </c>
      <c r="N14">
        <v>1.1718</v>
      </c>
      <c r="O14">
        <v>2.1297000000000001</v>
      </c>
    </row>
    <row r="15" spans="1:15" ht="9.1999999999999993" customHeight="1" x14ac:dyDescent="0.25">
      <c r="A15" s="104" t="s">
        <v>84</v>
      </c>
      <c r="B15" s="105"/>
      <c r="C15" s="104" t="s">
        <v>158</v>
      </c>
      <c r="D15" s="105"/>
      <c r="E15" s="67" t="s">
        <v>66</v>
      </c>
      <c r="F15">
        <v>6.6124999999999998</v>
      </c>
      <c r="G15">
        <v>0</v>
      </c>
      <c r="H15">
        <v>4.65E-2</v>
      </c>
      <c r="I15">
        <v>0.25780000000000003</v>
      </c>
      <c r="J15">
        <v>4.5681000000000003</v>
      </c>
      <c r="K15">
        <v>1.3579000000000001</v>
      </c>
      <c r="L15">
        <v>35.622</v>
      </c>
      <c r="M15">
        <v>0.1767</v>
      </c>
      <c r="N15">
        <v>1.1160000000000001</v>
      </c>
      <c r="O15">
        <v>1.9127000000000001</v>
      </c>
    </row>
    <row r="16" spans="1:15" ht="9.1999999999999993" customHeight="1" x14ac:dyDescent="0.25">
      <c r="A16" s="104" t="s">
        <v>86</v>
      </c>
      <c r="B16" s="105"/>
      <c r="C16" s="104" t="s">
        <v>159</v>
      </c>
      <c r="D16" s="105"/>
      <c r="E16" s="67" t="s">
        <v>66</v>
      </c>
      <c r="F16">
        <v>5.6841999999999997</v>
      </c>
      <c r="G16">
        <v>0</v>
      </c>
      <c r="H16">
        <v>3.7199999999999997E-2</v>
      </c>
      <c r="I16">
        <v>0.2354</v>
      </c>
      <c r="J16">
        <v>4.1344999999999992</v>
      </c>
      <c r="K16">
        <v>1.1512</v>
      </c>
      <c r="L16">
        <v>32.421700000000001</v>
      </c>
      <c r="M16">
        <v>0.1643</v>
      </c>
      <c r="N16">
        <v>1.1811</v>
      </c>
      <c r="O16">
        <v>2.3746</v>
      </c>
    </row>
    <row r="17" spans="1:15" ht="9.1999999999999993" customHeight="1" x14ac:dyDescent="0.25">
      <c r="A17" s="104" t="s">
        <v>88</v>
      </c>
      <c r="B17" s="105"/>
      <c r="C17" s="104" t="s">
        <v>160</v>
      </c>
      <c r="D17" s="105"/>
      <c r="E17" s="67" t="s">
        <v>66</v>
      </c>
      <c r="F17">
        <v>5.8453999999999997</v>
      </c>
      <c r="G17">
        <v>0</v>
      </c>
      <c r="H17">
        <v>3.7199999999999997E-2</v>
      </c>
      <c r="I17">
        <v>0.24159999999999998</v>
      </c>
      <c r="J17">
        <v>4.2213000000000003</v>
      </c>
      <c r="K17">
        <v>1.1791</v>
      </c>
      <c r="L17">
        <v>33.174999999999997</v>
      </c>
      <c r="M17">
        <v>0.17050000000000001</v>
      </c>
      <c r="N17">
        <v>1.1718</v>
      </c>
      <c r="O17">
        <v>2.4645000000000001</v>
      </c>
    </row>
    <row r="19" spans="1:15" ht="22.5" x14ac:dyDescent="0.25">
      <c r="A19" t="s">
        <v>76</v>
      </c>
      <c r="B19" s="8">
        <f>CellCount_Viability!A5</f>
        <v>46271</v>
      </c>
      <c r="F19" s="67" t="s">
        <v>148</v>
      </c>
      <c r="G19" s="67" t="s">
        <v>63</v>
      </c>
      <c r="H19" s="67" t="s">
        <v>149</v>
      </c>
      <c r="I19" s="67" t="s">
        <v>150</v>
      </c>
      <c r="J19" s="67" t="s">
        <v>151</v>
      </c>
      <c r="K19" s="67" t="s">
        <v>152</v>
      </c>
      <c r="L19" s="67" t="s">
        <v>153</v>
      </c>
      <c r="M19" s="67" t="s">
        <v>154</v>
      </c>
      <c r="N19" s="67" t="s">
        <v>155</v>
      </c>
      <c r="O19" s="67" t="s">
        <v>156</v>
      </c>
    </row>
    <row r="20" spans="1:15" ht="9.1999999999999993" customHeight="1" x14ac:dyDescent="0.25">
      <c r="A20" s="104" t="s">
        <v>82</v>
      </c>
      <c r="B20" s="105"/>
      <c r="C20" s="104" t="s">
        <v>157</v>
      </c>
      <c r="D20" s="105"/>
      <c r="E20" s="67" t="s">
        <v>66</v>
      </c>
      <c r="F20" s="68">
        <v>11.92</v>
      </c>
      <c r="G20" s="68">
        <v>0</v>
      </c>
      <c r="H20" s="68">
        <v>8.4000000000000005E-2</v>
      </c>
      <c r="I20" s="68">
        <v>0.34599999999999997</v>
      </c>
      <c r="J20" s="68">
        <v>6.3620000000000001</v>
      </c>
      <c r="K20" s="68">
        <v>2.4620000000000002</v>
      </c>
      <c r="L20" s="68">
        <v>45.954000000000001</v>
      </c>
      <c r="M20" s="68">
        <v>0.33600000000000002</v>
      </c>
      <c r="N20" s="68">
        <v>2.2679999999999998</v>
      </c>
      <c r="O20" s="68">
        <v>4.1219999999999999</v>
      </c>
    </row>
    <row r="21" spans="1:15" ht="9.1999999999999993" customHeight="1" x14ac:dyDescent="0.25">
      <c r="A21" s="104" t="s">
        <v>84</v>
      </c>
      <c r="B21" s="105"/>
      <c r="C21" s="104" t="s">
        <v>158</v>
      </c>
      <c r="D21" s="105"/>
      <c r="E21" s="67" t="s">
        <v>66</v>
      </c>
      <c r="F21" s="68">
        <v>12.34</v>
      </c>
      <c r="G21" s="68">
        <v>0</v>
      </c>
      <c r="H21" s="68">
        <v>0.09</v>
      </c>
      <c r="I21" s="68">
        <v>0.36799999999999999</v>
      </c>
      <c r="J21" s="68">
        <v>6.7459999999999996</v>
      </c>
      <c r="K21" s="68">
        <v>2.5439999999999996</v>
      </c>
      <c r="L21" s="68">
        <v>48.730000000000004</v>
      </c>
      <c r="M21" s="68">
        <v>0.34199999999999997</v>
      </c>
      <c r="N21" s="68">
        <v>2.16</v>
      </c>
      <c r="O21" s="68">
        <v>3.702</v>
      </c>
    </row>
    <row r="22" spans="1:15" ht="9.1999999999999993" customHeight="1" x14ac:dyDescent="0.25">
      <c r="A22" s="104" t="s">
        <v>86</v>
      </c>
      <c r="B22" s="105"/>
      <c r="C22" s="104" t="s">
        <v>159</v>
      </c>
      <c r="D22" s="105"/>
      <c r="E22" s="67" t="s">
        <v>66</v>
      </c>
      <c r="F22" s="68">
        <v>10.562000000000001</v>
      </c>
      <c r="G22" s="68">
        <v>0</v>
      </c>
      <c r="H22" s="68">
        <v>7.1999999999999995E-2</v>
      </c>
      <c r="I22" s="68">
        <v>0.33399999999999996</v>
      </c>
      <c r="J22" s="68">
        <v>6.1499999999999986</v>
      </c>
      <c r="K22" s="68">
        <v>2.1720000000000002</v>
      </c>
      <c r="L22" s="68">
        <v>44.622</v>
      </c>
      <c r="M22" s="68">
        <v>0.318</v>
      </c>
      <c r="N22" s="68">
        <v>2.286</v>
      </c>
      <c r="O22" s="68">
        <v>4.5960000000000001</v>
      </c>
    </row>
    <row r="23" spans="1:15" ht="9.1999999999999993" customHeight="1" x14ac:dyDescent="0.25">
      <c r="A23" s="104" t="s">
        <v>88</v>
      </c>
      <c r="B23" s="105"/>
      <c r="C23" s="104" t="s">
        <v>160</v>
      </c>
      <c r="D23" s="105"/>
      <c r="E23" s="67" t="s">
        <v>66</v>
      </c>
      <c r="F23" s="68">
        <v>10.874000000000001</v>
      </c>
      <c r="G23" s="68">
        <v>0</v>
      </c>
      <c r="H23" s="68">
        <v>7.1999999999999995E-2</v>
      </c>
      <c r="I23" s="68">
        <v>0.34599999999999997</v>
      </c>
      <c r="J23" s="68">
        <v>6.3179999999999996</v>
      </c>
      <c r="K23" s="68">
        <v>2.226</v>
      </c>
      <c r="L23" s="68">
        <v>46.08</v>
      </c>
      <c r="M23" s="68">
        <v>0.33</v>
      </c>
      <c r="N23" s="68">
        <v>2.2679999999999998</v>
      </c>
      <c r="O23" s="68">
        <v>4.7699999999999996</v>
      </c>
    </row>
    <row r="25" spans="1:15" ht="22.5" x14ac:dyDescent="0.25">
      <c r="A25" t="s">
        <v>77</v>
      </c>
      <c r="B25" s="8">
        <f>CellCount_Viability!A6</f>
        <v>46272</v>
      </c>
      <c r="F25" s="67" t="s">
        <v>148</v>
      </c>
      <c r="G25" s="67" t="s">
        <v>63</v>
      </c>
      <c r="H25" s="67" t="s">
        <v>149</v>
      </c>
      <c r="I25" s="67" t="s">
        <v>150</v>
      </c>
      <c r="J25" s="67" t="s">
        <v>151</v>
      </c>
      <c r="K25" s="67" t="s">
        <v>152</v>
      </c>
      <c r="L25" s="67" t="s">
        <v>153</v>
      </c>
      <c r="M25" s="67" t="s">
        <v>154</v>
      </c>
      <c r="N25" s="67" t="s">
        <v>155</v>
      </c>
      <c r="O25" s="67" t="s">
        <v>156</v>
      </c>
    </row>
    <row r="26" spans="1:15" ht="13.9" customHeight="1" x14ac:dyDescent="0.25">
      <c r="A26" s="104" t="s">
        <v>106</v>
      </c>
      <c r="B26" s="105"/>
      <c r="C26" s="104" t="s">
        <v>107</v>
      </c>
      <c r="D26" s="105"/>
      <c r="E26" s="67" t="s">
        <v>66</v>
      </c>
      <c r="F26" s="68">
        <v>19.52</v>
      </c>
      <c r="G26" s="68">
        <v>0</v>
      </c>
      <c r="H26" s="68">
        <v>0.14000000000000001</v>
      </c>
      <c r="I26" s="68">
        <v>0.49</v>
      </c>
      <c r="J26" s="68">
        <v>9.2100000000000009</v>
      </c>
      <c r="K26" s="68">
        <v>4.07</v>
      </c>
      <c r="L26" s="68">
        <v>63.01</v>
      </c>
      <c r="M26" s="68">
        <v>0.56000000000000005</v>
      </c>
      <c r="N26" s="68">
        <v>3.78</v>
      </c>
      <c r="O26" s="68">
        <v>6.87</v>
      </c>
    </row>
    <row r="27" spans="1:15" ht="13.9" customHeight="1" x14ac:dyDescent="0.25">
      <c r="A27" s="104" t="s">
        <v>108</v>
      </c>
      <c r="B27" s="105"/>
      <c r="C27" s="104" t="s">
        <v>109</v>
      </c>
      <c r="D27" s="105"/>
      <c r="E27" s="67" t="s">
        <v>66</v>
      </c>
      <c r="F27" s="68">
        <v>20.239999999999998</v>
      </c>
      <c r="G27" s="68">
        <v>0</v>
      </c>
      <c r="H27" s="68">
        <v>0.15</v>
      </c>
      <c r="I27" s="68">
        <v>0.52</v>
      </c>
      <c r="J27" s="68">
        <v>9.75</v>
      </c>
      <c r="K27" s="68">
        <v>4.18</v>
      </c>
      <c r="L27" s="68">
        <v>66.81</v>
      </c>
      <c r="M27" s="68">
        <v>0.56999999999999995</v>
      </c>
      <c r="N27" s="68">
        <v>3.6</v>
      </c>
      <c r="O27" s="68">
        <v>6.17</v>
      </c>
    </row>
    <row r="28" spans="1:15" ht="13.9" customHeight="1" x14ac:dyDescent="0.25">
      <c r="A28" s="104" t="s">
        <v>110</v>
      </c>
      <c r="B28" s="105"/>
      <c r="C28" s="104" t="s">
        <v>111</v>
      </c>
      <c r="D28" s="105"/>
      <c r="E28" s="67" t="s">
        <v>66</v>
      </c>
      <c r="F28" s="68">
        <v>17.29</v>
      </c>
      <c r="G28" s="68">
        <v>0</v>
      </c>
      <c r="H28" s="68">
        <v>0.12</v>
      </c>
      <c r="I28" s="68">
        <v>0.47</v>
      </c>
      <c r="J28" s="68">
        <v>8.93</v>
      </c>
      <c r="K28" s="68">
        <v>3.58</v>
      </c>
      <c r="L28" s="68">
        <v>61.45</v>
      </c>
      <c r="M28" s="68">
        <v>0.53</v>
      </c>
      <c r="N28" s="68">
        <v>3.81</v>
      </c>
      <c r="O28" s="68">
        <v>7.66</v>
      </c>
    </row>
    <row r="29" spans="1:15" ht="13.9" customHeight="1" x14ac:dyDescent="0.25">
      <c r="A29" s="104" t="s">
        <v>112</v>
      </c>
      <c r="B29" s="105"/>
      <c r="C29" s="104" t="s">
        <v>113</v>
      </c>
      <c r="D29" s="105"/>
      <c r="E29" s="67" t="s">
        <v>66</v>
      </c>
      <c r="F29" s="68">
        <v>17.809999999999999</v>
      </c>
      <c r="G29" s="68">
        <v>0</v>
      </c>
      <c r="H29" s="68">
        <v>0.12</v>
      </c>
      <c r="I29" s="68">
        <v>0.49</v>
      </c>
      <c r="J29" s="68">
        <v>9.2100000000000009</v>
      </c>
      <c r="K29" s="68">
        <v>3.67</v>
      </c>
      <c r="L29" s="68">
        <v>63.88</v>
      </c>
      <c r="M29" s="68">
        <v>0.55000000000000004</v>
      </c>
      <c r="N29" s="68">
        <v>3.78</v>
      </c>
      <c r="O29" s="68">
        <v>7.95</v>
      </c>
    </row>
    <row r="31" spans="1:15" ht="22.5" x14ac:dyDescent="0.25">
      <c r="A31" t="s">
        <v>78</v>
      </c>
      <c r="B31" s="8">
        <f>CellCount_Viability!A7</f>
        <v>46273</v>
      </c>
      <c r="F31" s="67" t="s">
        <v>148</v>
      </c>
      <c r="G31" s="67" t="s">
        <v>63</v>
      </c>
      <c r="H31" s="67" t="s">
        <v>149</v>
      </c>
      <c r="I31" s="67" t="s">
        <v>150</v>
      </c>
      <c r="J31" s="67" t="s">
        <v>151</v>
      </c>
      <c r="K31" s="67" t="s">
        <v>152</v>
      </c>
      <c r="L31" s="67" t="s">
        <v>153</v>
      </c>
      <c r="M31" s="67" t="s">
        <v>154</v>
      </c>
      <c r="N31" s="67" t="s">
        <v>155</v>
      </c>
      <c r="O31" s="67" t="s">
        <v>156</v>
      </c>
    </row>
    <row r="32" spans="1:15" ht="13.9" customHeight="1" x14ac:dyDescent="0.25">
      <c r="A32" s="104" t="s">
        <v>114</v>
      </c>
      <c r="B32" s="105"/>
      <c r="C32" s="104" t="s">
        <v>115</v>
      </c>
      <c r="D32" s="105"/>
      <c r="E32" s="67" t="s">
        <v>66</v>
      </c>
      <c r="F32" s="68">
        <v>27.49</v>
      </c>
      <c r="G32" s="68">
        <v>0</v>
      </c>
      <c r="H32" s="68">
        <v>0.18</v>
      </c>
      <c r="I32" s="68">
        <v>0.59</v>
      </c>
      <c r="J32" s="68">
        <v>11.12</v>
      </c>
      <c r="K32" s="68">
        <v>5.31</v>
      </c>
      <c r="L32" s="68">
        <v>69.510000000000005</v>
      </c>
      <c r="M32" s="68">
        <v>0.75</v>
      </c>
      <c r="N32" s="68">
        <v>5.23</v>
      </c>
      <c r="O32" s="68">
        <v>10.49</v>
      </c>
    </row>
    <row r="33" spans="1:15" ht="13.9" customHeight="1" x14ac:dyDescent="0.25">
      <c r="A33" s="104" t="s">
        <v>116</v>
      </c>
      <c r="B33" s="105"/>
      <c r="C33" s="104" t="s">
        <v>117</v>
      </c>
      <c r="D33" s="105"/>
      <c r="E33" s="67" t="s">
        <v>66</v>
      </c>
      <c r="F33" s="68">
        <v>27.5</v>
      </c>
      <c r="G33" s="68">
        <v>0</v>
      </c>
      <c r="H33" s="68">
        <v>0.18</v>
      </c>
      <c r="I33" s="68">
        <v>0.59</v>
      </c>
      <c r="J33" s="68">
        <v>11.22</v>
      </c>
      <c r="K33" s="68">
        <v>5.32</v>
      </c>
      <c r="L33" s="68">
        <v>70.06</v>
      </c>
      <c r="M33" s="68">
        <v>0.75</v>
      </c>
      <c r="N33" s="68">
        <v>5.31</v>
      </c>
      <c r="O33" s="68">
        <v>10.84</v>
      </c>
    </row>
    <row r="34" spans="1:15" ht="13.9" customHeight="1" x14ac:dyDescent="0.25">
      <c r="A34" s="104" t="s">
        <v>118</v>
      </c>
      <c r="B34" s="105"/>
      <c r="C34" s="104" t="s">
        <v>119</v>
      </c>
      <c r="D34" s="105"/>
      <c r="E34" s="67" t="s">
        <v>66</v>
      </c>
      <c r="F34" s="68">
        <v>24.44</v>
      </c>
      <c r="G34" s="68">
        <v>0</v>
      </c>
      <c r="H34" s="68">
        <v>0.16</v>
      </c>
      <c r="I34" s="68">
        <v>0.55000000000000004</v>
      </c>
      <c r="J34" s="68">
        <v>10.71</v>
      </c>
      <c r="K34" s="68">
        <v>4.7300000000000004</v>
      </c>
      <c r="L34" s="68">
        <v>66.87</v>
      </c>
      <c r="M34" s="68">
        <v>0.71</v>
      </c>
      <c r="N34" s="68">
        <v>5.46</v>
      </c>
      <c r="O34" s="68">
        <v>12.63</v>
      </c>
    </row>
    <row r="35" spans="1:15" ht="13.9" customHeight="1" x14ac:dyDescent="0.25">
      <c r="A35" s="104" t="s">
        <v>120</v>
      </c>
      <c r="B35" s="105"/>
      <c r="C35" s="104" t="s">
        <v>121</v>
      </c>
      <c r="D35" s="105"/>
      <c r="E35" s="67" t="s">
        <v>66</v>
      </c>
      <c r="F35" s="68">
        <v>24.38</v>
      </c>
      <c r="G35" s="68">
        <v>0</v>
      </c>
      <c r="H35" s="68">
        <v>0.16</v>
      </c>
      <c r="I35" s="68">
        <v>0.55000000000000004</v>
      </c>
      <c r="J35" s="68">
        <v>10.71</v>
      </c>
      <c r="K35" s="68">
        <v>4.71</v>
      </c>
      <c r="L35" s="68">
        <v>66.86</v>
      </c>
      <c r="M35" s="68">
        <v>0.7</v>
      </c>
      <c r="N35" s="68">
        <v>5.37</v>
      </c>
      <c r="O35" s="68">
        <v>12.52</v>
      </c>
    </row>
    <row r="37" spans="1:15" ht="22.5" x14ac:dyDescent="0.25">
      <c r="A37" t="s">
        <v>79</v>
      </c>
      <c r="B37" s="8">
        <f>CellCount_Viability!A8</f>
        <v>46274</v>
      </c>
      <c r="F37" s="67" t="s">
        <v>148</v>
      </c>
      <c r="G37" s="67" t="s">
        <v>63</v>
      </c>
      <c r="H37" s="67" t="s">
        <v>149</v>
      </c>
      <c r="I37" s="67" t="s">
        <v>150</v>
      </c>
      <c r="J37" s="67" t="s">
        <v>151</v>
      </c>
      <c r="K37" s="67" t="s">
        <v>152</v>
      </c>
      <c r="L37" s="67" t="s">
        <v>153</v>
      </c>
      <c r="M37" s="67" t="s">
        <v>154</v>
      </c>
      <c r="N37" s="67" t="s">
        <v>155</v>
      </c>
      <c r="O37" s="67" t="s">
        <v>156</v>
      </c>
    </row>
    <row r="38" spans="1:15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32.286000000000001</v>
      </c>
      <c r="G38" s="68">
        <v>0</v>
      </c>
      <c r="H38" s="68">
        <v>0.20200000000000001</v>
      </c>
      <c r="I38" s="68">
        <v>0.65049999999999997</v>
      </c>
      <c r="J38" s="68">
        <v>12.0495</v>
      </c>
      <c r="K38" s="68">
        <v>5.9864999999999995</v>
      </c>
      <c r="L38" s="68">
        <v>71.974000000000004</v>
      </c>
      <c r="M38" s="68">
        <v>0.79400000000000004</v>
      </c>
      <c r="N38" s="68">
        <v>6.33</v>
      </c>
      <c r="O38" s="68">
        <v>12.7835</v>
      </c>
    </row>
    <row r="39" spans="1:15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32.389499999999998</v>
      </c>
      <c r="G39" s="68">
        <v>0</v>
      </c>
      <c r="H39" s="68">
        <v>0.20200000000000001</v>
      </c>
      <c r="I39" s="68">
        <v>0.65049999999999997</v>
      </c>
      <c r="J39" s="68">
        <v>12.1165</v>
      </c>
      <c r="K39" s="68">
        <v>5.9910000000000005</v>
      </c>
      <c r="L39" s="68">
        <v>72.117000000000004</v>
      </c>
      <c r="M39" s="68">
        <v>0.78849999999999998</v>
      </c>
      <c r="N39" s="68">
        <v>6.2944999999999993</v>
      </c>
      <c r="O39" s="68">
        <v>12.93</v>
      </c>
    </row>
    <row r="40" spans="1:15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29.230499999999999</v>
      </c>
      <c r="G40" s="68">
        <v>0</v>
      </c>
      <c r="H40" s="68">
        <v>0.182</v>
      </c>
      <c r="I40" s="68">
        <v>0.6160000000000001</v>
      </c>
      <c r="J40" s="68">
        <v>11.81</v>
      </c>
      <c r="K40" s="68">
        <v>5.4119999999999999</v>
      </c>
      <c r="L40" s="68">
        <v>70.247</v>
      </c>
      <c r="M40" s="68">
        <v>0.75950000000000006</v>
      </c>
      <c r="N40" s="68">
        <v>6.5325000000000006</v>
      </c>
      <c r="O40" s="68">
        <v>14.758500000000002</v>
      </c>
    </row>
    <row r="41" spans="1:15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29.3795</v>
      </c>
      <c r="G41" s="68">
        <v>0</v>
      </c>
      <c r="H41" s="68">
        <v>0.182</v>
      </c>
      <c r="I41" s="68">
        <v>0.62150000000000005</v>
      </c>
      <c r="J41" s="68">
        <v>11.8925</v>
      </c>
      <c r="K41" s="68">
        <v>5.4139999999999997</v>
      </c>
      <c r="L41" s="68">
        <v>70.6935</v>
      </c>
      <c r="M41" s="68">
        <v>0.74950000000000006</v>
      </c>
      <c r="N41" s="68">
        <v>6.2170000000000005</v>
      </c>
      <c r="O41" s="68">
        <v>13.801499999999999</v>
      </c>
    </row>
    <row r="43" spans="1:15" ht="22.5" x14ac:dyDescent="0.25">
      <c r="A43" t="s">
        <v>80</v>
      </c>
      <c r="B43" s="8">
        <f>CellCount_Viability!A9</f>
        <v>46275</v>
      </c>
      <c r="F43" s="67" t="s">
        <v>148</v>
      </c>
      <c r="G43" s="67" t="s">
        <v>63</v>
      </c>
      <c r="H43" s="67" t="s">
        <v>149</v>
      </c>
      <c r="I43" s="67" t="s">
        <v>150</v>
      </c>
      <c r="J43" s="67" t="s">
        <v>151</v>
      </c>
      <c r="K43" s="67" t="s">
        <v>152</v>
      </c>
      <c r="L43" s="67" t="s">
        <v>153</v>
      </c>
      <c r="M43" s="67" t="s">
        <v>154</v>
      </c>
      <c r="N43" s="67" t="s">
        <v>155</v>
      </c>
      <c r="O43" s="67" t="s">
        <v>156</v>
      </c>
    </row>
    <row r="44" spans="1:15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36.21</v>
      </c>
      <c r="G44" s="68">
        <v>0</v>
      </c>
      <c r="H44" s="68">
        <v>0.22</v>
      </c>
      <c r="I44" s="68">
        <v>0.7</v>
      </c>
      <c r="J44" s="68">
        <v>12.81</v>
      </c>
      <c r="K44" s="68">
        <v>6.54</v>
      </c>
      <c r="L44" s="68">
        <v>73.989999999999995</v>
      </c>
      <c r="M44" s="68">
        <v>0.83</v>
      </c>
      <c r="N44" s="68">
        <v>7.23</v>
      </c>
      <c r="O44" s="68">
        <v>14.66</v>
      </c>
    </row>
    <row r="45" spans="1:15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36.39</v>
      </c>
      <c r="G45" s="68">
        <v>0</v>
      </c>
      <c r="H45" s="68">
        <v>0.22</v>
      </c>
      <c r="I45" s="68">
        <v>0.7</v>
      </c>
      <c r="J45" s="68">
        <v>12.85</v>
      </c>
      <c r="K45" s="68">
        <v>6.54</v>
      </c>
      <c r="L45" s="68">
        <v>73.8</v>
      </c>
      <c r="M45" s="68">
        <v>0.82</v>
      </c>
      <c r="N45" s="68">
        <v>7.1</v>
      </c>
      <c r="O45" s="68">
        <v>14.64</v>
      </c>
    </row>
    <row r="46" spans="1:15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33.15</v>
      </c>
      <c r="G46" s="68">
        <v>0</v>
      </c>
      <c r="H46" s="68">
        <v>0.2</v>
      </c>
      <c r="I46" s="68">
        <v>0.67</v>
      </c>
      <c r="J46" s="68">
        <v>12.71</v>
      </c>
      <c r="K46" s="68">
        <v>5.97</v>
      </c>
      <c r="L46" s="68">
        <v>73.010000000000005</v>
      </c>
      <c r="M46" s="68">
        <v>0.8</v>
      </c>
      <c r="N46" s="68">
        <v>7.41</v>
      </c>
      <c r="O46" s="68">
        <v>16.5</v>
      </c>
    </row>
    <row r="47" spans="1:15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33.47</v>
      </c>
      <c r="G47" s="68">
        <v>0</v>
      </c>
      <c r="H47" s="68">
        <v>0.2</v>
      </c>
      <c r="I47" s="68">
        <v>0.68</v>
      </c>
      <c r="J47" s="68">
        <v>12.86</v>
      </c>
      <c r="K47" s="68">
        <v>5.99</v>
      </c>
      <c r="L47" s="68">
        <v>73.83</v>
      </c>
      <c r="M47" s="68">
        <v>0.79</v>
      </c>
      <c r="N47" s="68">
        <v>6.91</v>
      </c>
      <c r="O47" s="68">
        <v>14.85</v>
      </c>
    </row>
    <row r="49" spans="1:15" ht="22.5" x14ac:dyDescent="0.25">
      <c r="A49" t="s">
        <v>81</v>
      </c>
      <c r="B49" s="8">
        <f>CellCount_Viability!A10</f>
        <v>46276</v>
      </c>
      <c r="F49" s="67" t="s">
        <v>148</v>
      </c>
      <c r="G49" s="67" t="s">
        <v>63</v>
      </c>
      <c r="H49" s="67" t="s">
        <v>149</v>
      </c>
      <c r="I49" s="67" t="s">
        <v>150</v>
      </c>
      <c r="J49" s="67" t="s">
        <v>151</v>
      </c>
      <c r="K49" s="67" t="s">
        <v>152</v>
      </c>
      <c r="L49" s="67" t="s">
        <v>153</v>
      </c>
      <c r="M49" s="67" t="s">
        <v>154</v>
      </c>
      <c r="N49" s="67" t="s">
        <v>155</v>
      </c>
      <c r="O49" s="67" t="s">
        <v>156</v>
      </c>
    </row>
    <row r="50" spans="1:15" x14ac:dyDescent="0.25">
      <c r="A50" s="104" t="s">
        <v>64</v>
      </c>
      <c r="B50" s="105"/>
      <c r="C50" s="104" t="s">
        <v>65</v>
      </c>
      <c r="D50" s="105"/>
      <c r="E50" s="67" t="s">
        <v>66</v>
      </c>
      <c r="F50" s="68">
        <v>37.298500000000004</v>
      </c>
      <c r="G50" s="68">
        <v>0</v>
      </c>
      <c r="H50" s="68">
        <v>0.22</v>
      </c>
      <c r="I50" s="68">
        <v>0.7034999999999999</v>
      </c>
      <c r="J50" s="68">
        <v>12.852</v>
      </c>
      <c r="K50" s="68">
        <v>6.5715000000000003</v>
      </c>
      <c r="L50" s="68">
        <v>73.745000000000005</v>
      </c>
      <c r="M50" s="68">
        <v>0.80899999999999994</v>
      </c>
      <c r="N50" s="68">
        <v>7.258</v>
      </c>
      <c r="O50" s="68">
        <v>14.929500000000001</v>
      </c>
    </row>
    <row r="51" spans="1:15" x14ac:dyDescent="0.25">
      <c r="A51" s="104" t="s">
        <v>67</v>
      </c>
      <c r="B51" s="105"/>
      <c r="C51" s="104" t="s">
        <v>68</v>
      </c>
      <c r="D51" s="105"/>
      <c r="E51" s="67" t="s">
        <v>66</v>
      </c>
      <c r="F51" s="68">
        <v>37.734000000000002</v>
      </c>
      <c r="G51" s="68">
        <v>0</v>
      </c>
      <c r="H51" s="68">
        <v>0.2235</v>
      </c>
      <c r="I51" s="68">
        <v>0.70699999999999996</v>
      </c>
      <c r="J51" s="68">
        <v>13.018000000000001</v>
      </c>
      <c r="K51" s="68">
        <v>6.6204999999999998</v>
      </c>
      <c r="L51" s="68">
        <v>74.5</v>
      </c>
      <c r="M51" s="68">
        <v>0.80599999999999994</v>
      </c>
      <c r="N51" s="68">
        <v>7.2225000000000001</v>
      </c>
      <c r="O51" s="68">
        <v>15.112500000000001</v>
      </c>
    </row>
    <row r="52" spans="1:15" x14ac:dyDescent="0.25">
      <c r="A52" s="104" t="s">
        <v>69</v>
      </c>
      <c r="B52" s="105"/>
      <c r="C52" s="104" t="s">
        <v>70</v>
      </c>
      <c r="D52" s="105"/>
      <c r="E52" s="67" t="s">
        <v>66</v>
      </c>
      <c r="F52" s="68">
        <v>34.640999999999998</v>
      </c>
      <c r="G52" s="68">
        <v>0</v>
      </c>
      <c r="H52" s="68">
        <v>0.20350000000000001</v>
      </c>
      <c r="I52" s="68">
        <v>0.68400000000000005</v>
      </c>
      <c r="J52" s="68">
        <v>12.951500000000001</v>
      </c>
      <c r="K52" s="68">
        <v>6.0785</v>
      </c>
      <c r="L52" s="68">
        <v>73.962000000000003</v>
      </c>
      <c r="M52" s="68">
        <v>0.79300000000000004</v>
      </c>
      <c r="N52" s="68">
        <v>7.5324999999999998</v>
      </c>
      <c r="O52" s="68">
        <v>17.137</v>
      </c>
    </row>
    <row r="53" spans="1:15" x14ac:dyDescent="0.25">
      <c r="A53" s="104" t="s">
        <v>71</v>
      </c>
      <c r="B53" s="105"/>
      <c r="C53" s="104" t="s">
        <v>72</v>
      </c>
      <c r="D53" s="105"/>
      <c r="E53" s="67" t="s">
        <v>66</v>
      </c>
      <c r="F53" s="68">
        <v>34.467500000000001</v>
      </c>
      <c r="G53" s="68">
        <v>0</v>
      </c>
      <c r="H53" s="68">
        <v>0.2</v>
      </c>
      <c r="I53" s="68">
        <v>0.6835</v>
      </c>
      <c r="J53" s="68">
        <v>12.856499999999999</v>
      </c>
      <c r="K53" s="68">
        <v>6.0250000000000004</v>
      </c>
      <c r="L53" s="68">
        <v>73.427499999999995</v>
      </c>
      <c r="M53" s="68">
        <v>0.77600000000000002</v>
      </c>
      <c r="N53" s="68">
        <v>7.1585000000000001</v>
      </c>
      <c r="O53" s="68">
        <v>16.0505</v>
      </c>
    </row>
    <row r="55" spans="1:15" ht="22.5" x14ac:dyDescent="0.25">
      <c r="A55" t="s">
        <v>137</v>
      </c>
      <c r="B55" s="8">
        <f>CellCount_Viability!A11</f>
        <v>46277</v>
      </c>
      <c r="F55" s="67" t="s">
        <v>148</v>
      </c>
      <c r="G55" s="67" t="s">
        <v>63</v>
      </c>
      <c r="H55" s="67" t="s">
        <v>149</v>
      </c>
      <c r="I55" s="67" t="s">
        <v>150</v>
      </c>
      <c r="J55" s="67" t="s">
        <v>151</v>
      </c>
      <c r="K55" s="67" t="s">
        <v>152</v>
      </c>
      <c r="L55" s="67" t="s">
        <v>153</v>
      </c>
      <c r="M55" s="67" t="s">
        <v>154</v>
      </c>
      <c r="N55" s="67" t="s">
        <v>155</v>
      </c>
      <c r="O55" s="67" t="s">
        <v>156</v>
      </c>
    </row>
    <row r="56" spans="1:15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38.387</v>
      </c>
      <c r="G56" s="68">
        <v>0</v>
      </c>
      <c r="H56" s="68">
        <v>0.22</v>
      </c>
      <c r="I56" s="68">
        <v>0.70699999999999996</v>
      </c>
      <c r="J56" s="68">
        <v>12.894</v>
      </c>
      <c r="K56" s="68">
        <v>6.6029999999999998</v>
      </c>
      <c r="L56" s="68">
        <v>73.5</v>
      </c>
      <c r="M56" s="68">
        <v>0.78800000000000003</v>
      </c>
      <c r="N56" s="68">
        <v>7.2859999999999996</v>
      </c>
      <c r="O56" s="68">
        <v>15.199</v>
      </c>
    </row>
    <row r="57" spans="1:15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39.077999999999996</v>
      </c>
      <c r="G57" s="68">
        <v>0</v>
      </c>
      <c r="H57" s="68">
        <v>0.22700000000000001</v>
      </c>
      <c r="I57" s="68">
        <v>0.71399999999999997</v>
      </c>
      <c r="J57" s="68">
        <v>13.186</v>
      </c>
      <c r="K57" s="68">
        <v>6.7009999999999996</v>
      </c>
      <c r="L57" s="68">
        <v>75.2</v>
      </c>
      <c r="M57" s="68">
        <v>0.79200000000000004</v>
      </c>
      <c r="N57" s="68">
        <v>7.3449999999999998</v>
      </c>
      <c r="O57" s="68">
        <v>15.585000000000001</v>
      </c>
    </row>
    <row r="58" spans="1:15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36.131999999999998</v>
      </c>
      <c r="G58" s="68">
        <v>0</v>
      </c>
      <c r="H58" s="68">
        <v>0.20699999999999999</v>
      </c>
      <c r="I58" s="68">
        <v>0.69799999999999995</v>
      </c>
      <c r="J58" s="68">
        <v>13.193</v>
      </c>
      <c r="K58" s="68">
        <v>6.1870000000000003</v>
      </c>
      <c r="L58" s="68">
        <v>74.914000000000001</v>
      </c>
      <c r="M58" s="68">
        <v>0.78600000000000003</v>
      </c>
      <c r="N58" s="68">
        <v>7.6550000000000002</v>
      </c>
      <c r="O58" s="68">
        <v>17.774000000000001</v>
      </c>
    </row>
    <row r="59" spans="1:15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35.464999999999996</v>
      </c>
      <c r="G59" s="68">
        <v>0</v>
      </c>
      <c r="H59" s="68">
        <v>0.2</v>
      </c>
      <c r="I59" s="68">
        <v>0.68699999999999994</v>
      </c>
      <c r="J59" s="68">
        <v>12.853</v>
      </c>
      <c r="K59" s="68">
        <v>6.06</v>
      </c>
      <c r="L59" s="68">
        <v>73.025000000000006</v>
      </c>
      <c r="M59" s="68">
        <v>0.76200000000000001</v>
      </c>
      <c r="N59" s="68">
        <v>7.407</v>
      </c>
      <c r="O59" s="68">
        <v>17.251000000000001</v>
      </c>
    </row>
    <row r="61" spans="1:15" ht="22.5" x14ac:dyDescent="0.25">
      <c r="A61" t="s">
        <v>138</v>
      </c>
      <c r="B61" s="8">
        <f>CellCount_Viability!A12</f>
        <v>46278</v>
      </c>
      <c r="F61" s="67" t="s">
        <v>148</v>
      </c>
      <c r="G61" s="67" t="s">
        <v>63</v>
      </c>
      <c r="H61" s="67" t="s">
        <v>149</v>
      </c>
      <c r="I61" s="67" t="s">
        <v>150</v>
      </c>
      <c r="J61" s="67" t="s">
        <v>151</v>
      </c>
      <c r="K61" s="67" t="s">
        <v>152</v>
      </c>
      <c r="L61" s="67" t="s">
        <v>153</v>
      </c>
      <c r="M61" s="67" t="s">
        <v>154</v>
      </c>
      <c r="N61" s="67" t="s">
        <v>155</v>
      </c>
      <c r="O61" s="67" t="s">
        <v>156</v>
      </c>
    </row>
    <row r="62" spans="1:15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39.32</v>
      </c>
      <c r="G62" s="68">
        <v>0</v>
      </c>
      <c r="H62" s="68">
        <v>0.22</v>
      </c>
      <c r="I62" s="68">
        <v>0.71</v>
      </c>
      <c r="J62" s="68">
        <v>12.93</v>
      </c>
      <c r="K62" s="68">
        <v>6.63</v>
      </c>
      <c r="L62" s="68">
        <v>73.290000000000006</v>
      </c>
      <c r="M62" s="68">
        <v>0.77</v>
      </c>
      <c r="N62" s="68">
        <v>7.31</v>
      </c>
      <c r="O62" s="68">
        <v>15.43</v>
      </c>
    </row>
    <row r="63" spans="1:15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40.229999999999997</v>
      </c>
      <c r="G63" s="68">
        <v>0</v>
      </c>
      <c r="H63" s="68">
        <v>0.23</v>
      </c>
      <c r="I63" s="68">
        <v>0.72</v>
      </c>
      <c r="J63" s="68">
        <v>13.33</v>
      </c>
      <c r="K63" s="68">
        <v>6.77</v>
      </c>
      <c r="L63" s="68">
        <v>75.8</v>
      </c>
      <c r="M63" s="68">
        <v>0.78</v>
      </c>
      <c r="N63" s="68">
        <v>7.45</v>
      </c>
      <c r="O63" s="68">
        <v>15.99</v>
      </c>
    </row>
    <row r="64" spans="1:15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37.409999999999997</v>
      </c>
      <c r="G64" s="68">
        <v>0</v>
      </c>
      <c r="H64" s="68">
        <v>0.21</v>
      </c>
      <c r="I64" s="68">
        <v>0.71</v>
      </c>
      <c r="J64" s="68">
        <v>13.4</v>
      </c>
      <c r="K64" s="68">
        <v>6.28</v>
      </c>
      <c r="L64" s="68">
        <v>75.73</v>
      </c>
      <c r="M64" s="68">
        <v>0.78</v>
      </c>
      <c r="N64" s="68">
        <v>7.76</v>
      </c>
      <c r="O64" s="68">
        <v>18.32</v>
      </c>
    </row>
    <row r="65" spans="1:15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36.32</v>
      </c>
      <c r="G65" s="68">
        <v>0</v>
      </c>
      <c r="H65" s="68">
        <v>0.2</v>
      </c>
      <c r="I65" s="68">
        <v>0.69</v>
      </c>
      <c r="J65" s="68">
        <v>12.85</v>
      </c>
      <c r="K65" s="68">
        <v>6.09</v>
      </c>
      <c r="L65" s="68">
        <v>72.680000000000007</v>
      </c>
      <c r="M65" s="68">
        <v>0.75</v>
      </c>
      <c r="N65" s="68">
        <v>7.62</v>
      </c>
      <c r="O65" s="68">
        <v>18.28</v>
      </c>
    </row>
    <row r="67" spans="1:15" ht="22.5" x14ac:dyDescent="0.25">
      <c r="A67" t="s">
        <v>139</v>
      </c>
      <c r="B67" s="8">
        <f>CellCount_Viability!A13</f>
        <v>0</v>
      </c>
      <c r="F67" s="67" t="s">
        <v>148</v>
      </c>
      <c r="G67" s="67" t="s">
        <v>63</v>
      </c>
      <c r="H67" s="67" t="s">
        <v>149</v>
      </c>
      <c r="I67" s="67" t="s">
        <v>150</v>
      </c>
      <c r="J67" s="67" t="s">
        <v>151</v>
      </c>
      <c r="K67" s="67" t="s">
        <v>152</v>
      </c>
      <c r="L67" s="67" t="s">
        <v>153</v>
      </c>
      <c r="M67" s="67" t="s">
        <v>154</v>
      </c>
      <c r="N67" s="67" t="s">
        <v>155</v>
      </c>
      <c r="O67" s="67" t="s">
        <v>156</v>
      </c>
    </row>
    <row r="68" spans="1:15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 t="e">
        <v>#N/A</v>
      </c>
      <c r="I68" s="68" t="e">
        <v>#N/A</v>
      </c>
      <c r="J68" s="68" t="e">
        <v>#N/A</v>
      </c>
      <c r="K68" s="68" t="e">
        <v>#N/A</v>
      </c>
      <c r="L68" s="68" t="e">
        <v>#N/A</v>
      </c>
      <c r="M68" s="68" t="e">
        <v>#N/A</v>
      </c>
      <c r="N68" s="68" t="e">
        <v>#N/A</v>
      </c>
      <c r="O68" s="68" t="e">
        <v>#N/A</v>
      </c>
    </row>
    <row r="69" spans="1:15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 t="e">
        <v>#N/A</v>
      </c>
      <c r="I69" s="68" t="e">
        <v>#N/A</v>
      </c>
      <c r="J69" s="68" t="e">
        <v>#N/A</v>
      </c>
      <c r="K69" s="68" t="e">
        <v>#N/A</v>
      </c>
      <c r="L69" s="68" t="e">
        <v>#N/A</v>
      </c>
      <c r="M69" s="68" t="e">
        <v>#N/A</v>
      </c>
      <c r="N69" s="68" t="e">
        <v>#N/A</v>
      </c>
      <c r="O69" s="68" t="e">
        <v>#N/A</v>
      </c>
    </row>
    <row r="70" spans="1:15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 t="e">
        <v>#N/A</v>
      </c>
      <c r="I70" s="68" t="e">
        <v>#N/A</v>
      </c>
      <c r="J70" s="68" t="e">
        <v>#N/A</v>
      </c>
      <c r="K70" s="68" t="e">
        <v>#N/A</v>
      </c>
      <c r="L70" s="68" t="e">
        <v>#N/A</v>
      </c>
      <c r="M70" s="68" t="e">
        <v>#N/A</v>
      </c>
      <c r="N70" s="68" t="e">
        <v>#N/A</v>
      </c>
      <c r="O70" s="68" t="e">
        <v>#N/A</v>
      </c>
    </row>
    <row r="71" spans="1:15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 t="e">
        <v>#N/A</v>
      </c>
      <c r="I71" s="68" t="e">
        <v>#N/A</v>
      </c>
      <c r="J71" s="68" t="e">
        <v>#N/A</v>
      </c>
      <c r="K71" s="68" t="e">
        <v>#N/A</v>
      </c>
      <c r="L71" s="68" t="e">
        <v>#N/A</v>
      </c>
      <c r="M71" s="68" t="e">
        <v>#N/A</v>
      </c>
      <c r="N71" s="68" t="e">
        <v>#N/A</v>
      </c>
      <c r="O71" s="68" t="e">
        <v>#N/A</v>
      </c>
    </row>
    <row r="73" spans="1:15" ht="22.5" x14ac:dyDescent="0.25">
      <c r="A73" t="s">
        <v>140</v>
      </c>
      <c r="B73" s="8">
        <f>CellCount_Viability!A14</f>
        <v>0</v>
      </c>
      <c r="F73" s="67" t="s">
        <v>148</v>
      </c>
      <c r="G73" s="67" t="s">
        <v>63</v>
      </c>
      <c r="H73" s="67" t="s">
        <v>149</v>
      </c>
      <c r="I73" s="67" t="s">
        <v>150</v>
      </c>
      <c r="J73" s="67" t="s">
        <v>151</v>
      </c>
      <c r="K73" s="67" t="s">
        <v>152</v>
      </c>
      <c r="L73" s="67" t="s">
        <v>153</v>
      </c>
      <c r="M73" s="67" t="s">
        <v>154</v>
      </c>
      <c r="N73" s="67" t="s">
        <v>155</v>
      </c>
      <c r="O73" s="67" t="s">
        <v>156</v>
      </c>
    </row>
    <row r="74" spans="1:15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 t="e">
        <v>#N/A</v>
      </c>
      <c r="I74" s="68" t="e">
        <v>#N/A</v>
      </c>
      <c r="J74" s="68" t="e">
        <v>#N/A</v>
      </c>
      <c r="K74" s="68" t="e">
        <v>#N/A</v>
      </c>
      <c r="L74" s="68" t="e">
        <v>#N/A</v>
      </c>
      <c r="M74" s="68" t="e">
        <v>#N/A</v>
      </c>
      <c r="N74" s="68" t="e">
        <v>#N/A</v>
      </c>
      <c r="O74" s="68" t="e">
        <v>#N/A</v>
      </c>
    </row>
    <row r="75" spans="1:15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 t="e">
        <v>#N/A</v>
      </c>
      <c r="I75" s="68" t="e">
        <v>#N/A</v>
      </c>
      <c r="J75" s="68" t="e">
        <v>#N/A</v>
      </c>
      <c r="K75" s="68" t="e">
        <v>#N/A</v>
      </c>
      <c r="L75" s="68" t="e">
        <v>#N/A</v>
      </c>
      <c r="M75" s="68" t="e">
        <v>#N/A</v>
      </c>
      <c r="N75" s="68" t="e">
        <v>#N/A</v>
      </c>
      <c r="O75" s="68" t="e">
        <v>#N/A</v>
      </c>
    </row>
    <row r="76" spans="1:15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 t="e">
        <v>#N/A</v>
      </c>
      <c r="I76" s="68" t="e">
        <v>#N/A</v>
      </c>
      <c r="J76" s="68" t="e">
        <v>#N/A</v>
      </c>
      <c r="K76" s="68" t="e">
        <v>#N/A</v>
      </c>
      <c r="L76" s="68" t="e">
        <v>#N/A</v>
      </c>
      <c r="M76" s="68" t="e">
        <v>#N/A</v>
      </c>
      <c r="N76" s="68" t="e">
        <v>#N/A</v>
      </c>
      <c r="O76" s="68" t="e">
        <v>#N/A</v>
      </c>
    </row>
    <row r="77" spans="1:15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 t="e">
        <v>#N/A</v>
      </c>
      <c r="I77" s="68" t="e">
        <v>#N/A</v>
      </c>
      <c r="J77" s="68" t="e">
        <v>#N/A</v>
      </c>
      <c r="K77" s="68" t="e">
        <v>#N/A</v>
      </c>
      <c r="L77" s="68" t="e">
        <v>#N/A</v>
      </c>
      <c r="M77" s="68" t="e">
        <v>#N/A</v>
      </c>
      <c r="N77" s="68" t="e">
        <v>#N/A</v>
      </c>
      <c r="O77" s="68" t="e">
        <v>#N/A</v>
      </c>
    </row>
    <row r="79" spans="1:15" ht="22.5" x14ac:dyDescent="0.25">
      <c r="A79" t="s">
        <v>141</v>
      </c>
      <c r="B79" s="8">
        <f>CellCount_Viability!A15</f>
        <v>0</v>
      </c>
      <c r="F79" s="67" t="s">
        <v>148</v>
      </c>
      <c r="G79" s="67" t="s">
        <v>63</v>
      </c>
      <c r="H79" s="67" t="s">
        <v>149</v>
      </c>
      <c r="I79" s="67" t="s">
        <v>150</v>
      </c>
      <c r="J79" s="67" t="s">
        <v>151</v>
      </c>
      <c r="K79" s="67" t="s">
        <v>152</v>
      </c>
      <c r="L79" s="67" t="s">
        <v>153</v>
      </c>
      <c r="M79" s="67" t="s">
        <v>154</v>
      </c>
      <c r="N79" s="67" t="s">
        <v>155</v>
      </c>
      <c r="O79" s="67" t="s">
        <v>156</v>
      </c>
    </row>
    <row r="80" spans="1:15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 t="e">
        <v>#N/A</v>
      </c>
      <c r="I80" s="68" t="e">
        <v>#N/A</v>
      </c>
      <c r="J80" s="68" t="e">
        <v>#N/A</v>
      </c>
      <c r="K80" s="68" t="e">
        <v>#N/A</v>
      </c>
      <c r="L80" s="68" t="e">
        <v>#N/A</v>
      </c>
      <c r="M80" s="68" t="e">
        <v>#N/A</v>
      </c>
      <c r="N80" s="68" t="e">
        <v>#N/A</v>
      </c>
      <c r="O80" s="68" t="e">
        <v>#N/A</v>
      </c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 t="e">
        <v>#N/A</v>
      </c>
      <c r="I81" s="68" t="e">
        <v>#N/A</v>
      </c>
      <c r="J81" s="68" t="e">
        <v>#N/A</v>
      </c>
      <c r="K81" s="68" t="e">
        <v>#N/A</v>
      </c>
      <c r="L81" s="68" t="e">
        <v>#N/A</v>
      </c>
      <c r="M81" s="68" t="e">
        <v>#N/A</v>
      </c>
      <c r="N81" s="68" t="e">
        <v>#N/A</v>
      </c>
      <c r="O81" s="68" t="e">
        <v>#N/A</v>
      </c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 t="e">
        <v>#N/A</v>
      </c>
      <c r="I82" s="68" t="e">
        <v>#N/A</v>
      </c>
      <c r="J82" s="68" t="e">
        <v>#N/A</v>
      </c>
      <c r="K82" s="68" t="e">
        <v>#N/A</v>
      </c>
      <c r="L82" s="68" t="e">
        <v>#N/A</v>
      </c>
      <c r="M82" s="68" t="e">
        <v>#N/A</v>
      </c>
      <c r="N82" s="68" t="e">
        <v>#N/A</v>
      </c>
      <c r="O82" s="68" t="e">
        <v>#N/A</v>
      </c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 t="e">
        <v>#N/A</v>
      </c>
      <c r="I83" s="68" t="e">
        <v>#N/A</v>
      </c>
      <c r="J83" s="68" t="e">
        <v>#N/A</v>
      </c>
      <c r="K83" s="68" t="e">
        <v>#N/A</v>
      </c>
      <c r="L83" s="68" t="e">
        <v>#N/A</v>
      </c>
      <c r="M83" s="68" t="e">
        <v>#N/A</v>
      </c>
      <c r="N83" s="68" t="e">
        <v>#N/A</v>
      </c>
      <c r="O83" s="68" t="e">
        <v>#N/A</v>
      </c>
    </row>
    <row r="85" spans="1:15" ht="22.5" x14ac:dyDescent="0.25">
      <c r="A85" t="s">
        <v>142</v>
      </c>
      <c r="B85" s="8">
        <f>CellCount_Viability!A16</f>
        <v>0</v>
      </c>
      <c r="F85" s="67" t="s">
        <v>148</v>
      </c>
      <c r="G85" s="67" t="s">
        <v>63</v>
      </c>
      <c r="H85" s="67" t="s">
        <v>149</v>
      </c>
      <c r="I85" s="67" t="s">
        <v>150</v>
      </c>
      <c r="J85" s="67" t="s">
        <v>151</v>
      </c>
      <c r="K85" s="67" t="s">
        <v>152</v>
      </c>
      <c r="L85" s="67" t="s">
        <v>153</v>
      </c>
      <c r="M85" s="67" t="s">
        <v>154</v>
      </c>
      <c r="N85" s="67" t="s">
        <v>155</v>
      </c>
      <c r="O85" s="67" t="s">
        <v>156</v>
      </c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 t="e">
        <v>#N/A</v>
      </c>
      <c r="I86" s="68" t="e">
        <v>#N/A</v>
      </c>
      <c r="J86" s="68" t="e">
        <v>#N/A</v>
      </c>
      <c r="K86" s="68" t="e">
        <v>#N/A</v>
      </c>
      <c r="L86" s="68" t="e">
        <v>#N/A</v>
      </c>
      <c r="M86" s="68" t="e">
        <v>#N/A</v>
      </c>
      <c r="N86" s="68" t="e">
        <v>#N/A</v>
      </c>
      <c r="O86" s="68" t="e">
        <v>#N/A</v>
      </c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 t="e">
        <v>#N/A</v>
      </c>
      <c r="I87" s="68" t="e">
        <v>#N/A</v>
      </c>
      <c r="J87" s="68" t="e">
        <v>#N/A</v>
      </c>
      <c r="K87" s="68" t="e">
        <v>#N/A</v>
      </c>
      <c r="L87" s="68" t="e">
        <v>#N/A</v>
      </c>
      <c r="M87" s="68" t="e">
        <v>#N/A</v>
      </c>
      <c r="N87" s="68" t="e">
        <v>#N/A</v>
      </c>
      <c r="O87" s="68" t="e">
        <v>#N/A</v>
      </c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 t="e">
        <v>#N/A</v>
      </c>
      <c r="I88" s="68" t="e">
        <v>#N/A</v>
      </c>
      <c r="J88" s="68" t="e">
        <v>#N/A</v>
      </c>
      <c r="K88" s="68" t="e">
        <v>#N/A</v>
      </c>
      <c r="L88" s="68" t="e">
        <v>#N/A</v>
      </c>
      <c r="M88" s="68" t="e">
        <v>#N/A</v>
      </c>
      <c r="N88" s="68" t="e">
        <v>#N/A</v>
      </c>
      <c r="O88" s="68" t="e">
        <v>#N/A</v>
      </c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 t="e">
        <v>#N/A</v>
      </c>
      <c r="I89" s="68" t="e">
        <v>#N/A</v>
      </c>
      <c r="J89" s="68" t="e">
        <v>#N/A</v>
      </c>
      <c r="K89" s="68" t="e">
        <v>#N/A</v>
      </c>
      <c r="L89" s="68" t="e">
        <v>#N/A</v>
      </c>
      <c r="M89" s="68" t="e">
        <v>#N/A</v>
      </c>
      <c r="N89" s="68" t="e">
        <v>#N/A</v>
      </c>
      <c r="O89" s="68" t="e">
        <v>#N/A</v>
      </c>
    </row>
    <row r="91" spans="1:15" ht="22.5" x14ac:dyDescent="0.25">
      <c r="A91" t="s">
        <v>143</v>
      </c>
      <c r="B91" s="8">
        <f>CellCount_Viability!A17</f>
        <v>0</v>
      </c>
      <c r="F91" s="67" t="s">
        <v>148</v>
      </c>
      <c r="G91" s="67" t="s">
        <v>63</v>
      </c>
      <c r="H91" s="67" t="s">
        <v>149</v>
      </c>
      <c r="I91" s="67" t="s">
        <v>150</v>
      </c>
      <c r="J91" s="67" t="s">
        <v>151</v>
      </c>
      <c r="K91" s="67" t="s">
        <v>152</v>
      </c>
      <c r="L91" s="67" t="s">
        <v>153</v>
      </c>
      <c r="M91" s="67" t="s">
        <v>154</v>
      </c>
      <c r="N91" s="67" t="s">
        <v>155</v>
      </c>
      <c r="O91" s="67" t="s">
        <v>156</v>
      </c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 t="e">
        <v>#N/A</v>
      </c>
      <c r="I92" s="68" t="e">
        <v>#N/A</v>
      </c>
      <c r="J92" s="68" t="e">
        <v>#N/A</v>
      </c>
      <c r="K92" s="68" t="e">
        <v>#N/A</v>
      </c>
      <c r="L92" s="68" t="e">
        <v>#N/A</v>
      </c>
      <c r="M92" s="68" t="e">
        <v>#N/A</v>
      </c>
      <c r="N92" s="68" t="e">
        <v>#N/A</v>
      </c>
      <c r="O92" s="68" t="e">
        <v>#N/A</v>
      </c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 t="e">
        <v>#N/A</v>
      </c>
      <c r="I93" s="68" t="e">
        <v>#N/A</v>
      </c>
      <c r="J93" s="68" t="e">
        <v>#N/A</v>
      </c>
      <c r="K93" s="68" t="e">
        <v>#N/A</v>
      </c>
      <c r="L93" s="68" t="e">
        <v>#N/A</v>
      </c>
      <c r="M93" s="68" t="e">
        <v>#N/A</v>
      </c>
      <c r="N93" s="68" t="e">
        <v>#N/A</v>
      </c>
      <c r="O93" s="68" t="e">
        <v>#N/A</v>
      </c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 t="e">
        <v>#N/A</v>
      </c>
      <c r="I94" s="68" t="e">
        <v>#N/A</v>
      </c>
      <c r="J94" s="68" t="e">
        <v>#N/A</v>
      </c>
      <c r="K94" s="68" t="e">
        <v>#N/A</v>
      </c>
      <c r="L94" s="68" t="e">
        <v>#N/A</v>
      </c>
      <c r="M94" s="68" t="e">
        <v>#N/A</v>
      </c>
      <c r="N94" s="68" t="e">
        <v>#N/A</v>
      </c>
      <c r="O94" s="68" t="e">
        <v>#N/A</v>
      </c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 t="e">
        <v>#N/A</v>
      </c>
      <c r="I95" s="68" t="e">
        <v>#N/A</v>
      </c>
      <c r="J95" s="68" t="e">
        <v>#N/A</v>
      </c>
      <c r="K95" s="68" t="e">
        <v>#N/A</v>
      </c>
      <c r="L95" s="68" t="e">
        <v>#N/A</v>
      </c>
      <c r="M95" s="68" t="e">
        <v>#N/A</v>
      </c>
      <c r="N95" s="68" t="e">
        <v>#N/A</v>
      </c>
      <c r="O95" s="68" t="e">
        <v>#N/A</v>
      </c>
    </row>
    <row r="97" spans="1:15" ht="22.5" x14ac:dyDescent="0.25">
      <c r="A97" t="s">
        <v>144</v>
      </c>
      <c r="B97" s="8">
        <f>CellCount_Viability!A18</f>
        <v>0</v>
      </c>
      <c r="F97" s="67" t="s">
        <v>148</v>
      </c>
      <c r="G97" s="67" t="s">
        <v>63</v>
      </c>
      <c r="H97" s="67" t="s">
        <v>149</v>
      </c>
      <c r="I97" s="67" t="s">
        <v>150</v>
      </c>
      <c r="J97" s="67" t="s">
        <v>151</v>
      </c>
      <c r="K97" s="67" t="s">
        <v>152</v>
      </c>
      <c r="L97" s="67" t="s">
        <v>153</v>
      </c>
      <c r="M97" s="67" t="s">
        <v>154</v>
      </c>
      <c r="N97" s="67" t="s">
        <v>155</v>
      </c>
      <c r="O97" s="67" t="s">
        <v>156</v>
      </c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 t="e">
        <v>#N/A</v>
      </c>
      <c r="I98" s="68" t="e">
        <v>#N/A</v>
      </c>
      <c r="J98" s="68" t="e">
        <v>#N/A</v>
      </c>
      <c r="K98" s="68" t="e">
        <v>#N/A</v>
      </c>
      <c r="L98" s="68" t="e">
        <v>#N/A</v>
      </c>
      <c r="M98" s="68" t="e">
        <v>#N/A</v>
      </c>
      <c r="N98" s="68" t="e">
        <v>#N/A</v>
      </c>
      <c r="O98" s="68" t="e">
        <v>#N/A</v>
      </c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 t="e">
        <v>#N/A</v>
      </c>
      <c r="I99" s="68" t="e">
        <v>#N/A</v>
      </c>
      <c r="J99" s="68" t="e">
        <v>#N/A</v>
      </c>
      <c r="K99" s="68" t="e">
        <v>#N/A</v>
      </c>
      <c r="L99" s="68" t="e">
        <v>#N/A</v>
      </c>
      <c r="M99" s="68" t="e">
        <v>#N/A</v>
      </c>
      <c r="N99" s="68" t="e">
        <v>#N/A</v>
      </c>
      <c r="O99" s="68" t="e">
        <v>#N/A</v>
      </c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 t="e">
        <v>#N/A</v>
      </c>
      <c r="I100" s="68" t="e">
        <v>#N/A</v>
      </c>
      <c r="J100" s="68" t="e">
        <v>#N/A</v>
      </c>
      <c r="K100" s="68" t="e">
        <v>#N/A</v>
      </c>
      <c r="L100" s="68" t="e">
        <v>#N/A</v>
      </c>
      <c r="M100" s="68" t="e">
        <v>#N/A</v>
      </c>
      <c r="N100" s="68" t="e">
        <v>#N/A</v>
      </c>
      <c r="O100" s="68" t="e">
        <v>#N/A</v>
      </c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 t="e">
        <v>#N/A</v>
      </c>
      <c r="I101" s="68" t="e">
        <v>#N/A</v>
      </c>
      <c r="J101" s="68" t="e">
        <v>#N/A</v>
      </c>
      <c r="K101" s="68" t="e">
        <v>#N/A</v>
      </c>
      <c r="L101" s="68" t="e">
        <v>#N/A</v>
      </c>
      <c r="M101" s="68" t="e">
        <v>#N/A</v>
      </c>
      <c r="N101" s="68" t="e">
        <v>#N/A</v>
      </c>
      <c r="O101" s="68" t="e">
        <v>#N/A</v>
      </c>
    </row>
    <row r="103" spans="1:15" ht="22.5" x14ac:dyDescent="0.25">
      <c r="A103" t="s">
        <v>145</v>
      </c>
      <c r="B103" s="8">
        <f>CellCount_Viability!A19</f>
        <v>0</v>
      </c>
      <c r="F103" s="67" t="s">
        <v>148</v>
      </c>
      <c r="G103" s="67" t="s">
        <v>63</v>
      </c>
      <c r="H103" s="67" t="s">
        <v>149</v>
      </c>
      <c r="I103" s="67" t="s">
        <v>150</v>
      </c>
      <c r="J103" s="67" t="s">
        <v>151</v>
      </c>
      <c r="K103" s="67" t="s">
        <v>152</v>
      </c>
      <c r="L103" s="67" t="s">
        <v>153</v>
      </c>
      <c r="M103" s="67" t="s">
        <v>154</v>
      </c>
      <c r="N103" s="67" t="s">
        <v>155</v>
      </c>
      <c r="O103" s="67" t="s">
        <v>156</v>
      </c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 t="e">
        <v>#N/A</v>
      </c>
      <c r="I104" s="68" t="e">
        <v>#N/A</v>
      </c>
      <c r="J104" s="68" t="e">
        <v>#N/A</v>
      </c>
      <c r="K104" s="68" t="e">
        <v>#N/A</v>
      </c>
      <c r="L104" s="68" t="e">
        <v>#N/A</v>
      </c>
      <c r="M104" s="68" t="e">
        <v>#N/A</v>
      </c>
      <c r="N104" s="68" t="e">
        <v>#N/A</v>
      </c>
      <c r="O104" s="68" t="e">
        <v>#N/A</v>
      </c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 t="e">
        <v>#N/A</v>
      </c>
      <c r="I105" s="68" t="e">
        <v>#N/A</v>
      </c>
      <c r="J105" s="68" t="e">
        <v>#N/A</v>
      </c>
      <c r="K105" s="68" t="e">
        <v>#N/A</v>
      </c>
      <c r="L105" s="68" t="e">
        <v>#N/A</v>
      </c>
      <c r="M105" s="68" t="e">
        <v>#N/A</v>
      </c>
      <c r="N105" s="68" t="e">
        <v>#N/A</v>
      </c>
      <c r="O105" s="68" t="e">
        <v>#N/A</v>
      </c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 t="e">
        <v>#N/A</v>
      </c>
      <c r="I106" s="68" t="e">
        <v>#N/A</v>
      </c>
      <c r="J106" s="68" t="e">
        <v>#N/A</v>
      </c>
      <c r="K106" s="68" t="e">
        <v>#N/A</v>
      </c>
      <c r="L106" s="68" t="e">
        <v>#N/A</v>
      </c>
      <c r="M106" s="68" t="e">
        <v>#N/A</v>
      </c>
      <c r="N106" s="68" t="e">
        <v>#N/A</v>
      </c>
      <c r="O106" s="68" t="e">
        <v>#N/A</v>
      </c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 t="e">
        <v>#N/A</v>
      </c>
      <c r="I107" s="68" t="e">
        <v>#N/A</v>
      </c>
      <c r="J107" s="68" t="e">
        <v>#N/A</v>
      </c>
      <c r="K107" s="68" t="e">
        <v>#N/A</v>
      </c>
      <c r="L107" s="68" t="e">
        <v>#N/A</v>
      </c>
      <c r="M107" s="68" t="e">
        <v>#N/A</v>
      </c>
      <c r="N107" s="68" t="e">
        <v>#N/A</v>
      </c>
      <c r="O107" s="68" t="e">
        <v>#N/A</v>
      </c>
    </row>
    <row r="109" spans="1:15" ht="22.5" x14ac:dyDescent="0.25">
      <c r="A109" t="s">
        <v>146</v>
      </c>
      <c r="B109" s="8">
        <f>CellCount_Viability!A20</f>
        <v>0</v>
      </c>
      <c r="F109" s="67" t="s">
        <v>148</v>
      </c>
      <c r="G109" s="67" t="s">
        <v>63</v>
      </c>
      <c r="H109" s="67" t="s">
        <v>149</v>
      </c>
      <c r="I109" s="67" t="s">
        <v>150</v>
      </c>
      <c r="J109" s="67" t="s">
        <v>151</v>
      </c>
      <c r="K109" s="67" t="s">
        <v>152</v>
      </c>
      <c r="L109" s="67" t="s">
        <v>153</v>
      </c>
      <c r="M109" s="67" t="s">
        <v>154</v>
      </c>
      <c r="N109" s="67" t="s">
        <v>155</v>
      </c>
      <c r="O109" s="67" t="s">
        <v>156</v>
      </c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 t="e">
        <v>#N/A</v>
      </c>
      <c r="I110" s="68" t="e">
        <v>#N/A</v>
      </c>
      <c r="J110" s="68" t="e">
        <v>#N/A</v>
      </c>
      <c r="K110" s="68" t="e">
        <v>#N/A</v>
      </c>
      <c r="L110" s="68" t="e">
        <v>#N/A</v>
      </c>
      <c r="M110" s="68" t="e">
        <v>#N/A</v>
      </c>
      <c r="N110" s="68" t="e">
        <v>#N/A</v>
      </c>
      <c r="O110" s="68" t="e">
        <v>#N/A</v>
      </c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 t="e">
        <v>#N/A</v>
      </c>
      <c r="I111" s="68" t="e">
        <v>#N/A</v>
      </c>
      <c r="J111" s="68" t="e">
        <v>#N/A</v>
      </c>
      <c r="K111" s="68" t="e">
        <v>#N/A</v>
      </c>
      <c r="L111" s="68" t="e">
        <v>#N/A</v>
      </c>
      <c r="M111" s="68" t="e">
        <v>#N/A</v>
      </c>
      <c r="N111" s="68" t="e">
        <v>#N/A</v>
      </c>
      <c r="O111" s="68" t="e">
        <v>#N/A</v>
      </c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 t="e">
        <v>#N/A</v>
      </c>
      <c r="I112" s="68" t="e">
        <v>#N/A</v>
      </c>
      <c r="J112" s="68" t="e">
        <v>#N/A</v>
      </c>
      <c r="K112" s="68" t="e">
        <v>#N/A</v>
      </c>
      <c r="L112" s="68" t="e">
        <v>#N/A</v>
      </c>
      <c r="M112" s="68" t="e">
        <v>#N/A</v>
      </c>
      <c r="N112" s="68" t="e">
        <v>#N/A</v>
      </c>
      <c r="O112" s="68" t="e">
        <v>#N/A</v>
      </c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 t="e">
        <v>#N/A</v>
      </c>
      <c r="I113" s="68" t="e">
        <v>#N/A</v>
      </c>
      <c r="J113" s="68" t="e">
        <v>#N/A</v>
      </c>
      <c r="K113" s="68" t="e">
        <v>#N/A</v>
      </c>
      <c r="L113" s="68" t="e">
        <v>#N/A</v>
      </c>
      <c r="M113" s="68" t="e">
        <v>#N/A</v>
      </c>
      <c r="N113" s="68" t="e">
        <v>#N/A</v>
      </c>
      <c r="O113" s="68" t="e">
        <v>#N/A</v>
      </c>
    </row>
    <row r="115" spans="1:15" ht="22.5" x14ac:dyDescent="0.25">
      <c r="A115" t="s">
        <v>147</v>
      </c>
      <c r="B115" s="8">
        <f>CellCount_Viability!A21</f>
        <v>0</v>
      </c>
      <c r="F115" s="67" t="s">
        <v>148</v>
      </c>
      <c r="G115" s="67" t="s">
        <v>63</v>
      </c>
      <c r="H115" s="67" t="s">
        <v>149</v>
      </c>
      <c r="I115" s="67" t="s">
        <v>150</v>
      </c>
      <c r="J115" s="67" t="s">
        <v>151</v>
      </c>
      <c r="K115" s="67" t="s">
        <v>152</v>
      </c>
      <c r="L115" s="67" t="s">
        <v>153</v>
      </c>
      <c r="M115" s="67" t="s">
        <v>154</v>
      </c>
      <c r="N115" s="67" t="s">
        <v>155</v>
      </c>
      <c r="O115" s="67" t="s">
        <v>156</v>
      </c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 t="e">
        <v>#N/A</v>
      </c>
      <c r="I116" s="68" t="e">
        <v>#N/A</v>
      </c>
      <c r="J116" s="68" t="e">
        <v>#N/A</v>
      </c>
      <c r="K116" s="68" t="e">
        <v>#N/A</v>
      </c>
      <c r="L116" s="68" t="e">
        <v>#N/A</v>
      </c>
      <c r="M116" s="68" t="e">
        <v>#N/A</v>
      </c>
      <c r="N116" s="68" t="e">
        <v>#N/A</v>
      </c>
      <c r="O116" s="68" t="e">
        <v>#N/A</v>
      </c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 t="e">
        <v>#N/A</v>
      </c>
      <c r="I117" s="68" t="e">
        <v>#N/A</v>
      </c>
      <c r="J117" s="68" t="e">
        <v>#N/A</v>
      </c>
      <c r="K117" s="68" t="e">
        <v>#N/A</v>
      </c>
      <c r="L117" s="68" t="e">
        <v>#N/A</v>
      </c>
      <c r="M117" s="68" t="e">
        <v>#N/A</v>
      </c>
      <c r="N117" s="68" t="e">
        <v>#N/A</v>
      </c>
      <c r="O117" s="68" t="e">
        <v>#N/A</v>
      </c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 t="e">
        <v>#N/A</v>
      </c>
      <c r="I118" s="68" t="e">
        <v>#N/A</v>
      </c>
      <c r="J118" s="68" t="e">
        <v>#N/A</v>
      </c>
      <c r="K118" s="68" t="e">
        <v>#N/A</v>
      </c>
      <c r="L118" s="68" t="e">
        <v>#N/A</v>
      </c>
      <c r="M118" s="68" t="e">
        <v>#N/A</v>
      </c>
      <c r="N118" s="68" t="e">
        <v>#N/A</v>
      </c>
      <c r="O118" s="68" t="e">
        <v>#N/A</v>
      </c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 t="e">
        <v>#N/A</v>
      </c>
      <c r="I119" s="68" t="e">
        <v>#N/A</v>
      </c>
      <c r="J119" s="68" t="e">
        <v>#N/A</v>
      </c>
      <c r="K119" s="68" t="e">
        <v>#N/A</v>
      </c>
      <c r="L119" s="68" t="e">
        <v>#N/A</v>
      </c>
      <c r="M119" s="68" t="e">
        <v>#N/A</v>
      </c>
      <c r="N119" s="68" t="e">
        <v>#N/A</v>
      </c>
      <c r="O119" s="68" t="e">
        <v>#N/A</v>
      </c>
    </row>
  </sheetData>
  <mergeCells count="162">
    <mergeCell ref="A2:B2"/>
    <mergeCell ref="C2:D2"/>
    <mergeCell ref="A3:B3"/>
    <mergeCell ref="C3:D3"/>
    <mergeCell ref="A4:B4"/>
    <mergeCell ref="C4:D4"/>
    <mergeCell ref="A9:B9"/>
    <mergeCell ref="C9:D9"/>
    <mergeCell ref="A10:B10"/>
    <mergeCell ref="C10:D10"/>
    <mergeCell ref="A11:B11"/>
    <mergeCell ref="C11:D11"/>
    <mergeCell ref="A5:B5"/>
    <mergeCell ref="C5:D5"/>
    <mergeCell ref="A6:B6"/>
    <mergeCell ref="C6:D6"/>
    <mergeCell ref="A8:B8"/>
    <mergeCell ref="C8:D8"/>
    <mergeCell ref="A17:B17"/>
    <mergeCell ref="C17:D17"/>
    <mergeCell ref="A20:B20"/>
    <mergeCell ref="C20:D20"/>
    <mergeCell ref="A21:B21"/>
    <mergeCell ref="C21:D21"/>
    <mergeCell ref="A14:B14"/>
    <mergeCell ref="C14:D14"/>
    <mergeCell ref="A15:B15"/>
    <mergeCell ref="C15:D15"/>
    <mergeCell ref="A16:B16"/>
    <mergeCell ref="C16:D16"/>
    <mergeCell ref="A27:B27"/>
    <mergeCell ref="C27:D27"/>
    <mergeCell ref="A28:B28"/>
    <mergeCell ref="C28:D28"/>
    <mergeCell ref="A29:B29"/>
    <mergeCell ref="C29:D29"/>
    <mergeCell ref="A22:B22"/>
    <mergeCell ref="C22:D22"/>
    <mergeCell ref="A23:B23"/>
    <mergeCell ref="C23:D23"/>
    <mergeCell ref="A26:B26"/>
    <mergeCell ref="C26:D26"/>
    <mergeCell ref="A35:B35"/>
    <mergeCell ref="C35:D35"/>
    <mergeCell ref="A38:B38"/>
    <mergeCell ref="C38:D38"/>
    <mergeCell ref="A39:B39"/>
    <mergeCell ref="C39:D39"/>
    <mergeCell ref="A32:B32"/>
    <mergeCell ref="C32:D32"/>
    <mergeCell ref="A33:B33"/>
    <mergeCell ref="C33:D33"/>
    <mergeCell ref="A34:B34"/>
    <mergeCell ref="C34:D34"/>
    <mergeCell ref="A45:B45"/>
    <mergeCell ref="C45:D45"/>
    <mergeCell ref="A46:B46"/>
    <mergeCell ref="C46:D46"/>
    <mergeCell ref="A47:B47"/>
    <mergeCell ref="C47:D47"/>
    <mergeCell ref="A40:B40"/>
    <mergeCell ref="C40:D40"/>
    <mergeCell ref="A41:B41"/>
    <mergeCell ref="C41:D41"/>
    <mergeCell ref="A44:B44"/>
    <mergeCell ref="C44:D44"/>
    <mergeCell ref="A53:B53"/>
    <mergeCell ref="C53:D53"/>
    <mergeCell ref="A56:B56"/>
    <mergeCell ref="C56:D56"/>
    <mergeCell ref="A57:B57"/>
    <mergeCell ref="C57:D57"/>
    <mergeCell ref="A50:B50"/>
    <mergeCell ref="C50:D50"/>
    <mergeCell ref="A51:B51"/>
    <mergeCell ref="C51:D51"/>
    <mergeCell ref="A52:B52"/>
    <mergeCell ref="C52:D52"/>
    <mergeCell ref="A63:B63"/>
    <mergeCell ref="C63:D63"/>
    <mergeCell ref="A64:B64"/>
    <mergeCell ref="C64:D64"/>
    <mergeCell ref="A65:B65"/>
    <mergeCell ref="C65:D65"/>
    <mergeCell ref="A58:B58"/>
    <mergeCell ref="C58:D58"/>
    <mergeCell ref="A59:B59"/>
    <mergeCell ref="C59:D59"/>
    <mergeCell ref="A62:B62"/>
    <mergeCell ref="C62:D62"/>
    <mergeCell ref="A71:B71"/>
    <mergeCell ref="C71:D71"/>
    <mergeCell ref="A74:B74"/>
    <mergeCell ref="C74:D74"/>
    <mergeCell ref="A75:B75"/>
    <mergeCell ref="C75:D75"/>
    <mergeCell ref="A68:B68"/>
    <mergeCell ref="C68:D68"/>
    <mergeCell ref="A69:B69"/>
    <mergeCell ref="C69:D69"/>
    <mergeCell ref="A70:B70"/>
    <mergeCell ref="C70:D70"/>
    <mergeCell ref="A81:B81"/>
    <mergeCell ref="C81:D81"/>
    <mergeCell ref="A82:B82"/>
    <mergeCell ref="C82:D82"/>
    <mergeCell ref="A83:B83"/>
    <mergeCell ref="C83:D83"/>
    <mergeCell ref="A76:B76"/>
    <mergeCell ref="C76:D76"/>
    <mergeCell ref="A77:B77"/>
    <mergeCell ref="C77:D77"/>
    <mergeCell ref="A80:B80"/>
    <mergeCell ref="C80:D80"/>
    <mergeCell ref="A89:B89"/>
    <mergeCell ref="C89:D89"/>
    <mergeCell ref="A92:B92"/>
    <mergeCell ref="C92:D92"/>
    <mergeCell ref="A93:B93"/>
    <mergeCell ref="C93:D93"/>
    <mergeCell ref="A86:B86"/>
    <mergeCell ref="C86:D86"/>
    <mergeCell ref="A87:B87"/>
    <mergeCell ref="C87:D87"/>
    <mergeCell ref="A88:B88"/>
    <mergeCell ref="C88:D88"/>
    <mergeCell ref="A99:B99"/>
    <mergeCell ref="C99:D99"/>
    <mergeCell ref="A100:B100"/>
    <mergeCell ref="C100:D100"/>
    <mergeCell ref="A101:B101"/>
    <mergeCell ref="C101:D101"/>
    <mergeCell ref="A94:B94"/>
    <mergeCell ref="C94:D94"/>
    <mergeCell ref="A95:B95"/>
    <mergeCell ref="C95:D95"/>
    <mergeCell ref="A98:B98"/>
    <mergeCell ref="C98:D98"/>
    <mergeCell ref="A107:B107"/>
    <mergeCell ref="C107:D107"/>
    <mergeCell ref="A110:B110"/>
    <mergeCell ref="C110:D110"/>
    <mergeCell ref="A111:B111"/>
    <mergeCell ref="C111:D111"/>
    <mergeCell ref="A104:B104"/>
    <mergeCell ref="C104:D104"/>
    <mergeCell ref="A105:B105"/>
    <mergeCell ref="C105:D105"/>
    <mergeCell ref="A106:B106"/>
    <mergeCell ref="C106:D106"/>
    <mergeCell ref="A117:B117"/>
    <mergeCell ref="C117:D117"/>
    <mergeCell ref="A118:B118"/>
    <mergeCell ref="C118:D118"/>
    <mergeCell ref="A119:B119"/>
    <mergeCell ref="C119:D119"/>
    <mergeCell ref="A112:B112"/>
    <mergeCell ref="C112:D112"/>
    <mergeCell ref="A113:B113"/>
    <mergeCell ref="C113:D113"/>
    <mergeCell ref="A116:B116"/>
    <mergeCell ref="C116:D1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68A0-3CDF-4E0F-980D-A8E27936F409}">
  <sheetPr codeName="Sheet10"/>
  <dimension ref="A1:O119"/>
  <sheetViews>
    <sheetView topLeftCell="A48" zoomScale="145" zoomScaleNormal="145" workbookViewId="0">
      <selection activeCell="G60" sqref="G60"/>
    </sheetView>
  </sheetViews>
  <sheetFormatPr defaultRowHeight="15" x14ac:dyDescent="0.25"/>
  <cols>
    <col min="1" max="2" width="32.5703125" customWidth="1"/>
    <col min="6" max="15" width="12.5703125" customWidth="1"/>
  </cols>
  <sheetData>
    <row r="1" spans="1:15" ht="33.6" customHeight="1" x14ac:dyDescent="0.25">
      <c r="A1" t="s">
        <v>54</v>
      </c>
      <c r="B1" s="8">
        <f>CellCount_Viability!A2</f>
        <v>46268</v>
      </c>
      <c r="F1" s="87" t="s">
        <v>185</v>
      </c>
      <c r="G1" s="87" t="s">
        <v>186</v>
      </c>
      <c r="H1" s="67"/>
      <c r="I1" s="67"/>
      <c r="J1" s="67"/>
      <c r="K1" s="67"/>
      <c r="L1" s="67"/>
      <c r="M1" s="67"/>
      <c r="N1" s="67"/>
      <c r="O1" s="67"/>
    </row>
    <row r="2" spans="1:15" ht="9.1999999999999993" customHeight="1" x14ac:dyDescent="0.25">
      <c r="A2" s="106" t="s">
        <v>64</v>
      </c>
      <c r="B2" s="105"/>
      <c r="C2" s="106" t="s">
        <v>181</v>
      </c>
      <c r="D2" s="105"/>
      <c r="E2" s="87" t="s">
        <v>66</v>
      </c>
      <c r="F2" s="68">
        <v>112.435</v>
      </c>
      <c r="G2" s="68">
        <v>24.689999999999998</v>
      </c>
      <c r="H2" s="68"/>
      <c r="I2" s="68"/>
      <c r="J2" s="68"/>
      <c r="K2" s="68"/>
      <c r="L2" s="68"/>
      <c r="M2" s="68"/>
      <c r="N2" s="68"/>
      <c r="O2" s="68"/>
    </row>
    <row r="3" spans="1:15" ht="9.1999999999999993" customHeight="1" x14ac:dyDescent="0.25">
      <c r="A3" s="106" t="s">
        <v>67</v>
      </c>
      <c r="B3" s="105"/>
      <c r="C3" s="106" t="s">
        <v>182</v>
      </c>
      <c r="D3" s="105"/>
      <c r="E3" s="87" t="s">
        <v>66</v>
      </c>
      <c r="F3" s="68">
        <v>112.435</v>
      </c>
      <c r="G3" s="68">
        <v>24.689999999999998</v>
      </c>
      <c r="H3" s="68"/>
      <c r="I3" s="68"/>
      <c r="J3" s="68"/>
      <c r="K3" s="68"/>
      <c r="L3" s="68"/>
      <c r="M3" s="68"/>
      <c r="N3" s="68"/>
      <c r="O3" s="68"/>
    </row>
    <row r="4" spans="1:15" ht="9.1999999999999993" customHeight="1" x14ac:dyDescent="0.25">
      <c r="A4" s="106" t="s">
        <v>69</v>
      </c>
      <c r="B4" s="105"/>
      <c r="C4" s="106" t="s">
        <v>183</v>
      </c>
      <c r="D4" s="105"/>
      <c r="E4" s="87" t="s">
        <v>66</v>
      </c>
      <c r="F4" s="68">
        <v>105.03</v>
      </c>
      <c r="G4" s="68">
        <v>24.5</v>
      </c>
      <c r="H4" s="68"/>
      <c r="I4" s="68"/>
      <c r="J4" s="68"/>
      <c r="K4" s="68"/>
      <c r="L4" s="68"/>
      <c r="M4" s="68"/>
      <c r="N4" s="68"/>
      <c r="O4" s="68"/>
    </row>
    <row r="5" spans="1:15" ht="9.1999999999999993" customHeight="1" x14ac:dyDescent="0.25">
      <c r="A5" s="106" t="s">
        <v>71</v>
      </c>
      <c r="B5" s="105"/>
      <c r="C5" s="106" t="s">
        <v>184</v>
      </c>
      <c r="D5" s="105"/>
      <c r="E5" s="87" t="s">
        <v>66</v>
      </c>
      <c r="F5" s="68">
        <v>105.03</v>
      </c>
      <c r="G5" s="68">
        <v>24.5</v>
      </c>
      <c r="H5" s="68"/>
      <c r="I5" s="68"/>
      <c r="J5" s="68"/>
      <c r="K5" s="68"/>
      <c r="L5" s="68"/>
      <c r="M5" s="68"/>
      <c r="N5" s="68"/>
      <c r="O5" s="68"/>
    </row>
    <row r="6" spans="1:15" x14ac:dyDescent="0.25">
      <c r="A6" s="104"/>
      <c r="B6" s="105"/>
      <c r="C6" s="104"/>
      <c r="D6" s="105"/>
      <c r="E6" s="67"/>
      <c r="F6" s="68"/>
      <c r="G6" s="68"/>
      <c r="H6" s="68"/>
      <c r="I6" s="68"/>
      <c r="J6" s="68"/>
      <c r="K6" s="68"/>
      <c r="L6" s="68"/>
      <c r="M6" s="68"/>
      <c r="N6" s="68"/>
      <c r="O6" s="68"/>
    </row>
    <row r="7" spans="1:15" ht="22.5" x14ac:dyDescent="0.25">
      <c r="A7" t="s">
        <v>74</v>
      </c>
      <c r="B7" s="8">
        <f>CellCount_Viability!A3</f>
        <v>46269</v>
      </c>
      <c r="F7" s="87" t="s">
        <v>185</v>
      </c>
      <c r="G7" s="87" t="s">
        <v>186</v>
      </c>
      <c r="H7" s="67"/>
      <c r="I7" s="67"/>
      <c r="J7" s="67"/>
      <c r="K7" s="67"/>
      <c r="L7" s="67"/>
      <c r="M7" s="67"/>
      <c r="N7" s="67"/>
      <c r="O7" s="67"/>
    </row>
    <row r="8" spans="1:15" ht="9.1999999999999993" customHeight="1" x14ac:dyDescent="0.25">
      <c r="A8" s="104" t="s">
        <v>82</v>
      </c>
      <c r="B8" s="105"/>
      <c r="C8" s="104" t="s">
        <v>181</v>
      </c>
      <c r="D8" s="105"/>
      <c r="E8" s="67" t="s">
        <v>66</v>
      </c>
      <c r="F8" s="68">
        <v>641.48</v>
      </c>
      <c r="G8" s="68">
        <v>379.37</v>
      </c>
      <c r="H8" s="68"/>
      <c r="I8" s="68"/>
      <c r="J8" s="68"/>
      <c r="K8" s="68"/>
      <c r="L8" s="68"/>
      <c r="M8" s="68"/>
      <c r="N8" s="68"/>
      <c r="O8" s="68"/>
    </row>
    <row r="9" spans="1:15" ht="9.1999999999999993" customHeight="1" x14ac:dyDescent="0.25">
      <c r="A9" s="104" t="s">
        <v>84</v>
      </c>
      <c r="B9" s="105"/>
      <c r="C9" s="104" t="s">
        <v>182</v>
      </c>
      <c r="D9" s="105"/>
      <c r="E9" s="67" t="s">
        <v>66</v>
      </c>
      <c r="F9" s="68">
        <v>611.16999999999996</v>
      </c>
      <c r="G9" s="68">
        <v>389.17</v>
      </c>
      <c r="H9" s="68"/>
      <c r="I9" s="68"/>
      <c r="J9" s="68"/>
      <c r="K9" s="68"/>
      <c r="L9" s="68"/>
      <c r="M9" s="68"/>
      <c r="N9" s="68"/>
      <c r="O9" s="68"/>
    </row>
    <row r="10" spans="1:15" ht="9.1999999999999993" customHeight="1" x14ac:dyDescent="0.25">
      <c r="A10" s="104" t="s">
        <v>86</v>
      </c>
      <c r="B10" s="105"/>
      <c r="C10" s="104" t="s">
        <v>183</v>
      </c>
      <c r="D10" s="105"/>
      <c r="E10" s="67" t="s">
        <v>66</v>
      </c>
      <c r="F10" s="68">
        <v>632.63</v>
      </c>
      <c r="G10" s="68">
        <v>370.91</v>
      </c>
      <c r="H10" s="68"/>
      <c r="I10" s="68"/>
      <c r="J10" s="68"/>
      <c r="K10" s="68"/>
      <c r="L10" s="68"/>
      <c r="M10" s="68"/>
      <c r="N10" s="68"/>
      <c r="O10" s="68"/>
    </row>
    <row r="11" spans="1:15" ht="9.1999999999999993" customHeight="1" x14ac:dyDescent="0.25">
      <c r="A11" s="104" t="s">
        <v>88</v>
      </c>
      <c r="B11" s="105"/>
      <c r="C11" s="104" t="s">
        <v>184</v>
      </c>
      <c r="D11" s="105"/>
      <c r="E11" s="67" t="s">
        <v>66</v>
      </c>
      <c r="F11" s="68">
        <v>611</v>
      </c>
      <c r="G11" s="68">
        <v>364.01</v>
      </c>
      <c r="H11" s="68"/>
      <c r="I11" s="68"/>
      <c r="J11" s="68"/>
      <c r="K11" s="68"/>
      <c r="L11" s="68"/>
      <c r="M11" s="68"/>
      <c r="N11" s="68"/>
      <c r="O11" s="68"/>
    </row>
    <row r="13" spans="1:15" ht="22.5" x14ac:dyDescent="0.25">
      <c r="A13" t="s">
        <v>75</v>
      </c>
      <c r="B13" s="8">
        <f>CellCount_Viability!A4</f>
        <v>46270</v>
      </c>
      <c r="F13" s="87" t="s">
        <v>185</v>
      </c>
      <c r="G13" s="87" t="s">
        <v>186</v>
      </c>
      <c r="H13" s="67"/>
      <c r="I13" s="67"/>
      <c r="J13" s="67"/>
      <c r="K13" s="67"/>
      <c r="L13" s="67"/>
      <c r="M13" s="67"/>
      <c r="N13" s="67"/>
      <c r="O13" s="67"/>
    </row>
    <row r="14" spans="1:15" ht="9.1999999999999993" customHeight="1" x14ac:dyDescent="0.25">
      <c r="A14" s="106" t="s">
        <v>64</v>
      </c>
      <c r="B14" s="105"/>
      <c r="C14" s="106" t="s">
        <v>181</v>
      </c>
      <c r="D14" s="105"/>
      <c r="E14" s="87" t="s">
        <v>66</v>
      </c>
      <c r="F14" s="68">
        <v>695</v>
      </c>
      <c r="G14" s="68">
        <v>412</v>
      </c>
      <c r="H14" s="68"/>
      <c r="I14" s="68"/>
      <c r="J14" s="68"/>
      <c r="K14" s="68"/>
      <c r="L14" s="68"/>
      <c r="M14" s="68"/>
      <c r="N14" s="68"/>
      <c r="O14" s="68"/>
    </row>
    <row r="15" spans="1:15" ht="9.1999999999999993" customHeight="1" x14ac:dyDescent="0.25">
      <c r="A15" s="106" t="s">
        <v>67</v>
      </c>
      <c r="B15" s="105"/>
      <c r="C15" s="106" t="s">
        <v>182</v>
      </c>
      <c r="D15" s="105"/>
      <c r="E15" s="87" t="s">
        <v>66</v>
      </c>
      <c r="F15" s="68">
        <v>700</v>
      </c>
      <c r="G15" s="68">
        <v>491</v>
      </c>
      <c r="H15" s="68"/>
      <c r="I15" s="68"/>
      <c r="J15" s="68"/>
      <c r="K15" s="68"/>
      <c r="L15" s="68"/>
      <c r="M15" s="68"/>
      <c r="N15" s="68"/>
      <c r="O15" s="68"/>
    </row>
    <row r="16" spans="1:15" ht="9.1999999999999993" customHeight="1" x14ac:dyDescent="0.25">
      <c r="A16" s="106" t="s">
        <v>69</v>
      </c>
      <c r="B16" s="105"/>
      <c r="C16" s="106" t="s">
        <v>183</v>
      </c>
      <c r="D16" s="105"/>
      <c r="E16" s="87" t="s">
        <v>66</v>
      </c>
      <c r="F16" s="68">
        <v>685</v>
      </c>
      <c r="G16" s="68">
        <v>501</v>
      </c>
      <c r="H16" s="68"/>
      <c r="I16" s="68"/>
      <c r="J16" s="68"/>
      <c r="K16" s="68"/>
      <c r="L16" s="68"/>
      <c r="M16" s="68"/>
      <c r="N16" s="68"/>
      <c r="O16" s="68"/>
    </row>
    <row r="17" spans="1:15" ht="9.1999999999999993" customHeight="1" x14ac:dyDescent="0.25">
      <c r="A17" s="106" t="s">
        <v>71</v>
      </c>
      <c r="B17" s="105"/>
      <c r="C17" s="106" t="s">
        <v>184</v>
      </c>
      <c r="D17" s="105"/>
      <c r="E17" s="87" t="s">
        <v>66</v>
      </c>
      <c r="F17" s="68">
        <v>690</v>
      </c>
      <c r="G17" s="68">
        <v>473</v>
      </c>
      <c r="H17" s="68"/>
      <c r="I17" s="68"/>
      <c r="J17" s="68"/>
      <c r="K17" s="68"/>
      <c r="L17" s="68"/>
      <c r="M17" s="68"/>
      <c r="N17" s="68"/>
      <c r="O17" s="68"/>
    </row>
    <row r="19" spans="1:15" ht="22.5" x14ac:dyDescent="0.25">
      <c r="A19" t="s">
        <v>76</v>
      </c>
      <c r="B19" s="8">
        <f>CellCount_Viability!A5</f>
        <v>46271</v>
      </c>
      <c r="F19" s="87" t="s">
        <v>185</v>
      </c>
      <c r="G19" s="87" t="s">
        <v>186</v>
      </c>
      <c r="H19" s="67"/>
      <c r="I19" s="67"/>
      <c r="J19" s="67"/>
      <c r="K19" s="67"/>
      <c r="L19" s="67"/>
      <c r="M19" s="67"/>
      <c r="N19" s="67"/>
      <c r="O19" s="67"/>
    </row>
    <row r="20" spans="1:15" ht="9.1999999999999993" customHeight="1" x14ac:dyDescent="0.25">
      <c r="A20" s="104" t="s">
        <v>90</v>
      </c>
      <c r="B20" s="105"/>
      <c r="C20" s="104" t="s">
        <v>317</v>
      </c>
      <c r="D20" s="105"/>
      <c r="E20" s="67" t="s">
        <v>66</v>
      </c>
      <c r="F20" s="68">
        <v>725</v>
      </c>
      <c r="G20" s="68">
        <v>596.42999999999995</v>
      </c>
      <c r="H20" s="68"/>
      <c r="I20" s="68"/>
      <c r="J20" s="68"/>
      <c r="K20" s="68"/>
      <c r="L20" s="68"/>
      <c r="M20" s="68"/>
      <c r="N20" s="68"/>
      <c r="O20" s="68"/>
    </row>
    <row r="21" spans="1:15" ht="9.1999999999999993" customHeight="1" x14ac:dyDescent="0.25">
      <c r="A21" s="104" t="s">
        <v>92</v>
      </c>
      <c r="B21" s="105"/>
      <c r="C21" s="104" t="s">
        <v>318</v>
      </c>
      <c r="D21" s="105"/>
      <c r="E21" s="67" t="s">
        <v>66</v>
      </c>
      <c r="F21" s="68">
        <v>695</v>
      </c>
      <c r="G21" s="68">
        <v>647.73</v>
      </c>
      <c r="H21" s="68"/>
      <c r="I21" s="68"/>
      <c r="J21" s="68"/>
      <c r="K21" s="68"/>
      <c r="L21" s="68"/>
      <c r="M21" s="68"/>
      <c r="N21" s="68"/>
      <c r="O21" s="68"/>
    </row>
    <row r="22" spans="1:15" ht="9.1999999999999993" customHeight="1" x14ac:dyDescent="0.25">
      <c r="A22" s="104" t="s">
        <v>94</v>
      </c>
      <c r="B22" s="105"/>
      <c r="C22" s="104" t="s">
        <v>319</v>
      </c>
      <c r="D22" s="105"/>
      <c r="E22" s="67" t="s">
        <v>66</v>
      </c>
      <c r="F22" s="68">
        <v>529</v>
      </c>
      <c r="G22" s="68">
        <v>569.36</v>
      </c>
      <c r="H22" s="68"/>
      <c r="I22" s="68"/>
      <c r="J22" s="68"/>
      <c r="K22" s="68"/>
      <c r="L22" s="68"/>
      <c r="M22" s="68"/>
      <c r="N22" s="68"/>
      <c r="O22" s="68"/>
    </row>
    <row r="23" spans="1:15" ht="9.1999999999999993" customHeight="1" x14ac:dyDescent="0.25">
      <c r="A23" s="104" t="s">
        <v>96</v>
      </c>
      <c r="B23" s="105"/>
      <c r="C23" s="104" t="s">
        <v>320</v>
      </c>
      <c r="D23" s="105"/>
      <c r="E23" s="67" t="s">
        <v>66</v>
      </c>
      <c r="F23" s="68">
        <v>681</v>
      </c>
      <c r="G23" s="68">
        <v>571.99</v>
      </c>
      <c r="H23" s="68"/>
      <c r="I23" s="68"/>
      <c r="J23" s="68"/>
      <c r="K23" s="68"/>
      <c r="L23" s="68"/>
      <c r="M23" s="68"/>
      <c r="N23" s="68"/>
      <c r="O23" s="68"/>
    </row>
    <row r="25" spans="1:15" ht="22.5" x14ac:dyDescent="0.25">
      <c r="A25" t="s">
        <v>77</v>
      </c>
      <c r="B25" s="8">
        <f>CellCount_Viability!A6</f>
        <v>46272</v>
      </c>
      <c r="F25" s="87" t="s">
        <v>185</v>
      </c>
      <c r="G25" s="87" t="s">
        <v>186</v>
      </c>
      <c r="H25" s="67"/>
      <c r="I25" s="67"/>
      <c r="J25" s="67"/>
      <c r="K25" s="67"/>
      <c r="L25" s="67"/>
      <c r="M25" s="67"/>
      <c r="N25" s="67"/>
      <c r="O25" s="67"/>
    </row>
    <row r="26" spans="1:15" ht="13.9" customHeight="1" x14ac:dyDescent="0.25">
      <c r="A26" s="104" t="s">
        <v>98</v>
      </c>
      <c r="B26" s="105"/>
      <c r="C26" s="104" t="s">
        <v>321</v>
      </c>
      <c r="D26" s="105"/>
      <c r="E26" s="67" t="s">
        <v>66</v>
      </c>
      <c r="F26" s="68">
        <v>955.82</v>
      </c>
      <c r="G26" s="68">
        <v>769.54</v>
      </c>
      <c r="H26" s="68"/>
      <c r="I26" s="68"/>
      <c r="J26" s="68"/>
      <c r="K26" s="68"/>
      <c r="L26" s="68"/>
      <c r="M26" s="68"/>
      <c r="N26" s="68"/>
      <c r="O26" s="68"/>
    </row>
    <row r="27" spans="1:15" ht="13.9" customHeight="1" x14ac:dyDescent="0.25">
      <c r="A27" s="104" t="s">
        <v>100</v>
      </c>
      <c r="B27" s="105"/>
      <c r="C27" s="104" t="s">
        <v>322</v>
      </c>
      <c r="D27" s="105"/>
      <c r="E27" s="67" t="s">
        <v>66</v>
      </c>
      <c r="F27" s="68">
        <v>1097.44</v>
      </c>
      <c r="G27" s="68">
        <v>832.57</v>
      </c>
      <c r="H27" s="68"/>
      <c r="I27" s="68"/>
      <c r="J27" s="68"/>
      <c r="K27" s="68"/>
      <c r="L27" s="68"/>
      <c r="M27" s="68"/>
      <c r="N27" s="68"/>
      <c r="O27" s="68"/>
    </row>
    <row r="28" spans="1:15" ht="13.9" customHeight="1" x14ac:dyDescent="0.25">
      <c r="A28" s="104" t="s">
        <v>102</v>
      </c>
      <c r="B28" s="105"/>
      <c r="C28" s="104" t="s">
        <v>323</v>
      </c>
      <c r="D28" s="105"/>
      <c r="E28" s="67" t="s">
        <v>66</v>
      </c>
      <c r="F28" s="68">
        <v>642.54</v>
      </c>
      <c r="G28" s="68">
        <v>740.05</v>
      </c>
      <c r="H28" s="68"/>
      <c r="I28" s="68"/>
      <c r="J28" s="68"/>
      <c r="K28" s="68"/>
      <c r="L28" s="68"/>
      <c r="M28" s="68"/>
      <c r="N28" s="68"/>
      <c r="O28" s="68"/>
    </row>
    <row r="29" spans="1:15" ht="13.9" customHeight="1" x14ac:dyDescent="0.25">
      <c r="A29" s="104" t="s">
        <v>104</v>
      </c>
      <c r="B29" s="105"/>
      <c r="C29" s="104" t="s">
        <v>324</v>
      </c>
      <c r="D29" s="105"/>
      <c r="E29" s="67" t="s">
        <v>66</v>
      </c>
      <c r="F29" s="68">
        <v>999.54</v>
      </c>
      <c r="G29" s="68">
        <v>738.31</v>
      </c>
      <c r="H29" s="68"/>
      <c r="I29" s="68"/>
      <c r="J29" s="68"/>
      <c r="K29" s="68"/>
      <c r="L29" s="68"/>
      <c r="M29" s="68"/>
      <c r="N29" s="68"/>
      <c r="O29" s="68"/>
    </row>
    <row r="31" spans="1:15" ht="22.5" x14ac:dyDescent="0.25">
      <c r="A31" t="s">
        <v>78</v>
      </c>
      <c r="B31" s="8">
        <f>CellCount_Viability!A7</f>
        <v>46273</v>
      </c>
      <c r="F31" s="87" t="s">
        <v>185</v>
      </c>
      <c r="G31" s="87" t="s">
        <v>186</v>
      </c>
      <c r="H31" s="67"/>
      <c r="I31" s="67"/>
      <c r="J31" s="67"/>
      <c r="K31" s="67"/>
      <c r="L31" s="67"/>
      <c r="M31" s="67"/>
      <c r="N31" s="67"/>
      <c r="O31" s="67"/>
    </row>
    <row r="32" spans="1:15" ht="13.9" customHeight="1" x14ac:dyDescent="0.25">
      <c r="A32" s="104" t="s">
        <v>106</v>
      </c>
      <c r="B32" s="105"/>
      <c r="C32" s="104" t="s">
        <v>317</v>
      </c>
      <c r="D32" s="105"/>
      <c r="E32" s="67" t="s">
        <v>66</v>
      </c>
      <c r="F32" s="68">
        <v>583.73</v>
      </c>
      <c r="G32" s="68">
        <v>765.74</v>
      </c>
      <c r="H32" s="68"/>
      <c r="I32" s="68"/>
      <c r="J32" s="68"/>
      <c r="K32" s="68"/>
      <c r="L32" s="68"/>
      <c r="M32" s="68"/>
      <c r="N32" s="68"/>
      <c r="O32" s="68"/>
    </row>
    <row r="33" spans="1:15" ht="13.9" customHeight="1" x14ac:dyDescent="0.25">
      <c r="A33" s="104" t="s">
        <v>108</v>
      </c>
      <c r="B33" s="105"/>
      <c r="C33" s="104" t="s">
        <v>318</v>
      </c>
      <c r="D33" s="105"/>
      <c r="E33" s="67" t="s">
        <v>66</v>
      </c>
      <c r="F33" s="68">
        <v>620.36</v>
      </c>
      <c r="G33" s="68">
        <v>784.01</v>
      </c>
      <c r="H33" s="68"/>
      <c r="I33" s="68"/>
      <c r="J33" s="68"/>
      <c r="K33" s="68"/>
      <c r="L33" s="68"/>
      <c r="M33" s="68"/>
      <c r="N33" s="68"/>
      <c r="O33" s="68"/>
    </row>
    <row r="34" spans="1:15" ht="13.9" customHeight="1" x14ac:dyDescent="0.25">
      <c r="A34" s="104" t="s">
        <v>110</v>
      </c>
      <c r="B34" s="105"/>
      <c r="C34" s="104" t="s">
        <v>319</v>
      </c>
      <c r="D34" s="105"/>
      <c r="E34" s="67" t="s">
        <v>66</v>
      </c>
      <c r="F34" s="68">
        <v>584.95000000000005</v>
      </c>
      <c r="G34" s="68">
        <v>857.09</v>
      </c>
      <c r="H34" s="68"/>
      <c r="I34" s="68"/>
      <c r="J34" s="68"/>
      <c r="K34" s="68"/>
      <c r="L34" s="68"/>
      <c r="M34" s="68"/>
      <c r="N34" s="68"/>
      <c r="O34" s="68"/>
    </row>
    <row r="35" spans="1:15" ht="13.9" customHeight="1" x14ac:dyDescent="0.25">
      <c r="A35" s="104" t="s">
        <v>112</v>
      </c>
      <c r="B35" s="105"/>
      <c r="C35" s="104" t="s">
        <v>320</v>
      </c>
      <c r="D35" s="105"/>
      <c r="E35" s="67" t="s">
        <v>66</v>
      </c>
      <c r="F35" s="68">
        <v>594.70000000000005</v>
      </c>
      <c r="G35" s="68">
        <v>860.22</v>
      </c>
      <c r="H35" s="68"/>
      <c r="I35" s="68"/>
      <c r="J35" s="68"/>
      <c r="K35" s="68"/>
      <c r="L35" s="68"/>
      <c r="M35" s="68"/>
      <c r="N35" s="68"/>
      <c r="O35" s="68"/>
    </row>
    <row r="37" spans="1:15" ht="22.5" x14ac:dyDescent="0.25">
      <c r="A37" t="s">
        <v>79</v>
      </c>
      <c r="B37" s="8">
        <f>CellCount_Viability!A8</f>
        <v>46274</v>
      </c>
      <c r="F37" s="87" t="s">
        <v>185</v>
      </c>
      <c r="G37" s="87" t="s">
        <v>186</v>
      </c>
      <c r="H37" s="67"/>
      <c r="I37" s="67"/>
      <c r="J37" s="67"/>
      <c r="K37" s="67"/>
      <c r="L37" s="67"/>
      <c r="M37" s="67"/>
      <c r="N37" s="67"/>
      <c r="O37" s="67"/>
    </row>
    <row r="38" spans="1:15" x14ac:dyDescent="0.25">
      <c r="A38" s="104" t="s">
        <v>64</v>
      </c>
      <c r="B38" s="105"/>
      <c r="C38" s="104" t="s">
        <v>65</v>
      </c>
      <c r="D38" s="105"/>
      <c r="E38" s="67" t="s">
        <v>66</v>
      </c>
      <c r="F38" s="68">
        <v>466.43</v>
      </c>
      <c r="G38" s="68">
        <v>528.45000000000005</v>
      </c>
      <c r="H38" s="68"/>
      <c r="I38" s="68"/>
      <c r="J38" s="68"/>
      <c r="K38" s="68"/>
      <c r="L38" s="68"/>
      <c r="M38" s="68"/>
      <c r="N38" s="68"/>
      <c r="O38" s="68"/>
    </row>
    <row r="39" spans="1:15" x14ac:dyDescent="0.25">
      <c r="A39" s="104" t="s">
        <v>67</v>
      </c>
      <c r="B39" s="105"/>
      <c r="C39" s="104" t="s">
        <v>68</v>
      </c>
      <c r="D39" s="105"/>
      <c r="E39" s="67" t="s">
        <v>66</v>
      </c>
      <c r="F39" s="68">
        <v>427.20500000000004</v>
      </c>
      <c r="G39" s="68">
        <v>549.91499999999996</v>
      </c>
      <c r="H39" s="68"/>
      <c r="I39" s="68"/>
      <c r="J39" s="68"/>
      <c r="K39" s="68"/>
      <c r="L39" s="68"/>
      <c r="M39" s="68"/>
      <c r="N39" s="68"/>
      <c r="O39" s="68"/>
    </row>
    <row r="40" spans="1:15" x14ac:dyDescent="0.25">
      <c r="A40" s="104" t="s">
        <v>69</v>
      </c>
      <c r="B40" s="105"/>
      <c r="C40" s="104" t="s">
        <v>70</v>
      </c>
      <c r="D40" s="105"/>
      <c r="E40" s="67" t="s">
        <v>66</v>
      </c>
      <c r="F40" s="68">
        <v>403.90500000000003</v>
      </c>
      <c r="G40" s="68">
        <v>593.98</v>
      </c>
      <c r="H40" s="68"/>
      <c r="I40" s="68"/>
      <c r="J40" s="68"/>
      <c r="K40" s="68"/>
      <c r="L40" s="68"/>
      <c r="M40" s="68"/>
      <c r="N40" s="68"/>
      <c r="O40" s="68"/>
    </row>
    <row r="41" spans="1:15" x14ac:dyDescent="0.25">
      <c r="A41" s="104" t="s">
        <v>71</v>
      </c>
      <c r="B41" s="105"/>
      <c r="C41" s="104" t="s">
        <v>72</v>
      </c>
      <c r="D41" s="105"/>
      <c r="E41" s="67" t="s">
        <v>66</v>
      </c>
      <c r="F41" s="68">
        <v>417.26499999999999</v>
      </c>
      <c r="G41" s="68">
        <v>596.79999999999995</v>
      </c>
      <c r="H41" s="68"/>
      <c r="I41" s="68"/>
      <c r="J41" s="68"/>
      <c r="K41" s="68"/>
      <c r="L41" s="68"/>
      <c r="M41" s="68"/>
      <c r="N41" s="68"/>
      <c r="O41" s="68"/>
    </row>
    <row r="43" spans="1:15" ht="22.5" x14ac:dyDescent="0.25">
      <c r="A43" t="s">
        <v>80</v>
      </c>
      <c r="B43" s="8">
        <f>CellCount_Viability!A9</f>
        <v>46275</v>
      </c>
      <c r="F43" s="67" t="s">
        <v>73</v>
      </c>
      <c r="G43" s="67" t="s">
        <v>55</v>
      </c>
      <c r="H43" s="67"/>
      <c r="I43" s="67"/>
      <c r="J43" s="67"/>
      <c r="K43" s="67"/>
      <c r="L43" s="67"/>
      <c r="M43" s="67"/>
      <c r="N43" s="67"/>
      <c r="O43" s="67"/>
    </row>
    <row r="44" spans="1:15" x14ac:dyDescent="0.25">
      <c r="A44" s="104" t="s">
        <v>64</v>
      </c>
      <c r="B44" s="105"/>
      <c r="C44" s="104" t="s">
        <v>65</v>
      </c>
      <c r="D44" s="105"/>
      <c r="E44" s="67" t="s">
        <v>66</v>
      </c>
      <c r="F44" s="68">
        <v>419.51</v>
      </c>
      <c r="G44" s="68">
        <v>433.53399999999999</v>
      </c>
      <c r="H44" s="68"/>
      <c r="I44" s="68"/>
      <c r="J44" s="68"/>
      <c r="K44" s="68"/>
      <c r="L44" s="68"/>
      <c r="M44" s="68"/>
      <c r="N44" s="68"/>
      <c r="O44" s="68"/>
    </row>
    <row r="45" spans="1:15" x14ac:dyDescent="0.25">
      <c r="A45" s="104" t="s">
        <v>67</v>
      </c>
      <c r="B45" s="105"/>
      <c r="C45" s="104" t="s">
        <v>68</v>
      </c>
      <c r="D45" s="105"/>
      <c r="E45" s="67" t="s">
        <v>66</v>
      </c>
      <c r="F45" s="68">
        <v>349.94299999999998</v>
      </c>
      <c r="G45" s="68">
        <v>456.27699999999999</v>
      </c>
      <c r="H45" s="68"/>
      <c r="I45" s="68"/>
      <c r="J45" s="68"/>
      <c r="K45" s="68"/>
      <c r="L45" s="68"/>
      <c r="M45" s="68"/>
      <c r="N45" s="68"/>
      <c r="O45" s="68"/>
    </row>
    <row r="46" spans="1:15" x14ac:dyDescent="0.25">
      <c r="A46" s="104" t="s">
        <v>69</v>
      </c>
      <c r="B46" s="105"/>
      <c r="C46" s="104" t="s">
        <v>70</v>
      </c>
      <c r="D46" s="105"/>
      <c r="E46" s="67" t="s">
        <v>66</v>
      </c>
      <c r="F46" s="68">
        <v>331.48700000000002</v>
      </c>
      <c r="G46" s="68">
        <v>488.73599999999999</v>
      </c>
      <c r="H46" s="68"/>
      <c r="I46" s="68"/>
      <c r="J46" s="68"/>
      <c r="K46" s="68"/>
      <c r="L46" s="68"/>
      <c r="M46" s="68"/>
      <c r="N46" s="68"/>
      <c r="O46" s="68"/>
    </row>
    <row r="47" spans="1:15" x14ac:dyDescent="0.25">
      <c r="A47" s="104" t="s">
        <v>71</v>
      </c>
      <c r="B47" s="105"/>
      <c r="C47" s="104" t="s">
        <v>72</v>
      </c>
      <c r="D47" s="105"/>
      <c r="E47" s="67" t="s">
        <v>66</v>
      </c>
      <c r="F47" s="68">
        <v>346.291</v>
      </c>
      <c r="G47" s="68">
        <v>491.43200000000002</v>
      </c>
      <c r="H47" s="68"/>
      <c r="I47" s="68"/>
      <c r="J47" s="68"/>
      <c r="K47" s="68"/>
      <c r="L47" s="68"/>
      <c r="M47" s="68"/>
      <c r="N47" s="68"/>
      <c r="O47" s="68"/>
    </row>
    <row r="49" spans="1:15" ht="22.5" x14ac:dyDescent="0.25">
      <c r="A49" t="s">
        <v>81</v>
      </c>
      <c r="B49" s="8">
        <f>CellCount_Viability!A10</f>
        <v>46276</v>
      </c>
      <c r="F49" s="67" t="s">
        <v>73</v>
      </c>
      <c r="G49" s="67" t="s">
        <v>55</v>
      </c>
      <c r="H49" s="67"/>
      <c r="I49" s="67"/>
      <c r="J49" s="67"/>
      <c r="K49" s="67"/>
      <c r="L49" s="67"/>
      <c r="M49" s="67"/>
      <c r="N49" s="67"/>
      <c r="O49" s="67"/>
    </row>
    <row r="50" spans="1:15" x14ac:dyDescent="0.25">
      <c r="A50" s="104" t="s">
        <v>114</v>
      </c>
      <c r="B50" s="105"/>
      <c r="C50" s="104" t="s">
        <v>181</v>
      </c>
      <c r="D50" s="105"/>
      <c r="E50" s="67" t="s">
        <v>66</v>
      </c>
      <c r="F50" s="68">
        <v>349.13</v>
      </c>
      <c r="G50" s="68">
        <v>291.16000000000003</v>
      </c>
      <c r="H50" s="68"/>
      <c r="I50" s="68"/>
      <c r="J50" s="68"/>
      <c r="K50" s="68"/>
      <c r="L50" s="68"/>
      <c r="M50" s="68"/>
      <c r="N50" s="68"/>
      <c r="O50" s="68"/>
    </row>
    <row r="51" spans="1:15" x14ac:dyDescent="0.25">
      <c r="A51" s="104" t="s">
        <v>116</v>
      </c>
      <c r="B51" s="105"/>
      <c r="C51" s="104" t="s">
        <v>182</v>
      </c>
      <c r="D51" s="105"/>
      <c r="E51" s="67" t="s">
        <v>66</v>
      </c>
      <c r="F51" s="68">
        <v>234.05</v>
      </c>
      <c r="G51" s="68">
        <v>315.82</v>
      </c>
      <c r="H51" s="68"/>
      <c r="I51" s="68"/>
      <c r="J51" s="68"/>
      <c r="K51" s="68"/>
      <c r="L51" s="68"/>
      <c r="M51" s="68"/>
      <c r="N51" s="68"/>
      <c r="O51" s="68"/>
    </row>
    <row r="52" spans="1:15" x14ac:dyDescent="0.25">
      <c r="A52" s="104" t="s">
        <v>118</v>
      </c>
      <c r="B52" s="105"/>
      <c r="C52" s="104" t="s">
        <v>183</v>
      </c>
      <c r="D52" s="105"/>
      <c r="E52" s="67" t="s">
        <v>66</v>
      </c>
      <c r="F52" s="68">
        <v>222.86</v>
      </c>
      <c r="G52" s="68">
        <v>330.87</v>
      </c>
      <c r="H52" s="68"/>
      <c r="I52" s="68"/>
      <c r="J52" s="68"/>
      <c r="K52" s="68"/>
      <c r="L52" s="68"/>
      <c r="M52" s="68"/>
      <c r="N52" s="68"/>
      <c r="O52" s="68"/>
    </row>
    <row r="53" spans="1:15" x14ac:dyDescent="0.25">
      <c r="A53" s="104" t="s">
        <v>120</v>
      </c>
      <c r="B53" s="105"/>
      <c r="C53" s="104" t="s">
        <v>184</v>
      </c>
      <c r="D53" s="105"/>
      <c r="E53" s="67" t="s">
        <v>66</v>
      </c>
      <c r="F53" s="68">
        <v>239.83</v>
      </c>
      <c r="G53" s="68">
        <v>333.38</v>
      </c>
      <c r="H53" s="68"/>
      <c r="I53" s="68"/>
      <c r="J53" s="68"/>
      <c r="K53" s="68"/>
      <c r="L53" s="68"/>
      <c r="M53" s="68"/>
      <c r="N53" s="68"/>
      <c r="O53" s="68"/>
    </row>
    <row r="55" spans="1:15" ht="22.5" x14ac:dyDescent="0.25">
      <c r="A55" t="s">
        <v>137</v>
      </c>
      <c r="B55" s="8">
        <f>CellCount_Viability!A11</f>
        <v>46277</v>
      </c>
      <c r="F55" s="67" t="s">
        <v>73</v>
      </c>
      <c r="G55" s="67" t="s">
        <v>55</v>
      </c>
      <c r="H55" s="67"/>
      <c r="I55" s="67"/>
      <c r="J55" s="67"/>
      <c r="K55" s="67"/>
      <c r="L55" s="67"/>
      <c r="M55" s="67"/>
      <c r="N55" s="67"/>
      <c r="O55" s="67"/>
    </row>
    <row r="56" spans="1:15" x14ac:dyDescent="0.25">
      <c r="A56" s="104" t="s">
        <v>64</v>
      </c>
      <c r="B56" s="105"/>
      <c r="C56" s="104" t="s">
        <v>65</v>
      </c>
      <c r="D56" s="105"/>
      <c r="E56" s="67" t="s">
        <v>66</v>
      </c>
      <c r="F56" s="68">
        <v>91</v>
      </c>
      <c r="G56" s="68">
        <v>104</v>
      </c>
      <c r="H56" s="68"/>
      <c r="I56" s="68"/>
      <c r="J56" s="68"/>
      <c r="K56" s="68"/>
      <c r="L56" s="68"/>
      <c r="M56" s="68"/>
      <c r="N56" s="68"/>
      <c r="O56" s="68"/>
    </row>
    <row r="57" spans="1:15" x14ac:dyDescent="0.25">
      <c r="A57" s="104" t="s">
        <v>67</v>
      </c>
      <c r="B57" s="105"/>
      <c r="C57" s="104" t="s">
        <v>68</v>
      </c>
      <c r="D57" s="105"/>
      <c r="E57" s="67" t="s">
        <v>66</v>
      </c>
      <c r="F57" s="68">
        <v>105</v>
      </c>
      <c r="G57" s="68">
        <v>98</v>
      </c>
      <c r="H57" s="68"/>
      <c r="I57" s="68"/>
      <c r="J57" s="68"/>
      <c r="K57" s="68"/>
      <c r="L57" s="68"/>
      <c r="M57" s="68"/>
      <c r="N57" s="68"/>
      <c r="O57" s="68"/>
    </row>
    <row r="58" spans="1:15" x14ac:dyDescent="0.25">
      <c r="A58" s="104" t="s">
        <v>69</v>
      </c>
      <c r="B58" s="105"/>
      <c r="C58" s="104" t="s">
        <v>70</v>
      </c>
      <c r="D58" s="105"/>
      <c r="E58" s="67" t="s">
        <v>66</v>
      </c>
      <c r="F58" s="68">
        <v>99</v>
      </c>
      <c r="G58" s="68">
        <v>78</v>
      </c>
      <c r="H58" s="68"/>
      <c r="I58" s="68"/>
      <c r="J58" s="68"/>
      <c r="K58" s="68"/>
      <c r="L58" s="68"/>
      <c r="M58" s="68"/>
      <c r="N58" s="68"/>
      <c r="O58" s="68"/>
    </row>
    <row r="59" spans="1:15" x14ac:dyDescent="0.25">
      <c r="A59" s="104" t="s">
        <v>71</v>
      </c>
      <c r="B59" s="105"/>
      <c r="C59" s="104" t="s">
        <v>72</v>
      </c>
      <c r="D59" s="105"/>
      <c r="E59" s="67" t="s">
        <v>66</v>
      </c>
      <c r="F59" s="68">
        <v>85</v>
      </c>
      <c r="G59" s="68">
        <v>101</v>
      </c>
      <c r="H59" s="68"/>
      <c r="I59" s="68"/>
      <c r="J59" s="68"/>
      <c r="K59" s="68"/>
      <c r="L59" s="68"/>
      <c r="M59" s="68"/>
      <c r="N59" s="68"/>
      <c r="O59" s="68"/>
    </row>
    <row r="61" spans="1:15" ht="22.5" x14ac:dyDescent="0.25">
      <c r="A61" t="s">
        <v>138</v>
      </c>
      <c r="B61" s="8">
        <f>CellCount_Viability!A12</f>
        <v>46278</v>
      </c>
      <c r="F61" s="67" t="s">
        <v>73</v>
      </c>
      <c r="G61" s="67" t="s">
        <v>55</v>
      </c>
      <c r="H61" s="67"/>
      <c r="I61" s="67"/>
      <c r="J61" s="67"/>
      <c r="K61" s="67"/>
      <c r="L61" s="67"/>
      <c r="M61" s="67"/>
      <c r="N61" s="67"/>
      <c r="O61" s="67"/>
    </row>
    <row r="62" spans="1:15" x14ac:dyDescent="0.25">
      <c r="A62" s="104" t="s">
        <v>64</v>
      </c>
      <c r="B62" s="105"/>
      <c r="C62" s="104" t="s">
        <v>65</v>
      </c>
      <c r="D62" s="105"/>
      <c r="E62" s="67" t="s">
        <v>66</v>
      </c>
      <c r="F62" s="68">
        <v>81</v>
      </c>
      <c r="G62" s="68">
        <v>55</v>
      </c>
      <c r="H62" s="68"/>
      <c r="I62" s="68"/>
      <c r="J62" s="68"/>
      <c r="K62" s="68"/>
      <c r="L62" s="68"/>
      <c r="M62" s="68"/>
      <c r="N62" s="68"/>
      <c r="O62" s="68"/>
    </row>
    <row r="63" spans="1:15" x14ac:dyDescent="0.25">
      <c r="A63" s="104" t="s">
        <v>67</v>
      </c>
      <c r="B63" s="105"/>
      <c r="C63" s="104" t="s">
        <v>68</v>
      </c>
      <c r="D63" s="105"/>
      <c r="E63" s="67" t="s">
        <v>66</v>
      </c>
      <c r="F63" s="68">
        <v>76</v>
      </c>
      <c r="G63" s="68">
        <v>60</v>
      </c>
      <c r="H63" s="68"/>
      <c r="I63" s="68"/>
      <c r="J63" s="68"/>
      <c r="K63" s="68"/>
      <c r="L63" s="68"/>
      <c r="M63" s="68"/>
      <c r="N63" s="68"/>
      <c r="O63" s="68"/>
    </row>
    <row r="64" spans="1:15" x14ac:dyDescent="0.25">
      <c r="A64" s="104" t="s">
        <v>69</v>
      </c>
      <c r="B64" s="105"/>
      <c r="C64" s="104" t="s">
        <v>70</v>
      </c>
      <c r="D64" s="105"/>
      <c r="E64" s="67" t="s">
        <v>66</v>
      </c>
      <c r="F64" s="68">
        <v>68</v>
      </c>
      <c r="G64" s="68">
        <v>53</v>
      </c>
      <c r="H64" s="68"/>
      <c r="I64" s="68"/>
      <c r="J64" s="68"/>
      <c r="K64" s="68"/>
      <c r="L64" s="68"/>
      <c r="M64" s="68"/>
      <c r="N64" s="68"/>
      <c r="O64" s="68"/>
    </row>
    <row r="65" spans="1:15" x14ac:dyDescent="0.25">
      <c r="A65" s="104" t="s">
        <v>71</v>
      </c>
      <c r="B65" s="105"/>
      <c r="C65" s="104" t="s">
        <v>72</v>
      </c>
      <c r="D65" s="105"/>
      <c r="E65" s="67" t="s">
        <v>66</v>
      </c>
      <c r="F65" s="68">
        <v>71</v>
      </c>
      <c r="G65" s="68">
        <v>57</v>
      </c>
      <c r="H65" s="68"/>
      <c r="I65" s="68"/>
      <c r="J65" s="68"/>
      <c r="K65" s="68"/>
      <c r="L65" s="68"/>
      <c r="M65" s="68"/>
      <c r="N65" s="68"/>
      <c r="O65" s="68"/>
    </row>
    <row r="67" spans="1:15" ht="22.5" x14ac:dyDescent="0.25">
      <c r="A67" t="s">
        <v>139</v>
      </c>
      <c r="B67" s="8">
        <f>CellCount_Viability!A13</f>
        <v>0</v>
      </c>
      <c r="F67" s="67" t="s">
        <v>73</v>
      </c>
      <c r="G67" s="67" t="s">
        <v>55</v>
      </c>
      <c r="H67" s="67"/>
      <c r="I67" s="67"/>
      <c r="J67" s="67"/>
      <c r="K67" s="67"/>
      <c r="L67" s="67"/>
      <c r="M67" s="67"/>
      <c r="N67" s="67"/>
      <c r="O67" s="67"/>
    </row>
    <row r="68" spans="1:15" x14ac:dyDescent="0.25">
      <c r="A68" s="104" t="s">
        <v>64</v>
      </c>
      <c r="B68" s="105"/>
      <c r="C68" s="104" t="s">
        <v>65</v>
      </c>
      <c r="D68" s="105"/>
      <c r="E68" s="67" t="s">
        <v>66</v>
      </c>
      <c r="F68" s="68" t="e">
        <v>#N/A</v>
      </c>
      <c r="G68" s="68" t="e">
        <v>#N/A</v>
      </c>
      <c r="H68" s="68"/>
      <c r="I68" s="68"/>
      <c r="J68" s="68"/>
      <c r="K68" s="68"/>
      <c r="L68" s="68"/>
      <c r="M68" s="68"/>
      <c r="N68" s="68"/>
      <c r="O68" s="68"/>
    </row>
    <row r="69" spans="1:15" x14ac:dyDescent="0.25">
      <c r="A69" s="104" t="s">
        <v>67</v>
      </c>
      <c r="B69" s="105"/>
      <c r="C69" s="104" t="s">
        <v>68</v>
      </c>
      <c r="D69" s="105"/>
      <c r="E69" s="67" t="s">
        <v>66</v>
      </c>
      <c r="F69" s="68" t="e">
        <v>#N/A</v>
      </c>
      <c r="G69" s="68" t="e">
        <v>#N/A</v>
      </c>
      <c r="H69" s="68"/>
      <c r="I69" s="68"/>
      <c r="J69" s="68"/>
      <c r="K69" s="68"/>
      <c r="L69" s="68"/>
      <c r="M69" s="68"/>
      <c r="N69" s="68"/>
      <c r="O69" s="68"/>
    </row>
    <row r="70" spans="1:15" x14ac:dyDescent="0.25">
      <c r="A70" s="104" t="s">
        <v>69</v>
      </c>
      <c r="B70" s="105"/>
      <c r="C70" s="104" t="s">
        <v>70</v>
      </c>
      <c r="D70" s="105"/>
      <c r="E70" s="67" t="s">
        <v>66</v>
      </c>
      <c r="F70" s="68" t="e">
        <v>#N/A</v>
      </c>
      <c r="G70" s="68" t="e">
        <v>#N/A</v>
      </c>
      <c r="H70" s="68"/>
      <c r="I70" s="68"/>
      <c r="J70" s="68"/>
      <c r="K70" s="68"/>
      <c r="L70" s="68"/>
      <c r="M70" s="68"/>
      <c r="N70" s="68"/>
      <c r="O70" s="68"/>
    </row>
    <row r="71" spans="1:15" x14ac:dyDescent="0.25">
      <c r="A71" s="104" t="s">
        <v>71</v>
      </c>
      <c r="B71" s="105"/>
      <c r="C71" s="104" t="s">
        <v>72</v>
      </c>
      <c r="D71" s="105"/>
      <c r="E71" s="67" t="s">
        <v>66</v>
      </c>
      <c r="F71" s="68" t="e">
        <v>#N/A</v>
      </c>
      <c r="G71" s="68" t="e">
        <v>#N/A</v>
      </c>
      <c r="H71" s="68"/>
      <c r="I71" s="68"/>
      <c r="J71" s="68"/>
      <c r="K71" s="68"/>
      <c r="L71" s="68"/>
      <c r="M71" s="68"/>
      <c r="N71" s="68"/>
      <c r="O71" s="68"/>
    </row>
    <row r="73" spans="1:15" ht="22.5" x14ac:dyDescent="0.25">
      <c r="A73" t="s">
        <v>140</v>
      </c>
      <c r="B73" s="8">
        <f>CellCount_Viability!A14</f>
        <v>0</v>
      </c>
      <c r="F73" s="67" t="s">
        <v>73</v>
      </c>
      <c r="G73" s="67" t="s">
        <v>55</v>
      </c>
      <c r="H73" s="67"/>
      <c r="I73" s="67"/>
      <c r="J73" s="67"/>
      <c r="K73" s="67"/>
      <c r="L73" s="67"/>
      <c r="M73" s="67"/>
      <c r="N73" s="67"/>
      <c r="O73" s="67"/>
    </row>
    <row r="74" spans="1:15" x14ac:dyDescent="0.25">
      <c r="A74" s="104" t="s">
        <v>64</v>
      </c>
      <c r="B74" s="105"/>
      <c r="C74" s="104" t="s">
        <v>65</v>
      </c>
      <c r="D74" s="105"/>
      <c r="E74" s="67" t="s">
        <v>66</v>
      </c>
      <c r="F74" s="68" t="e">
        <v>#N/A</v>
      </c>
      <c r="G74" s="68" t="e">
        <v>#N/A</v>
      </c>
      <c r="H74" s="68"/>
      <c r="I74" s="68"/>
      <c r="J74" s="68"/>
      <c r="K74" s="68"/>
      <c r="L74" s="68"/>
      <c r="M74" s="68"/>
      <c r="N74" s="68"/>
      <c r="O74" s="68"/>
    </row>
    <row r="75" spans="1:15" x14ac:dyDescent="0.25">
      <c r="A75" s="104" t="s">
        <v>67</v>
      </c>
      <c r="B75" s="105"/>
      <c r="C75" s="104" t="s">
        <v>68</v>
      </c>
      <c r="D75" s="105"/>
      <c r="E75" s="67" t="s">
        <v>66</v>
      </c>
      <c r="F75" s="68" t="e">
        <v>#N/A</v>
      </c>
      <c r="G75" s="68" t="e">
        <v>#N/A</v>
      </c>
      <c r="H75" s="68"/>
      <c r="I75" s="68"/>
      <c r="J75" s="68"/>
      <c r="K75" s="68"/>
      <c r="L75" s="68"/>
      <c r="M75" s="68"/>
      <c r="N75" s="68"/>
      <c r="O75" s="68"/>
    </row>
    <row r="76" spans="1:15" x14ac:dyDescent="0.25">
      <c r="A76" s="104" t="s">
        <v>69</v>
      </c>
      <c r="B76" s="105"/>
      <c r="C76" s="104" t="s">
        <v>70</v>
      </c>
      <c r="D76" s="105"/>
      <c r="E76" s="67" t="s">
        <v>66</v>
      </c>
      <c r="F76" s="68" t="e">
        <v>#N/A</v>
      </c>
      <c r="G76" s="68" t="e">
        <v>#N/A</v>
      </c>
      <c r="H76" s="68"/>
      <c r="I76" s="68"/>
      <c r="J76" s="68"/>
      <c r="K76" s="68"/>
      <c r="L76" s="68"/>
      <c r="M76" s="68"/>
      <c r="N76" s="68"/>
      <c r="O76" s="68"/>
    </row>
    <row r="77" spans="1:15" x14ac:dyDescent="0.25">
      <c r="A77" s="104" t="s">
        <v>71</v>
      </c>
      <c r="B77" s="105"/>
      <c r="C77" s="104" t="s">
        <v>72</v>
      </c>
      <c r="D77" s="105"/>
      <c r="E77" s="67" t="s">
        <v>66</v>
      </c>
      <c r="F77" s="68" t="e">
        <v>#N/A</v>
      </c>
      <c r="G77" s="68" t="e">
        <v>#N/A</v>
      </c>
      <c r="H77" s="68"/>
      <c r="I77" s="68"/>
      <c r="J77" s="68"/>
      <c r="K77" s="68"/>
      <c r="L77" s="68"/>
      <c r="M77" s="68"/>
      <c r="N77" s="68"/>
      <c r="O77" s="68"/>
    </row>
    <row r="79" spans="1:15" ht="22.5" x14ac:dyDescent="0.25">
      <c r="A79" t="s">
        <v>141</v>
      </c>
      <c r="B79" s="8">
        <f>CellCount_Viability!A15</f>
        <v>0</v>
      </c>
      <c r="F79" s="67" t="s">
        <v>73</v>
      </c>
      <c r="G79" s="67" t="s">
        <v>55</v>
      </c>
      <c r="H79" s="67"/>
      <c r="I79" s="67"/>
      <c r="J79" s="67"/>
      <c r="K79" s="67"/>
      <c r="L79" s="67"/>
      <c r="M79" s="67"/>
      <c r="N79" s="67"/>
      <c r="O79" s="67"/>
    </row>
    <row r="80" spans="1:15" x14ac:dyDescent="0.25">
      <c r="A80" s="104" t="s">
        <v>64</v>
      </c>
      <c r="B80" s="105"/>
      <c r="C80" s="104" t="s">
        <v>65</v>
      </c>
      <c r="D80" s="105"/>
      <c r="E80" s="67" t="s">
        <v>66</v>
      </c>
      <c r="F80" s="68" t="e">
        <v>#N/A</v>
      </c>
      <c r="G80" s="68" t="e">
        <v>#N/A</v>
      </c>
      <c r="H80" s="68"/>
      <c r="I80" s="68"/>
      <c r="J80" s="68"/>
      <c r="K80" s="68"/>
      <c r="L80" s="68"/>
      <c r="M80" s="68"/>
      <c r="N80" s="68"/>
      <c r="O80" s="68"/>
    </row>
    <row r="81" spans="1:15" x14ac:dyDescent="0.25">
      <c r="A81" s="104" t="s">
        <v>67</v>
      </c>
      <c r="B81" s="105"/>
      <c r="C81" s="104" t="s">
        <v>68</v>
      </c>
      <c r="D81" s="105"/>
      <c r="E81" s="67" t="s">
        <v>66</v>
      </c>
      <c r="F81" s="68" t="e">
        <v>#N/A</v>
      </c>
      <c r="G81" s="68" t="e">
        <v>#N/A</v>
      </c>
      <c r="H81" s="68"/>
      <c r="I81" s="68"/>
      <c r="J81" s="68"/>
      <c r="K81" s="68"/>
      <c r="L81" s="68"/>
      <c r="M81" s="68"/>
      <c r="N81" s="68"/>
      <c r="O81" s="68"/>
    </row>
    <row r="82" spans="1:15" x14ac:dyDescent="0.25">
      <c r="A82" s="104" t="s">
        <v>69</v>
      </c>
      <c r="B82" s="105"/>
      <c r="C82" s="104" t="s">
        <v>70</v>
      </c>
      <c r="D82" s="105"/>
      <c r="E82" s="67" t="s">
        <v>66</v>
      </c>
      <c r="F82" s="68" t="e">
        <v>#N/A</v>
      </c>
      <c r="G82" s="68" t="e">
        <v>#N/A</v>
      </c>
      <c r="H82" s="68"/>
      <c r="I82" s="68"/>
      <c r="J82" s="68"/>
      <c r="K82" s="68"/>
      <c r="L82" s="68"/>
      <c r="M82" s="68"/>
      <c r="N82" s="68"/>
      <c r="O82" s="68"/>
    </row>
    <row r="83" spans="1:15" x14ac:dyDescent="0.25">
      <c r="A83" s="104" t="s">
        <v>71</v>
      </c>
      <c r="B83" s="105"/>
      <c r="C83" s="104" t="s">
        <v>72</v>
      </c>
      <c r="D83" s="105"/>
      <c r="E83" s="67" t="s">
        <v>66</v>
      </c>
      <c r="F83" s="68" t="e">
        <v>#N/A</v>
      </c>
      <c r="G83" s="68" t="e">
        <v>#N/A</v>
      </c>
      <c r="H83" s="68"/>
      <c r="I83" s="68"/>
      <c r="J83" s="68"/>
      <c r="K83" s="68"/>
      <c r="L83" s="68"/>
      <c r="M83" s="68"/>
      <c r="N83" s="68"/>
      <c r="O83" s="68"/>
    </row>
    <row r="85" spans="1:15" ht="22.5" x14ac:dyDescent="0.25">
      <c r="A85" t="s">
        <v>142</v>
      </c>
      <c r="B85" s="8">
        <f>CellCount_Viability!A16</f>
        <v>0</v>
      </c>
      <c r="F85" s="67" t="s">
        <v>73</v>
      </c>
      <c r="G85" s="67" t="s">
        <v>55</v>
      </c>
      <c r="H85" s="67"/>
      <c r="I85" s="67"/>
      <c r="J85" s="67"/>
      <c r="K85" s="67"/>
      <c r="L85" s="67"/>
      <c r="M85" s="67"/>
      <c r="N85" s="67"/>
      <c r="O85" s="67"/>
    </row>
    <row r="86" spans="1:15" x14ac:dyDescent="0.25">
      <c r="A86" s="104" t="s">
        <v>64</v>
      </c>
      <c r="B86" s="105"/>
      <c r="C86" s="104" t="s">
        <v>65</v>
      </c>
      <c r="D86" s="105"/>
      <c r="E86" s="67" t="s">
        <v>66</v>
      </c>
      <c r="F86" s="68" t="e">
        <v>#N/A</v>
      </c>
      <c r="G86" s="68" t="e">
        <v>#N/A</v>
      </c>
      <c r="H86" s="68"/>
      <c r="I86" s="68"/>
      <c r="J86" s="68"/>
      <c r="K86" s="68"/>
      <c r="L86" s="68"/>
      <c r="M86" s="68"/>
      <c r="N86" s="68"/>
      <c r="O86" s="68"/>
    </row>
    <row r="87" spans="1:15" x14ac:dyDescent="0.25">
      <c r="A87" s="104" t="s">
        <v>67</v>
      </c>
      <c r="B87" s="105"/>
      <c r="C87" s="104" t="s">
        <v>68</v>
      </c>
      <c r="D87" s="105"/>
      <c r="E87" s="67" t="s">
        <v>66</v>
      </c>
      <c r="F87" s="68" t="e">
        <v>#N/A</v>
      </c>
      <c r="G87" s="68" t="e">
        <v>#N/A</v>
      </c>
      <c r="H87" s="68"/>
      <c r="I87" s="68"/>
      <c r="J87" s="68"/>
      <c r="K87" s="68"/>
      <c r="L87" s="68"/>
      <c r="M87" s="68"/>
      <c r="N87" s="68"/>
      <c r="O87" s="68"/>
    </row>
    <row r="88" spans="1:15" x14ac:dyDescent="0.25">
      <c r="A88" s="104" t="s">
        <v>69</v>
      </c>
      <c r="B88" s="105"/>
      <c r="C88" s="104" t="s">
        <v>70</v>
      </c>
      <c r="D88" s="105"/>
      <c r="E88" s="67" t="s">
        <v>66</v>
      </c>
      <c r="F88" s="68" t="e">
        <v>#N/A</v>
      </c>
      <c r="G88" s="68" t="e">
        <v>#N/A</v>
      </c>
      <c r="H88" s="68"/>
      <c r="I88" s="68"/>
      <c r="J88" s="68"/>
      <c r="K88" s="68"/>
      <c r="L88" s="68"/>
      <c r="M88" s="68"/>
      <c r="N88" s="68"/>
      <c r="O88" s="68"/>
    </row>
    <row r="89" spans="1:15" x14ac:dyDescent="0.25">
      <c r="A89" s="104" t="s">
        <v>71</v>
      </c>
      <c r="B89" s="105"/>
      <c r="C89" s="104" t="s">
        <v>72</v>
      </c>
      <c r="D89" s="105"/>
      <c r="E89" s="67" t="s">
        <v>66</v>
      </c>
      <c r="F89" s="68" t="e">
        <v>#N/A</v>
      </c>
      <c r="G89" s="68" t="e">
        <v>#N/A</v>
      </c>
      <c r="H89" s="68"/>
      <c r="I89" s="68"/>
      <c r="J89" s="68"/>
      <c r="K89" s="68"/>
      <c r="L89" s="68"/>
      <c r="M89" s="68"/>
      <c r="N89" s="68"/>
      <c r="O89" s="68"/>
    </row>
    <row r="91" spans="1:15" ht="22.5" x14ac:dyDescent="0.25">
      <c r="A91" t="s">
        <v>143</v>
      </c>
      <c r="B91" s="8">
        <f>CellCount_Viability!A17</f>
        <v>0</v>
      </c>
      <c r="F91" s="67" t="s">
        <v>73</v>
      </c>
      <c r="G91" s="67" t="s">
        <v>55</v>
      </c>
      <c r="H91" s="67"/>
      <c r="I91" s="67"/>
      <c r="J91" s="67"/>
      <c r="K91" s="67"/>
      <c r="L91" s="67"/>
      <c r="M91" s="67"/>
      <c r="N91" s="67"/>
      <c r="O91" s="67"/>
    </row>
    <row r="92" spans="1:15" x14ac:dyDescent="0.25">
      <c r="A92" s="104" t="s">
        <v>64</v>
      </c>
      <c r="B92" s="105"/>
      <c r="C92" s="104" t="s">
        <v>65</v>
      </c>
      <c r="D92" s="105"/>
      <c r="E92" s="67" t="s">
        <v>66</v>
      </c>
      <c r="F92" s="68" t="e">
        <v>#N/A</v>
      </c>
      <c r="G92" s="68" t="e">
        <v>#N/A</v>
      </c>
      <c r="H92" s="68"/>
      <c r="I92" s="68"/>
      <c r="J92" s="68"/>
      <c r="K92" s="68"/>
      <c r="L92" s="68"/>
      <c r="M92" s="68"/>
      <c r="N92" s="68"/>
      <c r="O92" s="68"/>
    </row>
    <row r="93" spans="1:15" x14ac:dyDescent="0.25">
      <c r="A93" s="104" t="s">
        <v>67</v>
      </c>
      <c r="B93" s="105"/>
      <c r="C93" s="104" t="s">
        <v>68</v>
      </c>
      <c r="D93" s="105"/>
      <c r="E93" s="67" t="s">
        <v>66</v>
      </c>
      <c r="F93" s="68" t="e">
        <v>#N/A</v>
      </c>
      <c r="G93" s="68" t="e">
        <v>#N/A</v>
      </c>
      <c r="H93" s="68"/>
      <c r="I93" s="68"/>
      <c r="J93" s="68"/>
      <c r="K93" s="68"/>
      <c r="L93" s="68"/>
      <c r="M93" s="68"/>
      <c r="N93" s="68"/>
      <c r="O93" s="68"/>
    </row>
    <row r="94" spans="1:15" x14ac:dyDescent="0.25">
      <c r="A94" s="104" t="s">
        <v>69</v>
      </c>
      <c r="B94" s="105"/>
      <c r="C94" s="104" t="s">
        <v>70</v>
      </c>
      <c r="D94" s="105"/>
      <c r="E94" s="67" t="s">
        <v>66</v>
      </c>
      <c r="F94" s="68" t="e">
        <v>#N/A</v>
      </c>
      <c r="G94" s="68" t="e">
        <v>#N/A</v>
      </c>
      <c r="H94" s="68"/>
      <c r="I94" s="68"/>
      <c r="J94" s="68"/>
      <c r="K94" s="68"/>
      <c r="L94" s="68"/>
      <c r="M94" s="68"/>
      <c r="N94" s="68"/>
      <c r="O94" s="68"/>
    </row>
    <row r="95" spans="1:15" x14ac:dyDescent="0.25">
      <c r="A95" s="104" t="s">
        <v>71</v>
      </c>
      <c r="B95" s="105"/>
      <c r="C95" s="104" t="s">
        <v>72</v>
      </c>
      <c r="D95" s="105"/>
      <c r="E95" s="67" t="s">
        <v>66</v>
      </c>
      <c r="F95" s="68" t="e">
        <v>#N/A</v>
      </c>
      <c r="G95" s="68" t="e">
        <v>#N/A</v>
      </c>
      <c r="H95" s="68"/>
      <c r="I95" s="68"/>
      <c r="J95" s="68"/>
      <c r="K95" s="68"/>
      <c r="L95" s="68"/>
      <c r="M95" s="68"/>
      <c r="N95" s="68"/>
      <c r="O95" s="68"/>
    </row>
    <row r="97" spans="1:15" ht="22.5" x14ac:dyDescent="0.25">
      <c r="A97" t="s">
        <v>144</v>
      </c>
      <c r="B97" s="8">
        <f>CellCount_Viability!A18</f>
        <v>0</v>
      </c>
      <c r="F97" s="67" t="s">
        <v>73</v>
      </c>
      <c r="G97" s="67" t="s">
        <v>55</v>
      </c>
      <c r="H97" s="67"/>
      <c r="I97" s="67"/>
      <c r="J97" s="67"/>
      <c r="K97" s="67"/>
      <c r="L97" s="67"/>
      <c r="M97" s="67"/>
      <c r="N97" s="67"/>
      <c r="O97" s="67"/>
    </row>
    <row r="98" spans="1:15" x14ac:dyDescent="0.25">
      <c r="A98" s="104" t="s">
        <v>64</v>
      </c>
      <c r="B98" s="105"/>
      <c r="C98" s="104" t="s">
        <v>65</v>
      </c>
      <c r="D98" s="105"/>
      <c r="E98" s="67" t="s">
        <v>66</v>
      </c>
      <c r="F98" s="68" t="e">
        <v>#N/A</v>
      </c>
      <c r="G98" s="68" t="e">
        <v>#N/A</v>
      </c>
      <c r="H98" s="68"/>
      <c r="I98" s="68"/>
      <c r="J98" s="68"/>
      <c r="K98" s="68"/>
      <c r="L98" s="68"/>
      <c r="M98" s="68"/>
      <c r="N98" s="68"/>
      <c r="O98" s="68"/>
    </row>
    <row r="99" spans="1:15" x14ac:dyDescent="0.25">
      <c r="A99" s="104" t="s">
        <v>67</v>
      </c>
      <c r="B99" s="105"/>
      <c r="C99" s="104" t="s">
        <v>68</v>
      </c>
      <c r="D99" s="105"/>
      <c r="E99" s="67" t="s">
        <v>66</v>
      </c>
      <c r="F99" s="68" t="e">
        <v>#N/A</v>
      </c>
      <c r="G99" s="68" t="e">
        <v>#N/A</v>
      </c>
      <c r="H99" s="68"/>
      <c r="I99" s="68"/>
      <c r="J99" s="68"/>
      <c r="K99" s="68"/>
      <c r="L99" s="68"/>
      <c r="M99" s="68"/>
      <c r="N99" s="68"/>
      <c r="O99" s="68"/>
    </row>
    <row r="100" spans="1:15" x14ac:dyDescent="0.25">
      <c r="A100" s="104" t="s">
        <v>69</v>
      </c>
      <c r="B100" s="105"/>
      <c r="C100" s="104" t="s">
        <v>70</v>
      </c>
      <c r="D100" s="105"/>
      <c r="E100" s="67" t="s">
        <v>66</v>
      </c>
      <c r="F100" s="68" t="e">
        <v>#N/A</v>
      </c>
      <c r="G100" s="68" t="e">
        <v>#N/A</v>
      </c>
      <c r="H100" s="68"/>
      <c r="I100" s="68"/>
      <c r="J100" s="68"/>
      <c r="K100" s="68"/>
      <c r="L100" s="68"/>
      <c r="M100" s="68"/>
      <c r="N100" s="68"/>
      <c r="O100" s="68"/>
    </row>
    <row r="101" spans="1:15" x14ac:dyDescent="0.25">
      <c r="A101" s="104" t="s">
        <v>71</v>
      </c>
      <c r="B101" s="105"/>
      <c r="C101" s="104" t="s">
        <v>72</v>
      </c>
      <c r="D101" s="105"/>
      <c r="E101" s="67" t="s">
        <v>66</v>
      </c>
      <c r="F101" s="68" t="e">
        <v>#N/A</v>
      </c>
      <c r="G101" s="68" t="e">
        <v>#N/A</v>
      </c>
      <c r="H101" s="68"/>
      <c r="I101" s="68"/>
      <c r="J101" s="68"/>
      <c r="K101" s="68"/>
      <c r="L101" s="68"/>
      <c r="M101" s="68"/>
      <c r="N101" s="68"/>
      <c r="O101" s="68"/>
    </row>
    <row r="103" spans="1:15" ht="22.5" x14ac:dyDescent="0.25">
      <c r="A103" t="s">
        <v>145</v>
      </c>
      <c r="B103" s="8">
        <f>CellCount_Viability!A19</f>
        <v>0</v>
      </c>
      <c r="F103" s="67" t="s">
        <v>73</v>
      </c>
      <c r="G103" s="67" t="s">
        <v>55</v>
      </c>
      <c r="H103" s="67"/>
      <c r="I103" s="67"/>
      <c r="J103" s="67"/>
      <c r="K103" s="67"/>
      <c r="L103" s="67"/>
      <c r="M103" s="67"/>
      <c r="N103" s="67"/>
      <c r="O103" s="67"/>
    </row>
    <row r="104" spans="1:15" x14ac:dyDescent="0.25">
      <c r="A104" s="104" t="s">
        <v>64</v>
      </c>
      <c r="B104" s="105"/>
      <c r="C104" s="104" t="s">
        <v>65</v>
      </c>
      <c r="D104" s="105"/>
      <c r="E104" s="67" t="s">
        <v>66</v>
      </c>
      <c r="F104" s="68" t="e">
        <v>#N/A</v>
      </c>
      <c r="G104" s="68" t="e">
        <v>#N/A</v>
      </c>
      <c r="H104" s="68"/>
      <c r="I104" s="68"/>
      <c r="J104" s="68"/>
      <c r="K104" s="68"/>
      <c r="L104" s="68"/>
      <c r="M104" s="68"/>
      <c r="N104" s="68"/>
      <c r="O104" s="68"/>
    </row>
    <row r="105" spans="1:15" x14ac:dyDescent="0.25">
      <c r="A105" s="104" t="s">
        <v>67</v>
      </c>
      <c r="B105" s="105"/>
      <c r="C105" s="104" t="s">
        <v>68</v>
      </c>
      <c r="D105" s="105"/>
      <c r="E105" s="67" t="s">
        <v>66</v>
      </c>
      <c r="F105" s="68" t="e">
        <v>#N/A</v>
      </c>
      <c r="G105" s="68" t="e">
        <v>#N/A</v>
      </c>
      <c r="H105" s="68"/>
      <c r="I105" s="68"/>
      <c r="J105" s="68"/>
      <c r="K105" s="68"/>
      <c r="L105" s="68"/>
      <c r="M105" s="68"/>
      <c r="N105" s="68"/>
      <c r="O105" s="68"/>
    </row>
    <row r="106" spans="1:15" x14ac:dyDescent="0.25">
      <c r="A106" s="104" t="s">
        <v>69</v>
      </c>
      <c r="B106" s="105"/>
      <c r="C106" s="104" t="s">
        <v>70</v>
      </c>
      <c r="D106" s="105"/>
      <c r="E106" s="67" t="s">
        <v>66</v>
      </c>
      <c r="F106" s="68" t="e">
        <v>#N/A</v>
      </c>
      <c r="G106" s="68" t="e">
        <v>#N/A</v>
      </c>
      <c r="H106" s="68"/>
      <c r="I106" s="68"/>
      <c r="J106" s="68"/>
      <c r="K106" s="68"/>
      <c r="L106" s="68"/>
      <c r="M106" s="68"/>
      <c r="N106" s="68"/>
      <c r="O106" s="68"/>
    </row>
    <row r="107" spans="1:15" x14ac:dyDescent="0.25">
      <c r="A107" s="104" t="s">
        <v>71</v>
      </c>
      <c r="B107" s="105"/>
      <c r="C107" s="104" t="s">
        <v>72</v>
      </c>
      <c r="D107" s="105"/>
      <c r="E107" s="67" t="s">
        <v>66</v>
      </c>
      <c r="F107" s="68" t="e">
        <v>#N/A</v>
      </c>
      <c r="G107" s="68" t="e">
        <v>#N/A</v>
      </c>
      <c r="H107" s="68"/>
      <c r="I107" s="68"/>
      <c r="J107" s="68"/>
      <c r="K107" s="68"/>
      <c r="L107" s="68"/>
      <c r="M107" s="68"/>
      <c r="N107" s="68"/>
      <c r="O107" s="68"/>
    </row>
    <row r="109" spans="1:15" ht="22.5" x14ac:dyDescent="0.25">
      <c r="A109" t="s">
        <v>146</v>
      </c>
      <c r="B109" s="8">
        <f>CellCount_Viability!A20</f>
        <v>0</v>
      </c>
      <c r="F109" s="67" t="s">
        <v>73</v>
      </c>
      <c r="G109" s="67" t="s">
        <v>55</v>
      </c>
      <c r="H109" s="67"/>
      <c r="I109" s="67"/>
      <c r="J109" s="67"/>
      <c r="K109" s="67"/>
      <c r="L109" s="67"/>
      <c r="M109" s="67"/>
      <c r="N109" s="67"/>
      <c r="O109" s="67"/>
    </row>
    <row r="110" spans="1:15" x14ac:dyDescent="0.25">
      <c r="A110" s="104" t="s">
        <v>64</v>
      </c>
      <c r="B110" s="105"/>
      <c r="C110" s="104" t="s">
        <v>65</v>
      </c>
      <c r="D110" s="105"/>
      <c r="E110" s="67" t="s">
        <v>66</v>
      </c>
      <c r="F110" s="68" t="e">
        <v>#N/A</v>
      </c>
      <c r="G110" s="68" t="e">
        <v>#N/A</v>
      </c>
      <c r="H110" s="68"/>
      <c r="I110" s="68"/>
      <c r="J110" s="68"/>
      <c r="K110" s="68"/>
      <c r="L110" s="68"/>
      <c r="M110" s="68"/>
      <c r="N110" s="68"/>
      <c r="O110" s="68"/>
    </row>
    <row r="111" spans="1:15" x14ac:dyDescent="0.25">
      <c r="A111" s="104" t="s">
        <v>67</v>
      </c>
      <c r="B111" s="105"/>
      <c r="C111" s="104" t="s">
        <v>68</v>
      </c>
      <c r="D111" s="105"/>
      <c r="E111" s="67" t="s">
        <v>66</v>
      </c>
      <c r="F111" s="68" t="e">
        <v>#N/A</v>
      </c>
      <c r="G111" s="68" t="e">
        <v>#N/A</v>
      </c>
      <c r="H111" s="68"/>
      <c r="I111" s="68"/>
      <c r="J111" s="68"/>
      <c r="K111" s="68"/>
      <c r="L111" s="68"/>
      <c r="M111" s="68"/>
      <c r="N111" s="68"/>
      <c r="O111" s="68"/>
    </row>
    <row r="112" spans="1:15" x14ac:dyDescent="0.25">
      <c r="A112" s="104" t="s">
        <v>69</v>
      </c>
      <c r="B112" s="105"/>
      <c r="C112" s="104" t="s">
        <v>70</v>
      </c>
      <c r="D112" s="105"/>
      <c r="E112" s="67" t="s">
        <v>66</v>
      </c>
      <c r="F112" s="68" t="e">
        <v>#N/A</v>
      </c>
      <c r="G112" s="68" t="e">
        <v>#N/A</v>
      </c>
      <c r="H112" s="68"/>
      <c r="I112" s="68"/>
      <c r="J112" s="68"/>
      <c r="K112" s="68"/>
      <c r="L112" s="68"/>
      <c r="M112" s="68"/>
      <c r="N112" s="68"/>
      <c r="O112" s="68"/>
    </row>
    <row r="113" spans="1:15" x14ac:dyDescent="0.25">
      <c r="A113" s="104" t="s">
        <v>71</v>
      </c>
      <c r="B113" s="105"/>
      <c r="C113" s="104" t="s">
        <v>72</v>
      </c>
      <c r="D113" s="105"/>
      <c r="E113" s="67" t="s">
        <v>66</v>
      </c>
      <c r="F113" s="68" t="e">
        <v>#N/A</v>
      </c>
      <c r="G113" s="68" t="e">
        <v>#N/A</v>
      </c>
      <c r="H113" s="68"/>
      <c r="I113" s="68"/>
      <c r="J113" s="68"/>
      <c r="K113" s="68"/>
      <c r="L113" s="68"/>
      <c r="M113" s="68"/>
      <c r="N113" s="68"/>
      <c r="O113" s="68"/>
    </row>
    <row r="115" spans="1:15" ht="22.5" x14ac:dyDescent="0.25">
      <c r="A115" t="s">
        <v>147</v>
      </c>
      <c r="B115" s="8">
        <f>CellCount_Viability!A21</f>
        <v>0</v>
      </c>
      <c r="F115" s="67" t="s">
        <v>73</v>
      </c>
      <c r="G115" s="67" t="s">
        <v>55</v>
      </c>
      <c r="H115" s="67"/>
      <c r="I115" s="67"/>
      <c r="J115" s="67"/>
      <c r="K115" s="67"/>
      <c r="L115" s="67"/>
      <c r="M115" s="67"/>
      <c r="N115" s="67"/>
      <c r="O115" s="67"/>
    </row>
    <row r="116" spans="1:15" x14ac:dyDescent="0.25">
      <c r="A116" s="104" t="s">
        <v>64</v>
      </c>
      <c r="B116" s="105"/>
      <c r="C116" s="104" t="s">
        <v>65</v>
      </c>
      <c r="D116" s="105"/>
      <c r="E116" s="67" t="s">
        <v>66</v>
      </c>
      <c r="F116" s="68" t="e">
        <v>#N/A</v>
      </c>
      <c r="G116" s="68" t="e">
        <v>#N/A</v>
      </c>
      <c r="H116" s="68"/>
      <c r="I116" s="68"/>
      <c r="J116" s="68"/>
      <c r="K116" s="68"/>
      <c r="L116" s="68"/>
      <c r="M116" s="68"/>
      <c r="N116" s="68"/>
      <c r="O116" s="68"/>
    </row>
    <row r="117" spans="1:15" x14ac:dyDescent="0.25">
      <c r="A117" s="104" t="s">
        <v>67</v>
      </c>
      <c r="B117" s="105"/>
      <c r="C117" s="104" t="s">
        <v>68</v>
      </c>
      <c r="D117" s="105"/>
      <c r="E117" s="67" t="s">
        <v>66</v>
      </c>
      <c r="F117" s="68" t="e">
        <v>#N/A</v>
      </c>
      <c r="G117" s="68" t="e">
        <v>#N/A</v>
      </c>
      <c r="H117" s="68"/>
      <c r="I117" s="68"/>
      <c r="J117" s="68"/>
      <c r="K117" s="68"/>
      <c r="L117" s="68"/>
      <c r="M117" s="68"/>
      <c r="N117" s="68"/>
      <c r="O117" s="68"/>
    </row>
    <row r="118" spans="1:15" x14ac:dyDescent="0.25">
      <c r="A118" s="104" t="s">
        <v>69</v>
      </c>
      <c r="B118" s="105"/>
      <c r="C118" s="104" t="s">
        <v>70</v>
      </c>
      <c r="D118" s="105"/>
      <c r="E118" s="67" t="s">
        <v>66</v>
      </c>
      <c r="F118" s="68" t="e">
        <v>#N/A</v>
      </c>
      <c r="G118" s="68" t="e">
        <v>#N/A</v>
      </c>
      <c r="H118" s="68"/>
      <c r="I118" s="68"/>
      <c r="J118" s="68"/>
      <c r="K118" s="68"/>
      <c r="L118" s="68"/>
      <c r="M118" s="68"/>
      <c r="N118" s="68"/>
      <c r="O118" s="68"/>
    </row>
    <row r="119" spans="1:15" x14ac:dyDescent="0.25">
      <c r="A119" s="104" t="s">
        <v>71</v>
      </c>
      <c r="B119" s="105"/>
      <c r="C119" s="104" t="s">
        <v>72</v>
      </c>
      <c r="D119" s="105"/>
      <c r="E119" s="67" t="s">
        <v>66</v>
      </c>
      <c r="F119" s="68" t="e">
        <v>#N/A</v>
      </c>
      <c r="G119" s="68" t="e">
        <v>#N/A</v>
      </c>
      <c r="H119" s="68"/>
      <c r="I119" s="68"/>
      <c r="J119" s="68"/>
      <c r="K119" s="68"/>
      <c r="L119" s="68"/>
      <c r="M119" s="68"/>
      <c r="N119" s="68"/>
      <c r="O119" s="68"/>
    </row>
  </sheetData>
  <mergeCells count="162">
    <mergeCell ref="A2:B2"/>
    <mergeCell ref="C2:D2"/>
    <mergeCell ref="A3:B3"/>
    <mergeCell ref="C3:D3"/>
    <mergeCell ref="A4:B4"/>
    <mergeCell ref="C4:D4"/>
    <mergeCell ref="A9:B9"/>
    <mergeCell ref="C9:D9"/>
    <mergeCell ref="A10:B10"/>
    <mergeCell ref="C10:D10"/>
    <mergeCell ref="A11:B11"/>
    <mergeCell ref="C11:D11"/>
    <mergeCell ref="A5:B5"/>
    <mergeCell ref="C5:D5"/>
    <mergeCell ref="A6:B6"/>
    <mergeCell ref="C6:D6"/>
    <mergeCell ref="A8:B8"/>
    <mergeCell ref="C8:D8"/>
    <mergeCell ref="A17:B17"/>
    <mergeCell ref="C17:D17"/>
    <mergeCell ref="A20:B20"/>
    <mergeCell ref="C20:D20"/>
    <mergeCell ref="A21:B21"/>
    <mergeCell ref="C21:D21"/>
    <mergeCell ref="A14:B14"/>
    <mergeCell ref="C14:D14"/>
    <mergeCell ref="A15:B15"/>
    <mergeCell ref="C15:D15"/>
    <mergeCell ref="A16:B16"/>
    <mergeCell ref="C16:D16"/>
    <mergeCell ref="A27:B27"/>
    <mergeCell ref="C27:D27"/>
    <mergeCell ref="A28:B28"/>
    <mergeCell ref="C28:D28"/>
    <mergeCell ref="A29:B29"/>
    <mergeCell ref="C29:D29"/>
    <mergeCell ref="A22:B22"/>
    <mergeCell ref="C22:D22"/>
    <mergeCell ref="A23:B23"/>
    <mergeCell ref="C23:D23"/>
    <mergeCell ref="A26:B26"/>
    <mergeCell ref="C26:D26"/>
    <mergeCell ref="A35:B35"/>
    <mergeCell ref="C35:D35"/>
    <mergeCell ref="A38:B38"/>
    <mergeCell ref="C38:D38"/>
    <mergeCell ref="A39:B39"/>
    <mergeCell ref="C39:D39"/>
    <mergeCell ref="A32:B32"/>
    <mergeCell ref="C32:D32"/>
    <mergeCell ref="A33:B33"/>
    <mergeCell ref="C33:D33"/>
    <mergeCell ref="A34:B34"/>
    <mergeCell ref="C34:D34"/>
    <mergeCell ref="A45:B45"/>
    <mergeCell ref="C45:D45"/>
    <mergeCell ref="A46:B46"/>
    <mergeCell ref="C46:D46"/>
    <mergeCell ref="A47:B47"/>
    <mergeCell ref="C47:D47"/>
    <mergeCell ref="A40:B40"/>
    <mergeCell ref="C40:D40"/>
    <mergeCell ref="A41:B41"/>
    <mergeCell ref="C41:D41"/>
    <mergeCell ref="A44:B44"/>
    <mergeCell ref="C44:D44"/>
    <mergeCell ref="A53:B53"/>
    <mergeCell ref="C53:D53"/>
    <mergeCell ref="A56:B56"/>
    <mergeCell ref="C56:D56"/>
    <mergeCell ref="A57:B57"/>
    <mergeCell ref="C57:D57"/>
    <mergeCell ref="A50:B50"/>
    <mergeCell ref="C50:D50"/>
    <mergeCell ref="A51:B51"/>
    <mergeCell ref="C51:D51"/>
    <mergeCell ref="A52:B52"/>
    <mergeCell ref="C52:D52"/>
    <mergeCell ref="A63:B63"/>
    <mergeCell ref="C63:D63"/>
    <mergeCell ref="A64:B64"/>
    <mergeCell ref="C64:D64"/>
    <mergeCell ref="A65:B65"/>
    <mergeCell ref="C65:D65"/>
    <mergeCell ref="A58:B58"/>
    <mergeCell ref="C58:D58"/>
    <mergeCell ref="A59:B59"/>
    <mergeCell ref="C59:D59"/>
    <mergeCell ref="A62:B62"/>
    <mergeCell ref="C62:D62"/>
    <mergeCell ref="A71:B71"/>
    <mergeCell ref="C71:D71"/>
    <mergeCell ref="A74:B74"/>
    <mergeCell ref="C74:D74"/>
    <mergeCell ref="A75:B75"/>
    <mergeCell ref="C75:D75"/>
    <mergeCell ref="A68:B68"/>
    <mergeCell ref="C68:D68"/>
    <mergeCell ref="A69:B69"/>
    <mergeCell ref="C69:D69"/>
    <mergeCell ref="A70:B70"/>
    <mergeCell ref="C70:D70"/>
    <mergeCell ref="A81:B81"/>
    <mergeCell ref="C81:D81"/>
    <mergeCell ref="A82:B82"/>
    <mergeCell ref="C82:D82"/>
    <mergeCell ref="A83:B83"/>
    <mergeCell ref="C83:D83"/>
    <mergeCell ref="A76:B76"/>
    <mergeCell ref="C76:D76"/>
    <mergeCell ref="A77:B77"/>
    <mergeCell ref="C77:D77"/>
    <mergeCell ref="A80:B80"/>
    <mergeCell ref="C80:D80"/>
    <mergeCell ref="A89:B89"/>
    <mergeCell ref="C89:D89"/>
    <mergeCell ref="A92:B92"/>
    <mergeCell ref="C92:D92"/>
    <mergeCell ref="A93:B93"/>
    <mergeCell ref="C93:D93"/>
    <mergeCell ref="A86:B86"/>
    <mergeCell ref="C86:D86"/>
    <mergeCell ref="A87:B87"/>
    <mergeCell ref="C87:D87"/>
    <mergeCell ref="A88:B88"/>
    <mergeCell ref="C88:D88"/>
    <mergeCell ref="A99:B99"/>
    <mergeCell ref="C99:D99"/>
    <mergeCell ref="A100:B100"/>
    <mergeCell ref="C100:D100"/>
    <mergeCell ref="A101:B101"/>
    <mergeCell ref="C101:D101"/>
    <mergeCell ref="A94:B94"/>
    <mergeCell ref="C94:D94"/>
    <mergeCell ref="A95:B95"/>
    <mergeCell ref="C95:D95"/>
    <mergeCell ref="A98:B98"/>
    <mergeCell ref="C98:D98"/>
    <mergeCell ref="A107:B107"/>
    <mergeCell ref="C107:D107"/>
    <mergeCell ref="A110:B110"/>
    <mergeCell ref="C110:D110"/>
    <mergeCell ref="A111:B111"/>
    <mergeCell ref="C111:D111"/>
    <mergeCell ref="A104:B104"/>
    <mergeCell ref="C104:D104"/>
    <mergeCell ref="A105:B105"/>
    <mergeCell ref="C105:D105"/>
    <mergeCell ref="A106:B106"/>
    <mergeCell ref="C106:D106"/>
    <mergeCell ref="A117:B117"/>
    <mergeCell ref="C117:D117"/>
    <mergeCell ref="A118:B118"/>
    <mergeCell ref="C118:D118"/>
    <mergeCell ref="A119:B119"/>
    <mergeCell ref="C119:D119"/>
    <mergeCell ref="A112:B112"/>
    <mergeCell ref="C112:D112"/>
    <mergeCell ref="A113:B113"/>
    <mergeCell ref="C113:D113"/>
    <mergeCell ref="A116:B116"/>
    <mergeCell ref="C116:D1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3533-2364-4C67-A7E8-A4E273F31165}">
  <sheetPr codeName="Sheet11"/>
  <dimension ref="A1:AA21"/>
  <sheetViews>
    <sheetView zoomScale="70" zoomScaleNormal="70" workbookViewId="0">
      <selection activeCell="I22" sqref="I22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bestFit="1" customWidth="1"/>
    <col min="4" max="4" width="17" bestFit="1" customWidth="1"/>
    <col min="5" max="5" width="16.85546875" customWidth="1"/>
    <col min="6" max="6" width="14.140625" bestFit="1" customWidth="1"/>
    <col min="7" max="7" width="14.5703125" bestFit="1" customWidth="1"/>
    <col min="8" max="8" width="14.140625" bestFit="1" customWidth="1"/>
    <col min="9" max="9" width="14.7109375" bestFit="1" customWidth="1"/>
    <col min="10" max="10" width="17" bestFit="1" customWidth="1"/>
    <col min="11" max="11" width="14" bestFit="1" customWidth="1"/>
    <col min="12" max="12" width="14.140625" bestFit="1" customWidth="1"/>
    <col min="13" max="13" width="14.5703125" bestFit="1" customWidth="1"/>
    <col min="14" max="14" width="14.140625" bestFit="1" customWidth="1"/>
    <col min="15" max="15" width="14.7109375" bestFit="1" customWidth="1"/>
    <col min="16" max="16" width="22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9.42578125" bestFit="1" customWidth="1"/>
    <col min="25" max="25" width="19.85546875" bestFit="1" customWidth="1"/>
    <col min="26" max="26" width="19.42578125" bestFit="1" customWidth="1"/>
    <col min="27" max="27" width="19" bestFit="1" customWidth="1"/>
  </cols>
  <sheetData>
    <row r="1" spans="1:27" ht="15.75" thickBot="1" x14ac:dyDescent="0.3">
      <c r="A1" s="64" t="s">
        <v>0</v>
      </c>
      <c r="B1" s="65" t="s">
        <v>1</v>
      </c>
      <c r="C1" s="65" t="s">
        <v>2</v>
      </c>
      <c r="D1" s="66" t="s">
        <v>293</v>
      </c>
      <c r="E1" s="66" t="s">
        <v>294</v>
      </c>
      <c r="F1" s="66" t="s">
        <v>295</v>
      </c>
      <c r="G1" s="66" t="s">
        <v>296</v>
      </c>
      <c r="H1" s="66" t="s">
        <v>297</v>
      </c>
      <c r="I1" s="66" t="s">
        <v>162</v>
      </c>
      <c r="J1" s="66" t="s">
        <v>298</v>
      </c>
      <c r="K1" s="66" t="s">
        <v>299</v>
      </c>
      <c r="L1" s="66" t="s">
        <v>300</v>
      </c>
      <c r="M1" s="66" t="s">
        <v>301</v>
      </c>
      <c r="N1" s="66" t="s">
        <v>302</v>
      </c>
      <c r="O1" s="66" t="s">
        <v>166</v>
      </c>
      <c r="P1" s="66" t="s">
        <v>303</v>
      </c>
      <c r="Q1" s="66" t="s">
        <v>304</v>
      </c>
      <c r="R1" s="66" t="s">
        <v>305</v>
      </c>
      <c r="S1" s="66" t="s">
        <v>306</v>
      </c>
      <c r="T1" s="66" t="s">
        <v>307</v>
      </c>
      <c r="U1" s="66" t="s">
        <v>195</v>
      </c>
      <c r="V1" s="66" t="s">
        <v>308</v>
      </c>
      <c r="W1" s="66" t="s">
        <v>309</v>
      </c>
      <c r="X1" s="66" t="s">
        <v>310</v>
      </c>
      <c r="Y1" s="66" t="s">
        <v>311</v>
      </c>
      <c r="Z1" s="66" t="s">
        <v>312</v>
      </c>
      <c r="AA1" s="66" t="s">
        <v>199</v>
      </c>
    </row>
    <row r="2" spans="1:27" ht="15.75" thickTop="1" x14ac:dyDescent="0.25">
      <c r="A2" s="8">
        <f>CellCount_Viability!A2</f>
        <v>46268</v>
      </c>
      <c r="B2" s="69">
        <f>C2*24</f>
        <v>0</v>
      </c>
      <c r="C2" s="63">
        <f t="shared" ref="C2:C13" si="0">IF(NOT(A2=0),A2-$A$2,"")</f>
        <v>0</v>
      </c>
      <c r="D2">
        <f>AVERAGE(HPLC_raw!J2:J3)</f>
        <v>28.167500235251506</v>
      </c>
      <c r="E2">
        <f>AVERAGE(HPLC_raw!K2:K3)</f>
        <v>87.0219166792468</v>
      </c>
      <c r="F2">
        <f>AVERAGE(HPLC_raw!L2:L3)</f>
        <v>20.535598150798478</v>
      </c>
      <c r="G2">
        <f>AVERAGE(HPLC_raw!M2:M3)</f>
        <v>7.9514808844787517</v>
      </c>
      <c r="H2">
        <f>AVERAGE(HPLC_raw!N2:N3)</f>
        <v>0</v>
      </c>
      <c r="I2">
        <f>AVERAGE(HPLC_raw!O2:O3)</f>
        <v>0.79693379844785261</v>
      </c>
      <c r="J2">
        <f>AVERAGE(HPLC_raw!J4:J5)</f>
        <v>25.243705918505199</v>
      </c>
      <c r="K2">
        <f>AVERAGE(HPLC_raw!K4:K5)</f>
        <v>82.320355272273673</v>
      </c>
      <c r="L2">
        <f>AVERAGE(HPLC_raw!L4:L5)</f>
        <v>19.089425735063436</v>
      </c>
      <c r="M2">
        <f>AVERAGE(HPLC_raw!M4:M5)</f>
        <v>7.3261666806317489</v>
      </c>
      <c r="N2">
        <f>AVERAGE(HPLC_raw!N4:N5)</f>
        <v>0</v>
      </c>
      <c r="O2">
        <f>AVERAGE(HPLC_raw!O4:O5)</f>
        <v>0.70886324881278573</v>
      </c>
      <c r="P2">
        <f>STDEV(HPLC_raw!J2:J3)</f>
        <v>1.7325745811625923</v>
      </c>
      <c r="Q2">
        <f>STDEV(HPLC_raw!K2:K3)</f>
        <v>0.97230248321634882</v>
      </c>
      <c r="R2">
        <f>STDEV(HPLC_raw!L2:L3)</f>
        <v>0.41484279122065426</v>
      </c>
      <c r="S2">
        <f>STDEV(HPLC_raw!M2:M3)</f>
        <v>0.13471216372569572</v>
      </c>
      <c r="T2">
        <f>STDEV(HPLC_raw!N2:N3)</f>
        <v>0</v>
      </c>
      <c r="U2">
        <f>STDEV(HPLC_raw!O2:O3)</f>
        <v>3.4575822348679397E-2</v>
      </c>
      <c r="V2">
        <f>STDEV(HPLC_raw!J4:J5)</f>
        <v>3.9606266670910453E-2</v>
      </c>
      <c r="W2">
        <f>STDEV(HPLC_raw!K4:K5)</f>
        <v>5.3254911955532815</v>
      </c>
      <c r="X2">
        <f>STDEV(HPLC_raw!L4:L5)</f>
        <v>1.1590940968895749</v>
      </c>
      <c r="Y2">
        <f>STDEV(HPLC_raw!M4:M5)</f>
        <v>0.30190812868128053</v>
      </c>
      <c r="Z2">
        <f>STDEV(HPLC_raw!N4:N5)</f>
        <v>0</v>
      </c>
      <c r="AA2">
        <f>STDEV(HPLC_raw!O4:O5)</f>
        <v>1.4636602313683815E-2</v>
      </c>
    </row>
    <row r="3" spans="1:27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AVERAGE(HPLC_raw!J8:J9)</f>
        <v>29.152836958273323</v>
      </c>
      <c r="E3">
        <f>AVERAGE(HPLC_raw!K8:K9)</f>
        <v>80.878273620215012</v>
      </c>
      <c r="F3">
        <f>AVERAGE(HPLC_raw!L8:L9)</f>
        <v>15.086306646415895</v>
      </c>
      <c r="G3">
        <f>AVERAGE(HPLC_raw!M8:M9)</f>
        <v>6.3733441014484518</v>
      </c>
      <c r="H3">
        <f>AVERAGE(HPLC_raw!N8:N9)</f>
        <v>0.46557264842401413</v>
      </c>
      <c r="I3">
        <f>AVERAGE(HPLC_raw!O8:O9)</f>
        <v>3.9605061049348751</v>
      </c>
      <c r="J3">
        <f>AVERAGE(HPLC_raw!J10:J11)</f>
        <v>29.438839904178792</v>
      </c>
      <c r="K3">
        <f>AVERAGE(HPLC_raw!K10:K11)</f>
        <v>84.477503734975997</v>
      </c>
      <c r="L3">
        <f>AVERAGE(HPLC_raw!L10:L11)</f>
        <v>16.409118559239911</v>
      </c>
      <c r="M3">
        <f>AVERAGE(HPLC_raw!M10:M11)</f>
        <v>6.7111020565185777</v>
      </c>
      <c r="N3">
        <f>AVERAGE(HPLC_raw!N10:N11)</f>
        <v>0.46778609254051245</v>
      </c>
      <c r="O3">
        <f>AVERAGE(HPLC_raw!O10:O11)</f>
        <v>4.3177505712464077</v>
      </c>
      <c r="P3">
        <f>STDEV(HPLC_raw!J8:J9)</f>
        <v>1.3496362694640205</v>
      </c>
      <c r="Q3">
        <f>STDEV(HPLC_raw!K8:K9)</f>
        <v>1.9664266518300959</v>
      </c>
      <c r="R3">
        <f>STDEV(HPLC_raw!L8:L9)</f>
        <v>4.1445856829030431E-2</v>
      </c>
      <c r="S3">
        <f>STDEV(HPLC_raw!M8:M9)</f>
        <v>1.1800341434217165E-2</v>
      </c>
      <c r="T3">
        <f>STDEV(HPLC_raw!N8:N9)</f>
        <v>2.4780767049936325E-2</v>
      </c>
      <c r="U3">
        <f>STDEV(HPLC_raw!O8:O9)</f>
        <v>2.1080415761057826E-2</v>
      </c>
      <c r="V3">
        <f>STDEV(HPLC_raw!J10:J11)</f>
        <v>3.6873877411115578E-2</v>
      </c>
      <c r="W3">
        <f>STDEV(HPLC_raw!K10:K11)</f>
        <v>0.73890254443253467</v>
      </c>
      <c r="X3">
        <f>STDEV(HPLC_raw!L10:L11)</f>
        <v>3.6149896792358978E-2</v>
      </c>
      <c r="Y3">
        <f>STDEV(HPLC_raw!M10:M11)</f>
        <v>1.6726561920159852E-2</v>
      </c>
      <c r="Z3">
        <f>STDEV(HPLC_raw!N10:N11)</f>
        <v>1.856950715262138E-2</v>
      </c>
      <c r="AA3">
        <f>STDEV(HPLC_raw!O10:O11)</f>
        <v>1.828980601912374E-2</v>
      </c>
    </row>
    <row r="4" spans="1:27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AVERAGE(HPLC_raw!J14:J15)</f>
        <v>25.939240119726129</v>
      </c>
      <c r="E4">
        <f>AVERAGE(HPLC_raw!K14:K15)</f>
        <v>72.553065441157713</v>
      </c>
      <c r="F4">
        <f>AVERAGE(HPLC_raw!L14:L15)</f>
        <v>13.734819395474549</v>
      </c>
      <c r="G4">
        <f>AVERAGE(HPLC_raw!M14:M15)</f>
        <v>6.0395718163934244</v>
      </c>
      <c r="H4">
        <f>AVERAGE(HPLC_raw!N14:N15)</f>
        <v>0.42136597465237224</v>
      </c>
      <c r="I4">
        <f>AVERAGE(HPLC_raw!O14:O15)</f>
        <v>3.6678962539424091</v>
      </c>
      <c r="J4">
        <f>AVERAGE(HPLC_raw!J16:J17)</f>
        <v>25.037948287020324</v>
      </c>
      <c r="K4">
        <f>AVERAGE(HPLC_raw!K16:K17)</f>
        <v>72.260466209471247</v>
      </c>
      <c r="L4">
        <f>AVERAGE(HPLC_raw!L16:L17)</f>
        <v>13.647154567093978</v>
      </c>
      <c r="M4">
        <f>AVERAGE(HPLC_raw!M16:M17)</f>
        <v>5.7389393938782813</v>
      </c>
      <c r="N4">
        <f>AVERAGE(HPLC_raw!N16:N17)</f>
        <v>0.38886737697758816</v>
      </c>
      <c r="O4">
        <f>AVERAGE(HPLC_raw!O16:O17)</f>
        <v>3.456605519982046</v>
      </c>
      <c r="P4">
        <f>STDEV(HPLC_raw!J14:J15)</f>
        <v>1.2011409066798366</v>
      </c>
      <c r="Q4">
        <f>STDEV(HPLC_raw!K14:K15)</f>
        <v>4.1865594244121498</v>
      </c>
      <c r="R4">
        <f>STDEV(HPLC_raw!L14:L15)</f>
        <v>0.80515506239396695</v>
      </c>
      <c r="S4">
        <f>STDEV(HPLC_raw!M14:M15)</f>
        <v>1.0151484609623156E-2</v>
      </c>
      <c r="T4">
        <f>STDEV(HPLC_raw!N14:N15)</f>
        <v>6.0549912142594088E-3</v>
      </c>
      <c r="U4">
        <f>STDEV(HPLC_raw!O14:O15)</f>
        <v>0.11373635241149328</v>
      </c>
      <c r="V4">
        <f>STDEV(HPLC_raw!J16:J17)</f>
        <v>0.18554942922698575</v>
      </c>
      <c r="W4">
        <f>STDEV(HPLC_raw!K16:K17)</f>
        <v>4.0437329453031143</v>
      </c>
      <c r="X4">
        <f>STDEV(HPLC_raw!L16:L17)</f>
        <v>0.7868467523462519</v>
      </c>
      <c r="Y4">
        <f>STDEV(HPLC_raw!M16:M17)</f>
        <v>0.10818025880905019</v>
      </c>
      <c r="Z4">
        <f>STDEV(HPLC_raw!N16:N17)</f>
        <v>4.8447281203682427E-3</v>
      </c>
      <c r="AA4">
        <f>STDEV(HPLC_raw!O16:O17)</f>
        <v>4.625595245431758E-2</v>
      </c>
    </row>
    <row r="5" spans="1:27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AVERAGE(HPLC_raw!J20:J21)</f>
        <v>26.198905688679631</v>
      </c>
      <c r="E5">
        <f>AVERAGE(HPLC_raw!K20:K21)</f>
        <v>54.021005980945809</v>
      </c>
      <c r="F5">
        <f>AVERAGE(HPLC_raw!L20:L21)</f>
        <v>3.2191000591194641</v>
      </c>
      <c r="G5">
        <f>AVERAGE(HPLC_raw!M20:M21)</f>
        <v>3.6071904537758637</v>
      </c>
      <c r="H5">
        <f>AVERAGE(HPLC_raw!N20:N21)</f>
        <v>1.4983336115725117</v>
      </c>
      <c r="I5">
        <f>AVERAGE(HPLC_raw!O20:O21)</f>
        <v>25.369205372269175</v>
      </c>
      <c r="J5">
        <f>AVERAGE(HPLC_raw!J22:J23)</f>
        <v>25.770671956952711</v>
      </c>
      <c r="K5">
        <f>AVERAGE(HPLC_raw!K22:K23)</f>
        <v>56.898493668541064</v>
      </c>
      <c r="L5">
        <f>AVERAGE(HPLC_raw!L22:L23)</f>
        <v>3.3248025520380313</v>
      </c>
      <c r="M5">
        <f>AVERAGE(HPLC_raw!M22:M23)</f>
        <v>3.7254671347489774</v>
      </c>
      <c r="N5">
        <f>AVERAGE(HPLC_raw!N22:N23)</f>
        <v>1.5141592104772679</v>
      </c>
      <c r="O5">
        <f>AVERAGE(HPLC_raw!O22:O23)</f>
        <v>26.053413045255006</v>
      </c>
      <c r="P5">
        <f>STDEV(HPLC_raw!J20:J21)</f>
        <v>0.24549942942008451</v>
      </c>
      <c r="Q5">
        <f>STDEV(HPLC_raw!K20:K21)</f>
        <v>1.6444390719927535</v>
      </c>
      <c r="R5">
        <f>STDEV(HPLC_raw!L20:L21)</f>
        <v>1.3647077269352815E-2</v>
      </c>
      <c r="S5">
        <f>STDEV(HPLC_raw!M20:M21)</f>
        <v>9.1300985850826119E-2</v>
      </c>
      <c r="T5">
        <f>STDEV(HPLC_raw!N20:N21)</f>
        <v>2.2297040343796228E-2</v>
      </c>
      <c r="U5">
        <f>STDEV(HPLC_raw!O20:O21)</f>
        <v>1.4713401927570371</v>
      </c>
      <c r="V5">
        <f>STDEV(HPLC_raw!J22:J23)</f>
        <v>2.3613021317604401</v>
      </c>
      <c r="W5">
        <f>STDEV(HPLC_raw!K22:K23)</f>
        <v>3.2464244236885906</v>
      </c>
      <c r="X5">
        <f>STDEV(HPLC_raw!L22:L23)</f>
        <v>0.31056123175002898</v>
      </c>
      <c r="Y5">
        <f>STDEV(HPLC_raw!M22:M23)</f>
        <v>0.26674655572176148</v>
      </c>
      <c r="Z5">
        <f>STDEV(HPLC_raw!N22:N23)</f>
        <v>5.9030250058904297E-2</v>
      </c>
      <c r="AA5">
        <f>STDEV(HPLC_raw!O22:O23)</f>
        <v>1.9362879093348528</v>
      </c>
    </row>
    <row r="6" spans="1:27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AVERAGE(HPLC_raw!J26:J27)</f>
        <v>25.586739410759584</v>
      </c>
      <c r="E6">
        <f>AVERAGE(HPLC_raw!K26:K27)</f>
        <v>37.332759494936319</v>
      </c>
      <c r="F6">
        <f>AVERAGE(HPLC_raw!L26:L27)</f>
        <v>0</v>
      </c>
      <c r="G6">
        <f>AVERAGE(HPLC_raw!M26:M27)</f>
        <v>1.8299799524956821</v>
      </c>
      <c r="H6">
        <f>AVERAGE(HPLC_raw!N26:N27)</f>
        <v>2.0565150033221258</v>
      </c>
      <c r="I6">
        <f>AVERAGE(HPLC_raw!O26:O27)</f>
        <v>34.975115808112733</v>
      </c>
      <c r="J6">
        <f>AVERAGE(HPLC_raw!J28:J29)</f>
        <v>24.635626191809379</v>
      </c>
      <c r="K6">
        <f>AVERAGE(HPLC_raw!K28:K29)</f>
        <v>33.553760114743028</v>
      </c>
      <c r="L6">
        <f>AVERAGE(HPLC_raw!L28:L29)</f>
        <v>0</v>
      </c>
      <c r="M6">
        <f>AVERAGE(HPLC_raw!M28:M29)</f>
        <v>1.6701971357282961</v>
      </c>
      <c r="N6">
        <f>AVERAGE(HPLC_raw!N28:N29)</f>
        <v>1.7962518722796394</v>
      </c>
      <c r="O6">
        <f>AVERAGE(HPLC_raw!O28:O29)</f>
        <v>32.341584698655524</v>
      </c>
      <c r="P6">
        <f>STDEV(HPLC_raw!J26:J27)</f>
        <v>0.75552862025041456</v>
      </c>
      <c r="Q6">
        <f>STDEV(HPLC_raw!K26:K27)</f>
        <v>1.3022919867789766</v>
      </c>
      <c r="R6">
        <f>STDEV(HPLC_raw!L26:L27)</f>
        <v>0</v>
      </c>
      <c r="S6">
        <f>STDEV(HPLC_raw!M26:M27)</f>
        <v>8.9067102977006901E-2</v>
      </c>
      <c r="T6">
        <f>STDEV(HPLC_raw!N26:N27)</f>
        <v>0.11160266797286794</v>
      </c>
      <c r="U6">
        <f>STDEV(HPLC_raw!O26:O27)</f>
        <v>1.381284742417219</v>
      </c>
      <c r="V6">
        <f>STDEV(HPLC_raw!J28:J29)</f>
        <v>0.2649294183317939</v>
      </c>
      <c r="W6">
        <f>STDEV(HPLC_raw!K28:K29)</f>
        <v>1.051058696359269</v>
      </c>
      <c r="X6">
        <f>STDEV(HPLC_raw!L28:L29)</f>
        <v>0</v>
      </c>
      <c r="Y6">
        <f>STDEV(HPLC_raw!M28:M29)</f>
        <v>6.7911397857704656E-2</v>
      </c>
      <c r="Z6">
        <f>STDEV(HPLC_raw!N28:N29)</f>
        <v>1.5911104670853795E-2</v>
      </c>
      <c r="AA6">
        <f>STDEV(HPLC_raw!O28:O29)</f>
        <v>2.1705482141437726</v>
      </c>
    </row>
    <row r="7" spans="1:27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AVERAGE(HPLC_raw!J32:J33)</f>
        <v>23.148414930856347</v>
      </c>
      <c r="E7">
        <f>AVERAGE(HPLC_raw!K32:K33)</f>
        <v>19.453911895046087</v>
      </c>
      <c r="F7">
        <f>AVERAGE(HPLC_raw!L32:L33)</f>
        <v>0</v>
      </c>
      <c r="G7">
        <f>AVERAGE(HPLC_raw!M32:M33)</f>
        <v>0</v>
      </c>
      <c r="H7">
        <f>AVERAGE(HPLC_raw!N32:N33)</f>
        <v>2.2368618427413054</v>
      </c>
      <c r="I7">
        <f>AVERAGE(HPLC_raw!O32:O33)</f>
        <v>45.798969498596385</v>
      </c>
      <c r="J7">
        <f>AVERAGE(HPLC_raw!J34:J35)</f>
        <v>23.397694586876053</v>
      </c>
      <c r="K7">
        <f>AVERAGE(HPLC_raw!K34:K35)</f>
        <v>20.262011517481778</v>
      </c>
      <c r="L7">
        <f>AVERAGE(HPLC_raw!L34:L35)</f>
        <v>0</v>
      </c>
      <c r="M7">
        <f>AVERAGE(HPLC_raw!M34:M35)</f>
        <v>0</v>
      </c>
      <c r="N7">
        <f>AVERAGE(HPLC_raw!N34:N35)</f>
        <v>2.3495554954056113</v>
      </c>
      <c r="O7">
        <f>AVERAGE(HPLC_raw!O34:O35)</f>
        <v>45.852924761997812</v>
      </c>
      <c r="P7">
        <f>STDEV(HPLC_raw!J32:J33)</f>
        <v>0.14154166217400493</v>
      </c>
      <c r="Q7">
        <f>STDEV(HPLC_raw!K32:K33)</f>
        <v>1.3292025051389744</v>
      </c>
      <c r="R7">
        <f>STDEV(HPLC_raw!L32:L33)</f>
        <v>0</v>
      </c>
      <c r="S7">
        <f>STDEV(HPLC_raw!M32:M33)</f>
        <v>0</v>
      </c>
      <c r="T7">
        <f>STDEV(HPLC_raw!N32:N33)</f>
        <v>4.1207577177806917E-2</v>
      </c>
      <c r="U7">
        <f>STDEV(HPLC_raw!O32:O33)</f>
        <v>0.89976580388041916</v>
      </c>
      <c r="V7">
        <f>STDEV(HPLC_raw!J34:J35)</f>
        <v>2.1399688569744133</v>
      </c>
      <c r="W7">
        <f>STDEV(HPLC_raw!K34:K35)</f>
        <v>1.8401110401631009</v>
      </c>
      <c r="X7">
        <f>STDEV(HPLC_raw!L34:L35)</f>
        <v>0</v>
      </c>
      <c r="Y7">
        <f>STDEV(HPLC_raw!M34:M35)</f>
        <v>0</v>
      </c>
      <c r="Z7">
        <f>STDEV(HPLC_raw!N34:N35)</f>
        <v>0.12297108635750556</v>
      </c>
      <c r="AA7">
        <f>STDEV(HPLC_raw!O34:O35)</f>
        <v>2.827112033619676</v>
      </c>
    </row>
    <row r="8" spans="1:27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AVERAGE(HPLC_raw!J38:J39)</f>
        <v>20.857525022678296</v>
      </c>
      <c r="E8">
        <f>AVERAGE(HPLC_raw!K38:K39)</f>
        <v>5.295803152026723</v>
      </c>
      <c r="F8">
        <f>AVERAGE(HPLC_raw!L38:L39)</f>
        <v>0</v>
      </c>
      <c r="G8">
        <f>AVERAGE(HPLC_raw!M38:M39)</f>
        <v>0</v>
      </c>
      <c r="H8">
        <f>AVERAGE(HPLC_raw!N38:N39)</f>
        <v>2.6057211090323866</v>
      </c>
      <c r="I8">
        <f>AVERAGE(HPLC_raw!O38:O39)</f>
        <v>57.66984390225511</v>
      </c>
      <c r="J8">
        <f>AVERAGE(HPLC_raw!J40:J41)</f>
        <v>19.92498386605687</v>
      </c>
      <c r="K8">
        <f>AVERAGE(HPLC_raw!K40:K41)</f>
        <v>5.2859769298519481</v>
      </c>
      <c r="L8">
        <f>AVERAGE(HPLC_raw!L40:L41)</f>
        <v>0</v>
      </c>
      <c r="M8">
        <f>AVERAGE(HPLC_raw!M40:M41)</f>
        <v>0</v>
      </c>
      <c r="N8">
        <f>AVERAGE(HPLC_raw!N40:N41)</f>
        <v>2.5340024573777935</v>
      </c>
      <c r="O8">
        <f>AVERAGE(HPLC_raw!O40:O41)</f>
        <v>55.566398631938526</v>
      </c>
      <c r="P8">
        <f>STDEV(HPLC_raw!J38:J39)</f>
        <v>1.0833229761887959</v>
      </c>
      <c r="Q8">
        <f>STDEV(HPLC_raw!K38:K39)</f>
        <v>0.24098644866731614</v>
      </c>
      <c r="R8">
        <f>STDEV(HPLC_raw!L38:L39)</f>
        <v>0</v>
      </c>
      <c r="S8">
        <f>STDEV(HPLC_raw!M38:M39)</f>
        <v>0</v>
      </c>
      <c r="T8">
        <f>STDEV(HPLC_raw!N38:N39)</f>
        <v>0.13084460719940119</v>
      </c>
      <c r="U8">
        <f>STDEV(HPLC_raw!O38:O39)</f>
        <v>2.9973463112581431</v>
      </c>
      <c r="V8">
        <f>STDEV(HPLC_raw!J40:J41)</f>
        <v>0.91662898260814951</v>
      </c>
      <c r="W8">
        <f>STDEV(HPLC_raw!K40:K41)</f>
        <v>0.23003645016931323</v>
      </c>
      <c r="X8">
        <f>STDEV(HPLC_raw!L40:L41)</f>
        <v>0</v>
      </c>
      <c r="Y8">
        <f>STDEV(HPLC_raw!M40:M41)</f>
        <v>0</v>
      </c>
      <c r="Z8">
        <f>STDEV(HPLC_raw!N40:N41)</f>
        <v>0.13059740246274351</v>
      </c>
      <c r="AA8">
        <f>STDEV(HPLC_raw!O40:O41)</f>
        <v>2.7494357877167905</v>
      </c>
    </row>
    <row r="9" spans="1:27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AVERAGE(HPLC_raw!J44:J45)</f>
        <v>18.8733510321116</v>
      </c>
      <c r="E9">
        <f>AVERAGE(HPLC_raw!K44:K45)</f>
        <v>4.036545768325202</v>
      </c>
      <c r="F9">
        <f>AVERAGE(HPLC_raw!L44:L45)</f>
        <v>0</v>
      </c>
      <c r="G9">
        <f>AVERAGE(HPLC_raw!M44:M45)</f>
        <v>0</v>
      </c>
      <c r="H9">
        <f>AVERAGE(HPLC_raw!N44:N45)</f>
        <v>2.5476747714157599</v>
      </c>
      <c r="I9">
        <f>AVERAGE(HPLC_raw!O44:O45)</f>
        <v>59.899445997920452</v>
      </c>
      <c r="J9">
        <f>AVERAGE(HPLC_raw!J46:J47)</f>
        <v>18.817720797221064</v>
      </c>
      <c r="K9">
        <f>AVERAGE(HPLC_raw!K46:K47)</f>
        <v>3.8336719332962192</v>
      </c>
      <c r="L9">
        <f>AVERAGE(HPLC_raw!L46:L47)</f>
        <v>0</v>
      </c>
      <c r="M9">
        <f>AVERAGE(HPLC_raw!M46:M47)</f>
        <v>0</v>
      </c>
      <c r="N9">
        <f>AVERAGE(HPLC_raw!N46:N47)</f>
        <v>2.4303546793309376</v>
      </c>
      <c r="O9">
        <f>AVERAGE(HPLC_raw!O46:O47)</f>
        <v>60.010296942623164</v>
      </c>
      <c r="P9">
        <f>STDEV(HPLC_raw!J44:J45)</f>
        <v>0.40071887252463934</v>
      </c>
      <c r="Q9">
        <f>STDEV(HPLC_raw!K44:K45)</f>
        <v>0.18560954556957715</v>
      </c>
      <c r="R9">
        <f>STDEV(HPLC_raw!L44:L45)</f>
        <v>0</v>
      </c>
      <c r="S9">
        <f>STDEV(HPLC_raw!M44:M45)</f>
        <v>0</v>
      </c>
      <c r="T9">
        <f>STDEV(HPLC_raw!N44:N45)</f>
        <v>4.8754689295879547E-2</v>
      </c>
      <c r="U9">
        <f>STDEV(HPLC_raw!O44:O45)</f>
        <v>3.2111783656073016</v>
      </c>
      <c r="V9">
        <f>STDEV(HPLC_raw!J46:J47)</f>
        <v>1.101921652934609</v>
      </c>
      <c r="W9">
        <f>STDEV(HPLC_raw!K46:K47)</f>
        <v>0.12068611501878024</v>
      </c>
      <c r="X9">
        <f>STDEV(HPLC_raw!L46:L47)</f>
        <v>0</v>
      </c>
      <c r="Y9">
        <f>STDEV(HPLC_raw!M46:M47)</f>
        <v>0</v>
      </c>
      <c r="Z9">
        <f>STDEV(HPLC_raw!N46:N47)</f>
        <v>0.13470559230318793</v>
      </c>
      <c r="AA9">
        <f>STDEV(HPLC_raw!O46:O47)</f>
        <v>4.181683466168244</v>
      </c>
    </row>
    <row r="10" spans="1:27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AVERAGE(HPLC_raw!J50:J51)</f>
        <v>17.283970286248845</v>
      </c>
      <c r="E10">
        <f>AVERAGE(HPLC_raw!K50:K51)</f>
        <v>3.4092522513501948</v>
      </c>
      <c r="F10">
        <f>AVERAGE(HPLC_raw!L50:L51)</f>
        <v>0</v>
      </c>
      <c r="G10">
        <f>AVERAGE(HPLC_raw!M50:M51)</f>
        <v>0</v>
      </c>
      <c r="H10">
        <f>AVERAGE(HPLC_raw!N50:N51)</f>
        <v>2.5514006439257062</v>
      </c>
      <c r="I10">
        <f>AVERAGE(HPLC_raw!O50:O51)</f>
        <v>56.742135042815676</v>
      </c>
      <c r="J10">
        <f>AVERAGE(HPLC_raw!J52:J53)</f>
        <v>17.875929637501244</v>
      </c>
      <c r="K10">
        <f>AVERAGE(HPLC_raw!K52:K53)</f>
        <v>3.4874922479902031</v>
      </c>
      <c r="L10">
        <f>AVERAGE(HPLC_raw!L52:L53)</f>
        <v>0</v>
      </c>
      <c r="M10">
        <f>AVERAGE(HPLC_raw!M52:M53)</f>
        <v>0</v>
      </c>
      <c r="N10">
        <f>AVERAGE(HPLC_raw!N52:N53)</f>
        <v>2.5503367813015219</v>
      </c>
      <c r="O10">
        <f>AVERAGE(HPLC_raw!O52:O53)</f>
        <v>59.353234968726937</v>
      </c>
      <c r="P10">
        <f>STDEV(HPLC_raw!J50:J51)</f>
        <v>0.9291803320689942</v>
      </c>
      <c r="Q10">
        <f>STDEV(HPLC_raw!K50:K51)</f>
        <v>4.3201040440518201E-2</v>
      </c>
      <c r="R10">
        <f>STDEV(HPLC_raw!L50:L51)</f>
        <v>0</v>
      </c>
      <c r="S10">
        <f>STDEV(HPLC_raw!M50:M51)</f>
        <v>0</v>
      </c>
      <c r="T10">
        <f>STDEV(HPLC_raw!N50:N51)</f>
        <v>3.337452942353842E-2</v>
      </c>
      <c r="U10">
        <f>STDEV(HPLC_raw!O50:O51)</f>
        <v>1.6069213128993496</v>
      </c>
      <c r="V10">
        <f>STDEV(HPLC_raw!J52:J53)</f>
        <v>0.60277999367563528</v>
      </c>
      <c r="W10">
        <f>STDEV(HPLC_raw!K52:K53)</f>
        <v>0.14507711916712873</v>
      </c>
      <c r="X10">
        <f>STDEV(HPLC_raw!L52:L53)</f>
        <v>0</v>
      </c>
      <c r="Y10">
        <f>STDEV(HPLC_raw!M52:M53)</f>
        <v>0</v>
      </c>
      <c r="Z10">
        <f>STDEV(HPLC_raw!N52:N53)</f>
        <v>5.503168985546391E-2</v>
      </c>
      <c r="AA10">
        <f>STDEV(HPLC_raw!O52:O53)</f>
        <v>3.8794296157223878</v>
      </c>
    </row>
    <row r="11" spans="1:27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AVERAGE(HPLC_raw!J56:J57)</f>
        <v>17.490102075146403</v>
      </c>
      <c r="E11">
        <f>AVERAGE(HPLC_raw!K56:K57)</f>
        <v>3.2838208706654859</v>
      </c>
      <c r="F11">
        <f>AVERAGE(HPLC_raw!L56:L57)</f>
        <v>0</v>
      </c>
      <c r="G11">
        <f>AVERAGE(HPLC_raw!M56:M57)</f>
        <v>0</v>
      </c>
      <c r="H11">
        <f>AVERAGE(HPLC_raw!N56:N57)</f>
        <v>2.5287168179282196</v>
      </c>
      <c r="I11">
        <f>AVERAGE(HPLC_raw!O56:O57)</f>
        <v>55.565547126117053</v>
      </c>
      <c r="J11">
        <f>AVERAGE(HPLC_raw!J58:J59)</f>
        <v>18.086638306598395</v>
      </c>
      <c r="K11">
        <f>AVERAGE(HPLC_raw!K58:K59)</f>
        <v>3.2240840403373032</v>
      </c>
      <c r="L11">
        <f>AVERAGE(HPLC_raw!L58:L59)</f>
        <v>0</v>
      </c>
      <c r="M11">
        <f>AVERAGE(HPLC_raw!M58:M59)</f>
        <v>0</v>
      </c>
      <c r="N11">
        <f>AVERAGE(HPLC_raw!N58:N59)</f>
        <v>2.6404043336144585</v>
      </c>
      <c r="O11">
        <f>AVERAGE(HPLC_raw!O58:O59)</f>
        <v>57.801068798865799</v>
      </c>
      <c r="P11">
        <f>STDEV(HPLC_raw!J56:J57)</f>
        <v>0.32653897685176309</v>
      </c>
      <c r="Q11">
        <f>STDEV(HPLC_raw!K56:K57)</f>
        <v>2.6557699394427946E-2</v>
      </c>
      <c r="R11">
        <f>STDEV(HPLC_raw!L56:L57)</f>
        <v>0</v>
      </c>
      <c r="S11">
        <f>STDEV(HPLC_raw!M56:M57)</f>
        <v>0</v>
      </c>
      <c r="T11">
        <f>STDEV(HPLC_raw!N56:N57)</f>
        <v>5.0887904103252585E-2</v>
      </c>
      <c r="U11">
        <f>STDEV(HPLC_raw!O56:O57)</f>
        <v>3.1011622745340737</v>
      </c>
      <c r="V11">
        <f>STDEV(HPLC_raw!J58:J59)</f>
        <v>1.0108383506421796</v>
      </c>
      <c r="W11">
        <f>STDEV(HPLC_raw!K58:K59)</f>
        <v>0.15430630541204785</v>
      </c>
      <c r="X11">
        <f>STDEV(HPLC_raw!L58:L59)</f>
        <v>0</v>
      </c>
      <c r="Y11">
        <f>STDEV(HPLC_raw!M58:M59)</f>
        <v>0</v>
      </c>
      <c r="Z11">
        <f>STDEV(HPLC_raw!N58:N59)</f>
        <v>0.16444380464191341</v>
      </c>
      <c r="AA11">
        <f>STDEV(HPLC_raw!O58:O59)</f>
        <v>7.6978346529084893</v>
      </c>
    </row>
    <row r="12" spans="1:27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AVERAGE(HPLC_raw!J62:J63)</f>
        <v>18.146649630395657</v>
      </c>
      <c r="E12">
        <f>AVERAGE(HPLC_raw!K62:K63)</f>
        <v>3.2796544091215885</v>
      </c>
      <c r="F12">
        <f>AVERAGE(HPLC_raw!L62:L63)</f>
        <v>0</v>
      </c>
      <c r="G12">
        <f>AVERAGE(HPLC_raw!M62:M63)</f>
        <v>0</v>
      </c>
      <c r="H12">
        <f>AVERAGE(HPLC_raw!N62:N63)</f>
        <v>2.5833970855801871</v>
      </c>
      <c r="I12">
        <f>AVERAGE(HPLC_raw!O62:O63)</f>
        <v>61.048503991906344</v>
      </c>
      <c r="J12">
        <f>AVERAGE(HPLC_raw!J59:J60)</f>
        <v>18.801408959020904</v>
      </c>
      <c r="K12">
        <f>AVERAGE(HPLC_raw!K59:K60)</f>
        <v>3.3331950752740047</v>
      </c>
      <c r="L12">
        <f>AVERAGE(HPLC_raw!L59:L60)</f>
        <v>0</v>
      </c>
      <c r="M12">
        <f>AVERAGE(HPLC_raw!M59:M60)</f>
        <v>0</v>
      </c>
      <c r="N12">
        <f>AVERAGE(HPLC_raw!N59:N60)</f>
        <v>2.7566836630008713</v>
      </c>
      <c r="O12">
        <f>AVERAGE(HPLC_raw!O59:O60)</f>
        <v>63.244259882390189</v>
      </c>
      <c r="P12">
        <f>STDEV(HPLC_raw!J62:J63)</f>
        <v>0.94419916221892153</v>
      </c>
      <c r="Q12">
        <f>STDEV(HPLC_raw!K62:K63)</f>
        <v>0.1130726097512775</v>
      </c>
      <c r="R12">
        <f>STDEV(HPLC_raw!L62:L63)</f>
        <v>0</v>
      </c>
      <c r="S12">
        <f>STDEV(HPLC_raw!M62:M63)</f>
        <v>0</v>
      </c>
      <c r="T12">
        <f>STDEV(HPLC_raw!N62:N63)</f>
        <v>7.0140871081679587E-2</v>
      </c>
      <c r="U12">
        <f>STDEV(HPLC_raw!O62:O63)</f>
        <v>3.8111697746473601</v>
      </c>
      <c r="V12" t="e">
        <f>STDEV(HPLC_raw!J59:J60)</f>
        <v>#DIV/0!</v>
      </c>
      <c r="W12" t="e">
        <f>STDEV(HPLC_raw!K59:K60)</f>
        <v>#DIV/0!</v>
      </c>
      <c r="X12" t="e">
        <f>STDEV(HPLC_raw!L59:L60)</f>
        <v>#DIV/0!</v>
      </c>
      <c r="Y12" t="e">
        <f>STDEV(HPLC_raw!M59:M60)</f>
        <v>#DIV/0!</v>
      </c>
      <c r="Z12" t="e">
        <f>STDEV(HPLC_raw!N59:N60)</f>
        <v>#DIV/0!</v>
      </c>
      <c r="AA12" t="e">
        <f>STDEV(HPLC_raw!O59:O60)</f>
        <v>#DIV/0!</v>
      </c>
    </row>
    <row r="13" spans="1:27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AVERAGE(HPLC_raw!J68:J69)</f>
        <v>#N/A</v>
      </c>
      <c r="E13" t="e">
        <f>AVERAGE(HPLC_raw!K68:K69)</f>
        <v>#N/A</v>
      </c>
      <c r="F13" t="e">
        <f>AVERAGE(HPLC_raw!L68:L69)</f>
        <v>#N/A</v>
      </c>
      <c r="G13" t="e">
        <f>AVERAGE(HPLC_raw!M68:M69)</f>
        <v>#N/A</v>
      </c>
      <c r="H13" t="e">
        <f>AVERAGE(HPLC_raw!N68:N69)</f>
        <v>#N/A</v>
      </c>
      <c r="I13" t="e">
        <f>AVERAGE(HPLC_raw!O68:O69)</f>
        <v>#N/A</v>
      </c>
      <c r="J13" t="e">
        <f>AVERAGE(HPLC_raw!J70:J71)</f>
        <v>#N/A</v>
      </c>
      <c r="K13" t="e">
        <f>AVERAGE(HPLC_raw!K70:K71)</f>
        <v>#N/A</v>
      </c>
      <c r="L13" t="e">
        <f>AVERAGE(HPLC_raw!L70:L71)</f>
        <v>#N/A</v>
      </c>
      <c r="M13" t="e">
        <f>AVERAGE(HPLC_raw!M70:M71)</f>
        <v>#N/A</v>
      </c>
      <c r="N13" t="e">
        <f>AVERAGE(HPLC_raw!N70:N71)</f>
        <v>#N/A</v>
      </c>
      <c r="O13" t="e">
        <f>AVERAGE(HPLC_raw!O70:O71)</f>
        <v>#N/A</v>
      </c>
      <c r="P13" t="e">
        <f>STDEV(HPLC_raw!J68:J69)</f>
        <v>#N/A</v>
      </c>
      <c r="Q13" t="e">
        <f>STDEV(HPLC_raw!K68:K69)</f>
        <v>#N/A</v>
      </c>
      <c r="R13" t="e">
        <f>STDEV(HPLC_raw!L68:L69)</f>
        <v>#N/A</v>
      </c>
      <c r="S13" t="e">
        <f>STDEV(HPLC_raw!M68:M69)</f>
        <v>#N/A</v>
      </c>
      <c r="T13" t="e">
        <f>STDEV(HPLC_raw!N68:N69)</f>
        <v>#N/A</v>
      </c>
      <c r="U13" t="e">
        <f>STDEV(HPLC_raw!O68:O69)</f>
        <v>#N/A</v>
      </c>
      <c r="V13" t="e">
        <f>STDEV(HPLC_raw!J70:J71)</f>
        <v>#N/A</v>
      </c>
      <c r="W13" t="e">
        <f>STDEV(HPLC_raw!K70:K71)</f>
        <v>#N/A</v>
      </c>
      <c r="X13" t="e">
        <f>STDEV(HPLC_raw!L70:L71)</f>
        <v>#N/A</v>
      </c>
      <c r="Y13" t="e">
        <f>STDEV(HPLC_raw!M70:M71)</f>
        <v>#N/A</v>
      </c>
      <c r="Z13" t="e">
        <f>STDEV(HPLC_raw!N70:N71)</f>
        <v>#N/A</v>
      </c>
      <c r="AA13" t="e">
        <f>STDEV(HPLC_raw!O70:O71)</f>
        <v>#N/A</v>
      </c>
    </row>
    <row r="14" spans="1:27" x14ac:dyDescent="0.25">
      <c r="A14" s="8">
        <f>CellCount_Viability!A14</f>
        <v>0</v>
      </c>
      <c r="B14" s="69" t="e">
        <f t="shared" si="1"/>
        <v>#VALUE!</v>
      </c>
      <c r="C14" s="63" t="str">
        <f t="shared" ref="C14:C21" si="2">IF(NOT(A14=0),A14-$A$2,"")</f>
        <v/>
      </c>
      <c r="D14" t="e">
        <f>AVERAGE(HPLC_raw!J74:J75)</f>
        <v>#N/A</v>
      </c>
      <c r="E14" t="e">
        <f>AVERAGE(HPLC_raw!K74:K75)</f>
        <v>#N/A</v>
      </c>
      <c r="F14" t="e">
        <f>AVERAGE(HPLC_raw!L74:L75)</f>
        <v>#N/A</v>
      </c>
      <c r="G14" t="e">
        <f>AVERAGE(HPLC_raw!M74:M75)</f>
        <v>#N/A</v>
      </c>
      <c r="H14" t="e">
        <f>AVERAGE(HPLC_raw!N74:N75)</f>
        <v>#N/A</v>
      </c>
      <c r="I14" t="e">
        <f>AVERAGE(HPLC_raw!O74:O75)</f>
        <v>#N/A</v>
      </c>
      <c r="J14" t="e">
        <f>AVERAGE(HPLC_raw!J76:J77)</f>
        <v>#N/A</v>
      </c>
      <c r="K14" t="e">
        <f>AVERAGE(HPLC_raw!K76:K77)</f>
        <v>#N/A</v>
      </c>
      <c r="L14" t="e">
        <f>AVERAGE(HPLC_raw!L76:L77)</f>
        <v>#N/A</v>
      </c>
      <c r="M14" t="e">
        <f>AVERAGE(HPLC_raw!M76:M77)</f>
        <v>#N/A</v>
      </c>
      <c r="N14" t="e">
        <f>AVERAGE(HPLC_raw!N76:N77)</f>
        <v>#N/A</v>
      </c>
      <c r="O14" t="e">
        <f>AVERAGE(HPLC_raw!O76:O77)</f>
        <v>#N/A</v>
      </c>
      <c r="P14" t="e">
        <f>STDEV(HPLC_raw!J74:J75)</f>
        <v>#N/A</v>
      </c>
      <c r="Q14" t="e">
        <f>STDEV(HPLC_raw!K74:K75)</f>
        <v>#N/A</v>
      </c>
      <c r="R14" t="e">
        <f>STDEV(HPLC_raw!L74:L75)</f>
        <v>#N/A</v>
      </c>
      <c r="S14" t="e">
        <f>STDEV(HPLC_raw!M74:M75)</f>
        <v>#N/A</v>
      </c>
      <c r="T14" t="e">
        <f>STDEV(HPLC_raw!N74:N75)</f>
        <v>#N/A</v>
      </c>
      <c r="U14" t="e">
        <f>STDEV(HPLC_raw!O74:O75)</f>
        <v>#N/A</v>
      </c>
      <c r="V14" t="e">
        <f>STDEV(HPLC_raw!J76:J77)</f>
        <v>#N/A</v>
      </c>
      <c r="W14" t="e">
        <f>STDEV(HPLC_raw!K76:K77)</f>
        <v>#N/A</v>
      </c>
      <c r="X14" t="e">
        <f>STDEV(HPLC_raw!L76:L77)</f>
        <v>#N/A</v>
      </c>
      <c r="Y14" t="e">
        <f>STDEV(HPLC_raw!M76:M77)</f>
        <v>#N/A</v>
      </c>
      <c r="Z14" t="e">
        <f>STDEV(HPLC_raw!N76:N77)</f>
        <v>#N/A</v>
      </c>
      <c r="AA14" t="e">
        <f>STDEV(HPLC_raw!O76:O77)</f>
        <v>#N/A</v>
      </c>
    </row>
    <row r="15" spans="1:27" x14ac:dyDescent="0.25">
      <c r="A15" s="8">
        <f>CellCount_Viability!A15</f>
        <v>0</v>
      </c>
      <c r="B15" s="69" t="e">
        <f t="shared" si="1"/>
        <v>#VALUE!</v>
      </c>
      <c r="C15" s="63" t="str">
        <f t="shared" si="2"/>
        <v/>
      </c>
      <c r="D15" t="e">
        <f>AVERAGE(HPLC_raw!J80:J81)</f>
        <v>#N/A</v>
      </c>
      <c r="E15" t="e">
        <f>AVERAGE(HPLC_raw!K80:K81)</f>
        <v>#N/A</v>
      </c>
      <c r="F15" t="e">
        <f>AVERAGE(HPLC_raw!L80:L81)</f>
        <v>#N/A</v>
      </c>
      <c r="G15" t="e">
        <f>AVERAGE(HPLC_raw!M80:M81)</f>
        <v>#N/A</v>
      </c>
      <c r="H15" t="e">
        <f>AVERAGE(HPLC_raw!N80:N81)</f>
        <v>#N/A</v>
      </c>
      <c r="I15" t="e">
        <f>AVERAGE(HPLC_raw!O80:O81)</f>
        <v>#N/A</v>
      </c>
      <c r="J15" t="e">
        <f>AVERAGE(HPLC_raw!J82:J83)</f>
        <v>#N/A</v>
      </c>
      <c r="K15" t="e">
        <f>AVERAGE(HPLC_raw!K82:K83)</f>
        <v>#N/A</v>
      </c>
      <c r="L15" t="e">
        <f>AVERAGE(HPLC_raw!L82:L83)</f>
        <v>#N/A</v>
      </c>
      <c r="M15" t="e">
        <f>AVERAGE(HPLC_raw!M82:M83)</f>
        <v>#N/A</v>
      </c>
      <c r="N15" t="e">
        <f>AVERAGE(HPLC_raw!N82:N83)</f>
        <v>#N/A</v>
      </c>
      <c r="O15" t="e">
        <f>AVERAGE(HPLC_raw!O82:O83)</f>
        <v>#N/A</v>
      </c>
      <c r="P15" t="e">
        <f>STDEV(HPLC_raw!J80:J81)</f>
        <v>#N/A</v>
      </c>
      <c r="Q15" t="e">
        <f>STDEV(HPLC_raw!K80:K81)</f>
        <v>#N/A</v>
      </c>
      <c r="R15" t="e">
        <f>STDEV(HPLC_raw!L80:L81)</f>
        <v>#N/A</v>
      </c>
      <c r="S15" t="e">
        <f>STDEV(HPLC_raw!M80:M81)</f>
        <v>#N/A</v>
      </c>
      <c r="T15" t="e">
        <f>STDEV(HPLC_raw!N80:N81)</f>
        <v>#N/A</v>
      </c>
      <c r="U15" t="e">
        <f>STDEV(HPLC_raw!O80:O81)</f>
        <v>#N/A</v>
      </c>
      <c r="V15" t="e">
        <f>STDEV(HPLC_raw!J82:J83)</f>
        <v>#N/A</v>
      </c>
      <c r="W15" t="e">
        <f>STDEV(HPLC_raw!K82:K83)</f>
        <v>#N/A</v>
      </c>
      <c r="X15" t="e">
        <f>STDEV(HPLC_raw!L82:L83)</f>
        <v>#N/A</v>
      </c>
      <c r="Y15" t="e">
        <f>STDEV(HPLC_raw!M82:M83)</f>
        <v>#N/A</v>
      </c>
      <c r="Z15" t="e">
        <f>STDEV(HPLC_raw!N82:N83)</f>
        <v>#N/A</v>
      </c>
      <c r="AA15" t="e">
        <f>STDEV(HPLC_raw!O82:O83)</f>
        <v>#N/A</v>
      </c>
    </row>
    <row r="16" spans="1:27" x14ac:dyDescent="0.25">
      <c r="A16" s="8">
        <f>CellCount_Viability!A16</f>
        <v>0</v>
      </c>
      <c r="B16" s="69" t="e">
        <f t="shared" si="1"/>
        <v>#VALUE!</v>
      </c>
      <c r="C16" s="63" t="str">
        <f t="shared" si="2"/>
        <v/>
      </c>
      <c r="D16" t="e">
        <f>AVERAGE(HPLC_raw!J86:J87)</f>
        <v>#N/A</v>
      </c>
      <c r="E16" t="e">
        <f>AVERAGE(HPLC_raw!K86:K87)</f>
        <v>#N/A</v>
      </c>
      <c r="F16" t="e">
        <f>AVERAGE(HPLC_raw!L86:L87)</f>
        <v>#N/A</v>
      </c>
      <c r="G16" t="e">
        <f>AVERAGE(HPLC_raw!M86:M87)</f>
        <v>#N/A</v>
      </c>
      <c r="H16" t="e">
        <f>AVERAGE(HPLC_raw!N86:N87)</f>
        <v>#N/A</v>
      </c>
      <c r="I16" t="e">
        <f>AVERAGE(HPLC_raw!O86:O87)</f>
        <v>#N/A</v>
      </c>
      <c r="J16" t="e">
        <f>AVERAGE(HPLC_raw!J88:J89)</f>
        <v>#N/A</v>
      </c>
      <c r="K16" t="e">
        <f>AVERAGE(HPLC_raw!K88:K89)</f>
        <v>#N/A</v>
      </c>
      <c r="L16" t="e">
        <f>AVERAGE(HPLC_raw!L88:L89)</f>
        <v>#N/A</v>
      </c>
      <c r="M16" t="e">
        <f>AVERAGE(HPLC_raw!M88:M89)</f>
        <v>#N/A</v>
      </c>
      <c r="N16" t="e">
        <f>AVERAGE(HPLC_raw!N88:N89)</f>
        <v>#N/A</v>
      </c>
      <c r="O16" t="e">
        <f>AVERAGE(HPLC_raw!O88:O89)</f>
        <v>#N/A</v>
      </c>
      <c r="P16" t="e">
        <f>STDEV(HPLC_raw!J86:J87)</f>
        <v>#N/A</v>
      </c>
      <c r="Q16" t="e">
        <f>STDEV(HPLC_raw!K86:K87)</f>
        <v>#N/A</v>
      </c>
      <c r="R16" t="e">
        <f>STDEV(HPLC_raw!L86:L87)</f>
        <v>#N/A</v>
      </c>
      <c r="S16" t="e">
        <f>STDEV(HPLC_raw!M86:M87)</f>
        <v>#N/A</v>
      </c>
      <c r="T16" t="e">
        <f>STDEV(HPLC_raw!N86:N87)</f>
        <v>#N/A</v>
      </c>
      <c r="U16" t="e">
        <f>STDEV(HPLC_raw!O86:O87)</f>
        <v>#N/A</v>
      </c>
      <c r="V16" t="e">
        <f>STDEV(HPLC_raw!J88:J89)</f>
        <v>#N/A</v>
      </c>
      <c r="W16" t="e">
        <f>STDEV(HPLC_raw!K88:K89)</f>
        <v>#N/A</v>
      </c>
      <c r="X16" t="e">
        <f>STDEV(HPLC_raw!L88:L89)</f>
        <v>#N/A</v>
      </c>
      <c r="Y16" t="e">
        <f>STDEV(HPLC_raw!M88:M89)</f>
        <v>#N/A</v>
      </c>
      <c r="Z16" t="e">
        <f>STDEV(HPLC_raw!N88:N89)</f>
        <v>#N/A</v>
      </c>
      <c r="AA16" t="e">
        <f>STDEV(HPLC_raw!O88:O89)</f>
        <v>#N/A</v>
      </c>
    </row>
    <row r="17" spans="1:27" x14ac:dyDescent="0.25">
      <c r="A17" s="8">
        <f>CellCount_Viability!A17</f>
        <v>0</v>
      </c>
      <c r="B17" s="69" t="e">
        <f t="shared" si="1"/>
        <v>#VALUE!</v>
      </c>
      <c r="C17" s="63" t="str">
        <f t="shared" si="2"/>
        <v/>
      </c>
      <c r="D17" t="e">
        <f>AVERAGE(HPLC_raw!J92:J93)</f>
        <v>#N/A</v>
      </c>
      <c r="E17" t="e">
        <f>AVERAGE(HPLC_raw!K92:K93)</f>
        <v>#N/A</v>
      </c>
      <c r="F17" t="e">
        <f>AVERAGE(HPLC_raw!L92:L93)</f>
        <v>#N/A</v>
      </c>
      <c r="G17" t="e">
        <f>AVERAGE(HPLC_raw!M92:M93)</f>
        <v>#N/A</v>
      </c>
      <c r="H17" t="e">
        <f>AVERAGE(HPLC_raw!N92:N93)</f>
        <v>#N/A</v>
      </c>
      <c r="I17" t="e">
        <f>AVERAGE(HPLC_raw!O92:O93)</f>
        <v>#N/A</v>
      </c>
      <c r="J17" t="e">
        <f>AVERAGE(HPLC_raw!J94:J95)</f>
        <v>#N/A</v>
      </c>
      <c r="K17" t="e">
        <f>AVERAGE(HPLC_raw!K94:K95)</f>
        <v>#N/A</v>
      </c>
      <c r="L17" t="e">
        <f>AVERAGE(HPLC_raw!L94:L95)</f>
        <v>#N/A</v>
      </c>
      <c r="M17" t="e">
        <f>AVERAGE(HPLC_raw!M94:M95)</f>
        <v>#N/A</v>
      </c>
      <c r="N17" t="e">
        <f>AVERAGE(HPLC_raw!N94:N95)</f>
        <v>#N/A</v>
      </c>
      <c r="O17" t="e">
        <f>AVERAGE(HPLC_raw!O94:O95)</f>
        <v>#N/A</v>
      </c>
      <c r="P17" t="e">
        <f>STDEV(HPLC_raw!J92:J93)</f>
        <v>#N/A</v>
      </c>
      <c r="Q17" t="e">
        <f>STDEV(HPLC_raw!K92:K93)</f>
        <v>#N/A</v>
      </c>
      <c r="R17" t="e">
        <f>STDEV(HPLC_raw!L92:L93)</f>
        <v>#N/A</v>
      </c>
      <c r="S17" t="e">
        <f>STDEV(HPLC_raw!M92:M93)</f>
        <v>#N/A</v>
      </c>
      <c r="T17" t="e">
        <f>STDEV(HPLC_raw!N92:N93)</f>
        <v>#N/A</v>
      </c>
      <c r="U17" t="e">
        <f>STDEV(HPLC_raw!O92:O93)</f>
        <v>#N/A</v>
      </c>
      <c r="V17" t="e">
        <f>STDEV(HPLC_raw!J94:J95)</f>
        <v>#N/A</v>
      </c>
      <c r="W17" t="e">
        <f>STDEV(HPLC_raw!K94:K95)</f>
        <v>#N/A</v>
      </c>
      <c r="X17" t="e">
        <f>STDEV(HPLC_raw!L94:L95)</f>
        <v>#N/A</v>
      </c>
      <c r="Y17" t="e">
        <f>STDEV(HPLC_raw!M94:M95)</f>
        <v>#N/A</v>
      </c>
      <c r="Z17" t="e">
        <f>STDEV(HPLC_raw!N94:N95)</f>
        <v>#N/A</v>
      </c>
      <c r="AA17" t="e">
        <f>STDEV(HPLC_raw!O94:O95)</f>
        <v>#N/A</v>
      </c>
    </row>
    <row r="18" spans="1:27" x14ac:dyDescent="0.25">
      <c r="A18" s="8">
        <f>CellCount_Viability!A18</f>
        <v>0</v>
      </c>
      <c r="B18" s="69" t="e">
        <f t="shared" si="1"/>
        <v>#VALUE!</v>
      </c>
      <c r="C18" s="63" t="str">
        <f t="shared" si="2"/>
        <v/>
      </c>
      <c r="D18" t="e">
        <f>AVERAGE(HPLC_raw!J98:J99)</f>
        <v>#N/A</v>
      </c>
      <c r="E18" t="e">
        <f>AVERAGE(HPLC_raw!K98:K99)</f>
        <v>#N/A</v>
      </c>
      <c r="F18" t="e">
        <f>AVERAGE(HPLC_raw!L98:L99)</f>
        <v>#N/A</v>
      </c>
      <c r="G18" t="e">
        <f>AVERAGE(HPLC_raw!M98:M99)</f>
        <v>#N/A</v>
      </c>
      <c r="H18" t="e">
        <f>AVERAGE(HPLC_raw!N98:N99)</f>
        <v>#N/A</v>
      </c>
      <c r="I18" t="e">
        <f>AVERAGE(HPLC_raw!O98:O99)</f>
        <v>#N/A</v>
      </c>
      <c r="J18" t="e">
        <f>AVERAGE(HPLC_raw!J100:J101)</f>
        <v>#N/A</v>
      </c>
      <c r="K18" t="e">
        <f>AVERAGE(HPLC_raw!K100:K101)</f>
        <v>#N/A</v>
      </c>
      <c r="L18" t="e">
        <f>AVERAGE(HPLC_raw!L100:L101)</f>
        <v>#N/A</v>
      </c>
      <c r="M18" t="e">
        <f>AVERAGE(HPLC_raw!M100:M101)</f>
        <v>#N/A</v>
      </c>
      <c r="N18" t="e">
        <f>AVERAGE(HPLC_raw!N100:N101)</f>
        <v>#N/A</v>
      </c>
      <c r="O18" t="e">
        <f>AVERAGE(HPLC_raw!O100:O101)</f>
        <v>#N/A</v>
      </c>
      <c r="P18" t="e">
        <f>STDEV(HPLC_raw!J98:J99)</f>
        <v>#N/A</v>
      </c>
      <c r="Q18" t="e">
        <f>STDEV(HPLC_raw!K98:K99)</f>
        <v>#N/A</v>
      </c>
      <c r="R18" t="e">
        <f>STDEV(HPLC_raw!L98:L99)</f>
        <v>#N/A</v>
      </c>
      <c r="S18" t="e">
        <f>STDEV(HPLC_raw!M98:M99)</f>
        <v>#N/A</v>
      </c>
      <c r="T18" t="e">
        <f>STDEV(HPLC_raw!N98:N99)</f>
        <v>#N/A</v>
      </c>
      <c r="U18" t="e">
        <f>STDEV(HPLC_raw!O98:O99)</f>
        <v>#N/A</v>
      </c>
      <c r="V18" t="e">
        <f>STDEV(HPLC_raw!J100:J101)</f>
        <v>#N/A</v>
      </c>
      <c r="W18" t="e">
        <f>STDEV(HPLC_raw!K100:K101)</f>
        <v>#N/A</v>
      </c>
      <c r="X18" t="e">
        <f>STDEV(HPLC_raw!L100:L101)</f>
        <v>#N/A</v>
      </c>
      <c r="Y18" t="e">
        <f>STDEV(HPLC_raw!M100:M101)</f>
        <v>#N/A</v>
      </c>
      <c r="Z18" t="e">
        <f>STDEV(HPLC_raw!N100:N101)</f>
        <v>#N/A</v>
      </c>
      <c r="AA18" t="e">
        <f>STDEV(HPLC_raw!O100:O101)</f>
        <v>#N/A</v>
      </c>
    </row>
    <row r="19" spans="1:27" x14ac:dyDescent="0.25">
      <c r="A19" s="8">
        <f>CellCount_Viability!A19</f>
        <v>0</v>
      </c>
      <c r="B19" s="69" t="e">
        <f t="shared" si="1"/>
        <v>#VALUE!</v>
      </c>
      <c r="C19" s="63" t="str">
        <f t="shared" si="2"/>
        <v/>
      </c>
      <c r="D19" t="e">
        <f>AVERAGE(HPLC_raw!J104:J105)</f>
        <v>#N/A</v>
      </c>
      <c r="E19" t="e">
        <f>AVERAGE(HPLC_raw!K104:K105)</f>
        <v>#N/A</v>
      </c>
      <c r="F19" t="e">
        <f>AVERAGE(HPLC_raw!L104:L105)</f>
        <v>#N/A</v>
      </c>
      <c r="G19" t="e">
        <f>AVERAGE(HPLC_raw!M104:M105)</f>
        <v>#N/A</v>
      </c>
      <c r="H19" t="e">
        <f>AVERAGE(HPLC_raw!N104:N105)</f>
        <v>#N/A</v>
      </c>
      <c r="I19" t="e">
        <f>AVERAGE(HPLC_raw!O104:O105)</f>
        <v>#N/A</v>
      </c>
      <c r="J19" t="e">
        <f>AVERAGE(HPLC_raw!J106:J107)</f>
        <v>#N/A</v>
      </c>
      <c r="K19" t="e">
        <f>AVERAGE(HPLC_raw!K106:K107)</f>
        <v>#N/A</v>
      </c>
      <c r="L19" t="e">
        <f>AVERAGE(HPLC_raw!L106:L107)</f>
        <v>#N/A</v>
      </c>
      <c r="M19" t="e">
        <f>AVERAGE(HPLC_raw!M106:M107)</f>
        <v>#N/A</v>
      </c>
      <c r="N19" t="e">
        <f>AVERAGE(HPLC_raw!N106:N107)</f>
        <v>#N/A</v>
      </c>
      <c r="O19" t="e">
        <f>AVERAGE(HPLC_raw!O106:O107)</f>
        <v>#N/A</v>
      </c>
      <c r="P19" t="e">
        <f>STDEV(HPLC_raw!J104:J105)</f>
        <v>#N/A</v>
      </c>
      <c r="Q19" t="e">
        <f>STDEV(HPLC_raw!K104:K105)</f>
        <v>#N/A</v>
      </c>
      <c r="R19" t="e">
        <f>STDEV(HPLC_raw!L104:L105)</f>
        <v>#N/A</v>
      </c>
      <c r="S19" t="e">
        <f>STDEV(HPLC_raw!M104:M105)</f>
        <v>#N/A</v>
      </c>
      <c r="T19" t="e">
        <f>STDEV(HPLC_raw!N104:N105)</f>
        <v>#N/A</v>
      </c>
      <c r="U19" t="e">
        <f>STDEV(HPLC_raw!O104:O105)</f>
        <v>#N/A</v>
      </c>
      <c r="V19" t="e">
        <f>STDEV(HPLC_raw!J106:J107)</f>
        <v>#N/A</v>
      </c>
      <c r="W19" t="e">
        <f>STDEV(HPLC_raw!K106:K107)</f>
        <v>#N/A</v>
      </c>
      <c r="X19" t="e">
        <f>STDEV(HPLC_raw!L106:L107)</f>
        <v>#N/A</v>
      </c>
      <c r="Y19" t="e">
        <f>STDEV(HPLC_raw!M106:M107)</f>
        <v>#N/A</v>
      </c>
      <c r="Z19" t="e">
        <f>STDEV(HPLC_raw!N106:N107)</f>
        <v>#N/A</v>
      </c>
      <c r="AA19" t="e">
        <f>STDEV(HPLC_raw!O106:O107)</f>
        <v>#N/A</v>
      </c>
    </row>
    <row r="20" spans="1:27" x14ac:dyDescent="0.25">
      <c r="A20" s="8">
        <f>CellCount_Viability!A20</f>
        <v>0</v>
      </c>
      <c r="B20" s="69" t="e">
        <f t="shared" si="1"/>
        <v>#VALUE!</v>
      </c>
      <c r="C20" s="63" t="str">
        <f t="shared" si="2"/>
        <v/>
      </c>
      <c r="D20" t="e">
        <f>AVERAGE(HPLC_raw!J110:J111)</f>
        <v>#N/A</v>
      </c>
      <c r="E20" t="e">
        <f>AVERAGE(HPLC_raw!K110:K111)</f>
        <v>#N/A</v>
      </c>
      <c r="F20" t="e">
        <f>AVERAGE(HPLC_raw!L110:L111)</f>
        <v>#N/A</v>
      </c>
      <c r="G20" t="e">
        <f>AVERAGE(HPLC_raw!M110:M111)</f>
        <v>#N/A</v>
      </c>
      <c r="H20" t="e">
        <f>AVERAGE(HPLC_raw!N110:N111)</f>
        <v>#N/A</v>
      </c>
      <c r="I20" t="e">
        <f>AVERAGE(HPLC_raw!O110:O111)</f>
        <v>#N/A</v>
      </c>
      <c r="J20" t="e">
        <f>AVERAGE(HPLC_raw!J112:J113)</f>
        <v>#N/A</v>
      </c>
      <c r="K20" t="e">
        <f>AVERAGE(HPLC_raw!K112:K113)</f>
        <v>#N/A</v>
      </c>
      <c r="L20" t="e">
        <f>AVERAGE(HPLC_raw!L112:L113)</f>
        <v>#N/A</v>
      </c>
      <c r="M20" t="e">
        <f>AVERAGE(HPLC_raw!M112:M113)</f>
        <v>#N/A</v>
      </c>
      <c r="N20" t="e">
        <f>AVERAGE(HPLC_raw!N112:N113)</f>
        <v>#N/A</v>
      </c>
      <c r="O20" t="e">
        <f>AVERAGE(HPLC_raw!O112:O113)</f>
        <v>#N/A</v>
      </c>
      <c r="P20" t="e">
        <f>STDEV(HPLC_raw!J110:J111)</f>
        <v>#N/A</v>
      </c>
      <c r="Q20" t="e">
        <f>STDEV(HPLC_raw!K110:K111)</f>
        <v>#N/A</v>
      </c>
      <c r="R20" t="e">
        <f>STDEV(HPLC_raw!L110:L111)</f>
        <v>#N/A</v>
      </c>
      <c r="S20" t="e">
        <f>STDEV(HPLC_raw!M110:M111)</f>
        <v>#N/A</v>
      </c>
      <c r="T20" t="e">
        <f>STDEV(HPLC_raw!N110:N111)</f>
        <v>#N/A</v>
      </c>
      <c r="U20" t="e">
        <f>STDEV(HPLC_raw!O110:O111)</f>
        <v>#N/A</v>
      </c>
      <c r="V20" t="e">
        <f>STDEV(HPLC_raw!J112:J113)</f>
        <v>#N/A</v>
      </c>
      <c r="W20" t="e">
        <f>STDEV(HPLC_raw!K112:K113)</f>
        <v>#N/A</v>
      </c>
      <c r="X20" t="e">
        <f>STDEV(HPLC_raw!L112:L113)</f>
        <v>#N/A</v>
      </c>
      <c r="Y20" t="e">
        <f>STDEV(HPLC_raw!M112:M113)</f>
        <v>#N/A</v>
      </c>
      <c r="Z20" t="e">
        <f>STDEV(HPLC_raw!N112:N113)</f>
        <v>#N/A</v>
      </c>
      <c r="AA20" t="e">
        <f>STDEV(HPLC_raw!O112:O113)</f>
        <v>#N/A</v>
      </c>
    </row>
    <row r="21" spans="1:27" x14ac:dyDescent="0.25">
      <c r="A21" s="8">
        <f>CellCount_Viability!A21</f>
        <v>0</v>
      </c>
      <c r="B21" s="69" t="e">
        <f t="shared" si="1"/>
        <v>#VALUE!</v>
      </c>
      <c r="C21" s="63" t="str">
        <f t="shared" si="2"/>
        <v/>
      </c>
      <c r="D21" t="e">
        <f>AVERAGE(HPLC_raw!J116:J117)</f>
        <v>#N/A</v>
      </c>
      <c r="E21" t="e">
        <f>AVERAGE(HPLC_raw!K116:K117)</f>
        <v>#N/A</v>
      </c>
      <c r="F21" t="e">
        <f>AVERAGE(HPLC_raw!L116:L117)</f>
        <v>#N/A</v>
      </c>
      <c r="G21" t="e">
        <f>AVERAGE(HPLC_raw!M116:M117)</f>
        <v>#N/A</v>
      </c>
      <c r="H21" t="e">
        <f>AVERAGE(HPLC_raw!N116:N117)</f>
        <v>#N/A</v>
      </c>
      <c r="I21" t="e">
        <f>AVERAGE(HPLC_raw!O116:O117)</f>
        <v>#N/A</v>
      </c>
      <c r="J21" t="e">
        <f>AVERAGE(HPLC_raw!J118:J119)</f>
        <v>#N/A</v>
      </c>
      <c r="K21" t="e">
        <f>AVERAGE(HPLC_raw!K118:K119)</f>
        <v>#N/A</v>
      </c>
      <c r="L21" t="e">
        <f>AVERAGE(HPLC_raw!L118:L119)</f>
        <v>#N/A</v>
      </c>
      <c r="M21" t="e">
        <f>AVERAGE(HPLC_raw!M118:M119)</f>
        <v>#N/A</v>
      </c>
      <c r="N21" t="e">
        <f>AVERAGE(HPLC_raw!N118:N119)</f>
        <v>#N/A</v>
      </c>
      <c r="O21" t="e">
        <f>AVERAGE(HPLC_raw!O118:O119)</f>
        <v>#N/A</v>
      </c>
      <c r="P21" t="e">
        <f>STDEV(HPLC_raw!J116:J117)</f>
        <v>#N/A</v>
      </c>
      <c r="Q21" t="e">
        <f>STDEV(HPLC_raw!K116:K117)</f>
        <v>#N/A</v>
      </c>
      <c r="R21" t="e">
        <f>STDEV(HPLC_raw!L116:L117)</f>
        <v>#N/A</v>
      </c>
      <c r="S21" t="e">
        <f>STDEV(HPLC_raw!M116:M117)</f>
        <v>#N/A</v>
      </c>
      <c r="T21" t="e">
        <f>STDEV(HPLC_raw!N116:N117)</f>
        <v>#N/A</v>
      </c>
      <c r="U21" t="e">
        <f>STDEV(HPLC_raw!O116:O117)</f>
        <v>#N/A</v>
      </c>
      <c r="V21" t="e">
        <f>STDEV(HPLC_raw!J118:J119)</f>
        <v>#N/A</v>
      </c>
      <c r="W21" t="e">
        <f>STDEV(HPLC_raw!K118:K119)</f>
        <v>#N/A</v>
      </c>
      <c r="X21" t="e">
        <f>STDEV(HPLC_raw!L118:L119)</f>
        <v>#N/A</v>
      </c>
      <c r="Y21" t="e">
        <f>STDEV(HPLC_raw!M118:M119)</f>
        <v>#N/A</v>
      </c>
      <c r="Z21" t="e">
        <f>STDEV(HPLC_raw!N118:N119)</f>
        <v>#N/A</v>
      </c>
      <c r="AA21" t="e">
        <f>STDEV(HPLC_raw!O118:O119)</f>
        <v>#N/A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E3816-B906-4220-8F02-4F236173469A}">
  <sheetPr codeName="Sheet12"/>
  <dimension ref="A1:AQ21"/>
  <sheetViews>
    <sheetView zoomScale="85" zoomScaleNormal="85" workbookViewId="0">
      <selection activeCell="C11" sqref="C11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customWidth="1"/>
    <col min="4" max="4" width="17.28515625" bestFit="1" customWidth="1"/>
    <col min="5" max="5" width="13.140625" bestFit="1" customWidth="1"/>
    <col min="6" max="6" width="20" bestFit="1" customWidth="1"/>
    <col min="7" max="7" width="15.85546875" bestFit="1" customWidth="1"/>
    <col min="8" max="8" width="20" bestFit="1" customWidth="1"/>
    <col min="9" max="9" width="20.42578125" bestFit="1" customWidth="1"/>
    <col min="10" max="10" width="19.140625" bestFit="1" customWidth="1"/>
    <col min="11" max="11" width="15.85546875" customWidth="1"/>
    <col min="12" max="12" width="20" bestFit="1" customWidth="1"/>
    <col min="13" max="13" width="15.85546875" bestFit="1" customWidth="1"/>
    <col min="14" max="14" width="20" bestFit="1" customWidth="1"/>
    <col min="15" max="15" width="20.42578125" bestFit="1" customWidth="1"/>
    <col min="16" max="16" width="21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7.85546875" bestFit="1" customWidth="1"/>
    <col min="25" max="25" width="13.5703125" bestFit="1" customWidth="1"/>
    <col min="26" max="26" width="21.140625" bestFit="1" customWidth="1"/>
    <col min="27" max="27" width="18.5703125" bestFit="1" customWidth="1"/>
    <col min="28" max="28" width="16.42578125" bestFit="1" customWidth="1"/>
    <col min="29" max="29" width="21.140625" bestFit="1" customWidth="1"/>
    <col min="30" max="30" width="21.42578125" bestFit="1" customWidth="1"/>
    <col min="31" max="31" width="21" bestFit="1" customWidth="1"/>
    <col min="32" max="32" width="20.7109375" bestFit="1" customWidth="1"/>
    <col min="33" max="33" width="21.140625" customWidth="1"/>
    <col min="43" max="43" width="21.140625" bestFit="1" customWidth="1"/>
  </cols>
  <sheetData>
    <row r="1" spans="1:43" ht="30.75" thickBot="1" x14ac:dyDescent="0.3">
      <c r="A1" s="64" t="s">
        <v>0</v>
      </c>
      <c r="B1" s="65" t="s">
        <v>1</v>
      </c>
      <c r="C1" s="65" t="s">
        <v>2</v>
      </c>
      <c r="D1" s="66" t="s">
        <v>161</v>
      </c>
      <c r="E1" s="66" t="s">
        <v>162</v>
      </c>
      <c r="F1" s="79" t="s">
        <v>169</v>
      </c>
      <c r="G1" s="66" t="s">
        <v>163</v>
      </c>
      <c r="H1" s="66" t="s">
        <v>164</v>
      </c>
      <c r="I1" s="79" t="s">
        <v>170</v>
      </c>
      <c r="J1" s="80" t="s">
        <v>171</v>
      </c>
      <c r="K1" s="81" t="s">
        <v>172</v>
      </c>
      <c r="L1" s="81" t="s">
        <v>173</v>
      </c>
      <c r="M1" s="82" t="s">
        <v>174</v>
      </c>
      <c r="N1" s="78" t="s">
        <v>165</v>
      </c>
      <c r="O1" s="66" t="s">
        <v>166</v>
      </c>
      <c r="P1" s="66" t="s">
        <v>175</v>
      </c>
      <c r="Q1" s="66" t="s">
        <v>167</v>
      </c>
      <c r="R1" s="66" t="s">
        <v>168</v>
      </c>
      <c r="S1" s="66" t="s">
        <v>176</v>
      </c>
      <c r="T1" t="s">
        <v>177</v>
      </c>
      <c r="U1" t="s">
        <v>178</v>
      </c>
      <c r="V1" t="s">
        <v>179</v>
      </c>
      <c r="W1" t="s">
        <v>180</v>
      </c>
      <c r="X1" s="83" t="s">
        <v>194</v>
      </c>
      <c r="Y1" s="83" t="s">
        <v>195</v>
      </c>
      <c r="Z1" s="90" t="s">
        <v>206</v>
      </c>
      <c r="AA1" s="84" t="s">
        <v>196</v>
      </c>
      <c r="AB1" s="84" t="s">
        <v>197</v>
      </c>
      <c r="AC1" s="91" t="s">
        <v>207</v>
      </c>
      <c r="AD1" s="91" t="s">
        <v>208</v>
      </c>
      <c r="AE1" s="91" t="s">
        <v>209</v>
      </c>
      <c r="AF1" s="91" t="s">
        <v>210</v>
      </c>
      <c r="AG1" s="91" t="s">
        <v>211</v>
      </c>
      <c r="AH1" s="85" t="s">
        <v>198</v>
      </c>
      <c r="AI1" s="85" t="s">
        <v>199</v>
      </c>
      <c r="AJ1" s="85" t="s">
        <v>212</v>
      </c>
      <c r="AK1" s="85" t="s">
        <v>200</v>
      </c>
      <c r="AL1" s="85" t="s">
        <v>201</v>
      </c>
      <c r="AM1" s="86" t="s">
        <v>213</v>
      </c>
      <c r="AN1" s="86" t="s">
        <v>214</v>
      </c>
      <c r="AO1" s="86" t="s">
        <v>215</v>
      </c>
      <c r="AP1" s="86" t="s">
        <v>216</v>
      </c>
      <c r="AQ1" s="86" t="s">
        <v>217</v>
      </c>
    </row>
    <row r="2" spans="1:43" ht="15.75" thickTop="1" x14ac:dyDescent="0.25">
      <c r="A2" s="8">
        <f>CellCount_Viability!A2</f>
        <v>46268</v>
      </c>
      <c r="B2" s="69">
        <f>C2*24</f>
        <v>0</v>
      </c>
      <c r="C2" s="63">
        <f t="shared" ref="C2:C21" si="0">IF(NOT(A2=0),A2-$A$2,"")</f>
        <v>0</v>
      </c>
      <c r="D2">
        <f>AVERAGE(GC_esters_raw!F2:F3)</f>
        <v>7.0000000000000007E-2</v>
      </c>
      <c r="E2">
        <f>AVERAGE(GC_esters_raw!G2:G3)</f>
        <v>0</v>
      </c>
      <c r="F2">
        <f>AVERAGE(GC_esters_raw!H2:H3)</f>
        <v>0</v>
      </c>
      <c r="G2">
        <f>AVERAGE(GC_esters_raw!I2:I3)</f>
        <v>0</v>
      </c>
      <c r="H2">
        <f>AVERAGE(GC_esters_raw!J2:J3)</f>
        <v>0.48499999999999999</v>
      </c>
      <c r="I2">
        <f>AVERAGE(GC_esters_raw!K2:K3)</f>
        <v>0</v>
      </c>
      <c r="J2">
        <f>AVERAGE(GC_esters_raw!L2:L3)</f>
        <v>3.52</v>
      </c>
      <c r="K2">
        <f>AVERAGE(GC_esters_raw!M2:M3)</f>
        <v>0</v>
      </c>
      <c r="L2">
        <f>AVERAGE(GC_esters_raw!N2:N3)</f>
        <v>0</v>
      </c>
      <c r="M2">
        <f>AVERAGE(GC_esters_raw!O2:O3)</f>
        <v>0</v>
      </c>
      <c r="N2">
        <f>AVERAGE(GC_esters_raw!F4:F5)</f>
        <v>0</v>
      </c>
      <c r="O2">
        <f>AVERAGE(GC_esters_raw!G4:G5)</f>
        <v>0</v>
      </c>
      <c r="P2">
        <f>AVERAGE(GC_esters_raw!H4:H5)</f>
        <v>0</v>
      </c>
      <c r="Q2">
        <f>AVERAGE(GC_esters_raw!I4:I5)</f>
        <v>0</v>
      </c>
      <c r="R2">
        <f>AVERAGE(GC_esters_raw!J4:J5)</f>
        <v>0.49</v>
      </c>
      <c r="S2">
        <f>AVERAGE(GC_esters_raw!K4:K5)</f>
        <v>0</v>
      </c>
      <c r="T2">
        <f>AVERAGE(GC_esters_raw!L4:L5)</f>
        <v>3.645</v>
      </c>
      <c r="U2">
        <f>AVERAGE(GC_esters_raw!M4:M5)</f>
        <v>0</v>
      </c>
      <c r="V2">
        <f>AVERAGE(GC_esters_raw!N4:N5)</f>
        <v>0</v>
      </c>
      <c r="W2">
        <f>AVERAGE(GC_esters_raw!O4:O5)</f>
        <v>0</v>
      </c>
      <c r="X2">
        <f>STDEV(GC_esters_raw!F2:F3)</f>
        <v>9.8994949366116664E-2</v>
      </c>
      <c r="Y2">
        <f>STDEV(GC_esters_raw!G2:G3)</f>
        <v>0</v>
      </c>
      <c r="Z2">
        <f>STDEV(GC_esters_raw!H2:H3)</f>
        <v>0</v>
      </c>
      <c r="AA2">
        <f>STDEV(GC_esters_raw!I2:I3)</f>
        <v>0</v>
      </c>
      <c r="AB2">
        <f>STDEV(GC_esters_raw!J2:J3)</f>
        <v>7.0710678118654814E-3</v>
      </c>
      <c r="AC2">
        <f>STDEV(GC_esters_raw!K2:K3)</f>
        <v>0</v>
      </c>
      <c r="AD2">
        <f>STDEV(GC_esters_raw!L2:L3)</f>
        <v>8.4852813742385777E-2</v>
      </c>
      <c r="AE2">
        <f>STDEV(GC_esters_raw!M2:M3)</f>
        <v>0</v>
      </c>
      <c r="AF2">
        <f>STDEV(GC_esters_raw!N2:N3)</f>
        <v>0</v>
      </c>
      <c r="AG2">
        <f>STDEV(GC_esters_raw!O2:O3)</f>
        <v>0</v>
      </c>
      <c r="AH2">
        <f>STDEV(GC_esters_raw!F4:F5)</f>
        <v>0</v>
      </c>
      <c r="AI2">
        <f>STDEV(GC_esters_raw!G4:G5)</f>
        <v>0</v>
      </c>
      <c r="AJ2">
        <f>STDEV(GC_esters_raw!H4:H5)</f>
        <v>0</v>
      </c>
      <c r="AK2">
        <f>STDEV(GC_esters_raw!I4:I5)</f>
        <v>0</v>
      </c>
      <c r="AL2">
        <f>STDEV(GC_esters_raw!J4:J5)</f>
        <v>2.8284271247461926E-2</v>
      </c>
      <c r="AM2">
        <f>STDEV(GC_esters_raw!K4:K5)</f>
        <v>0</v>
      </c>
      <c r="AN2">
        <f>STDEV(GC_esters_raw!L4:L5)</f>
        <v>7.0710678118653244E-3</v>
      </c>
      <c r="AO2">
        <f>STDEV(GC_esters_raw!M4:M5)</f>
        <v>0</v>
      </c>
      <c r="AP2">
        <f>STDEV(GC_esters_raw!N4:N5)</f>
        <v>0</v>
      </c>
      <c r="AQ2">
        <f>STDEV(GC_esters_raw!O4:O5)</f>
        <v>0</v>
      </c>
    </row>
    <row r="3" spans="1:43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AVERAGE(GC_esters_raw!F8:F9)</f>
        <v>0.505</v>
      </c>
      <c r="E3">
        <f>AVERAGE(GC_esters_raw!G8:G9)</f>
        <v>0</v>
      </c>
      <c r="F3">
        <f>AVERAGE(GC_esters_raw!H8:H9)</f>
        <v>0</v>
      </c>
      <c r="G3">
        <f>AVERAGE(GC_esters_raw!I8:I9)</f>
        <v>0.13500000000000001</v>
      </c>
      <c r="H3">
        <f>AVERAGE(GC_esters_raw!J8:J9)</f>
        <v>2.165</v>
      </c>
      <c r="I3">
        <f>AVERAGE(GC_esters_raw!K8:K9)</f>
        <v>7.0000000000000007E-2</v>
      </c>
      <c r="J3">
        <f>AVERAGE(GC_esters_raw!L8:L9)</f>
        <v>20.990000000000002</v>
      </c>
      <c r="K3">
        <f>AVERAGE(GC_esters_raw!M8:M9)</f>
        <v>0</v>
      </c>
      <c r="L3">
        <f>AVERAGE(GC_esters_raw!N8:N9)</f>
        <v>0</v>
      </c>
      <c r="M3">
        <f>AVERAGE(GC_esters_raw!O8:O9)</f>
        <v>0</v>
      </c>
      <c r="N3">
        <f>AVERAGE(GC_esters_raw!F10:F11)</f>
        <v>0.47</v>
      </c>
      <c r="O3">
        <f>AVERAGE(GC_esters_raw!G10:G11)</f>
        <v>0</v>
      </c>
      <c r="P3">
        <f>AVERAGE(GC_esters_raw!H10:H11)</f>
        <v>0</v>
      </c>
      <c r="Q3">
        <f>AVERAGE(GC_esters_raw!I10:I11)</f>
        <v>0.13</v>
      </c>
      <c r="R3">
        <f>AVERAGE(GC_esters_raw!J10:J11)</f>
        <v>1.98</v>
      </c>
      <c r="S3">
        <f>AVERAGE(GC_esters_raw!K10:K11)</f>
        <v>0.06</v>
      </c>
      <c r="T3">
        <f>AVERAGE(GC_esters_raw!L10:L11)</f>
        <v>19.38</v>
      </c>
      <c r="U3">
        <f>AVERAGE(GC_esters_raw!M10:M11)</f>
        <v>0</v>
      </c>
      <c r="V3">
        <f>AVERAGE(GC_esters_raw!N10:N11)</f>
        <v>0</v>
      </c>
      <c r="W3">
        <f>AVERAGE(GC_esters_raw!O10:O11)</f>
        <v>0</v>
      </c>
      <c r="X3">
        <f>STDEV(GC_esters_raw!F8:F9)</f>
        <v>2.1213203435596444E-2</v>
      </c>
      <c r="Y3">
        <f>STDEV(GC_esters_raw!G8:G9)</f>
        <v>0</v>
      </c>
      <c r="Z3">
        <f>STDEV(GC_esters_raw!H8:H9)</f>
        <v>0</v>
      </c>
      <c r="AA3">
        <f>STDEV(GC_esters_raw!I8:I9)</f>
        <v>7.0710678118654814E-3</v>
      </c>
      <c r="AB3">
        <f>STDEV(GC_esters_raw!J8:J9)</f>
        <v>0.10606601717798238</v>
      </c>
      <c r="AC3">
        <f>STDEV(GC_esters_raw!K8:K9)</f>
        <v>2.8284271247461877E-2</v>
      </c>
      <c r="AD3">
        <f>STDEV(GC_esters_raw!L8:L9)</f>
        <v>0.87681240867131782</v>
      </c>
      <c r="AE3">
        <f>STDEV(GC_esters_raw!M8:M9)</f>
        <v>0</v>
      </c>
      <c r="AF3">
        <f>STDEV(GC_esters_raw!N8:N9)</f>
        <v>0</v>
      </c>
      <c r="AG3">
        <f>STDEV(GC_esters_raw!O8:O9)</f>
        <v>0</v>
      </c>
      <c r="AH3">
        <f>STDEV(GC_esters_raw!F10:F11)</f>
        <v>0</v>
      </c>
      <c r="AI3">
        <f>STDEV(GC_esters_raw!G10:G11)</f>
        <v>0</v>
      </c>
      <c r="AJ3">
        <f>STDEV(GC_esters_raw!H10:H11)</f>
        <v>0</v>
      </c>
      <c r="AK3">
        <f>STDEV(GC_esters_raw!I10:I11)</f>
        <v>0</v>
      </c>
      <c r="AL3">
        <f>STDEV(GC_esters_raw!J10:J11)</f>
        <v>0</v>
      </c>
      <c r="AM3">
        <f>STDEV(GC_esters_raw!K10:K11)</f>
        <v>0</v>
      </c>
      <c r="AN3">
        <f>STDEV(GC_esters_raw!L10:L11)</f>
        <v>0</v>
      </c>
      <c r="AO3">
        <f>STDEV(GC_esters_raw!M10:M11)</f>
        <v>0</v>
      </c>
      <c r="AP3">
        <f>STDEV(GC_esters_raw!N10:N11)</f>
        <v>0</v>
      </c>
      <c r="AQ3">
        <f>STDEV(GC_esters_raw!O10:O11)</f>
        <v>0</v>
      </c>
    </row>
    <row r="4" spans="1:43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AVERAGE(GC_esters_raw!F14:F15)</f>
        <v>6.5112500000000004</v>
      </c>
      <c r="E4">
        <f>AVERAGE(GC_esters_raw!G14:G15)</f>
        <v>0</v>
      </c>
      <c r="F4">
        <f>AVERAGE(GC_esters_raw!H14:H15)</f>
        <v>4.4950000000000004E-2</v>
      </c>
      <c r="G4">
        <f>AVERAGE(GC_esters_raw!I14:I15)</f>
        <v>0.24970000000000001</v>
      </c>
      <c r="H4">
        <f>AVERAGE(GC_esters_raw!J14:J15)</f>
        <v>4.4326500000000006</v>
      </c>
      <c r="I4">
        <f>AVERAGE(GC_esters_raw!K14:K15)</f>
        <v>1.3270500000000003</v>
      </c>
      <c r="J4">
        <f>AVERAGE(GC_esters_raw!L14:L15)</f>
        <v>34.605199999999996</v>
      </c>
      <c r="K4">
        <f>AVERAGE(GC_esters_raw!M14:M15)</f>
        <v>0.17515</v>
      </c>
      <c r="L4">
        <f>AVERAGE(GC_esters_raw!N14:N15)</f>
        <v>1.1438999999999999</v>
      </c>
      <c r="M4">
        <f>AVERAGE(GC_esters_raw!O14:O15)</f>
        <v>2.0212000000000003</v>
      </c>
      <c r="N4">
        <f>AVERAGE(GC_esters_raw!F16:F17)</f>
        <v>5.7647999999999993</v>
      </c>
      <c r="O4">
        <f>AVERAGE(GC_esters_raw!G16:G17)</f>
        <v>0</v>
      </c>
      <c r="P4">
        <f>AVERAGE(GC_esters_raw!H16:H17)</f>
        <v>3.7199999999999997E-2</v>
      </c>
      <c r="Q4">
        <f>AVERAGE(GC_esters_raw!I16:I17)</f>
        <v>0.23849999999999999</v>
      </c>
      <c r="R4">
        <f>AVERAGE(GC_esters_raw!J16:J17)</f>
        <v>4.1778999999999993</v>
      </c>
      <c r="S4">
        <f>AVERAGE(GC_esters_raw!K16:K17)</f>
        <v>1.1651500000000001</v>
      </c>
      <c r="T4">
        <f>AVERAGE(GC_esters_raw!L16:L17)</f>
        <v>32.798349999999999</v>
      </c>
      <c r="U4">
        <f>AVERAGE(GC_esters_raw!M16:M17)</f>
        <v>0.16739999999999999</v>
      </c>
      <c r="V4">
        <f>AVERAGE(GC_esters_raw!N16:N17)</f>
        <v>1.17645</v>
      </c>
      <c r="W4">
        <f>AVERAGE(GC_esters_raw!O16:O17)</f>
        <v>2.4195500000000001</v>
      </c>
      <c r="X4">
        <f>STDEV(GC_esters_raw!F14:F15)</f>
        <v>0.14318912319027566</v>
      </c>
      <c r="Y4">
        <f>STDEV(GC_esters_raw!G14:G15)</f>
        <v>0</v>
      </c>
      <c r="Z4">
        <f>STDEV(GC_esters_raw!H14:H15)</f>
        <v>2.1920310216782964E-3</v>
      </c>
      <c r="AA4">
        <f>STDEV(GC_esters_raw!I14:I15)</f>
        <v>1.1455129855222103E-2</v>
      </c>
      <c r="AB4">
        <f>STDEV(GC_esters_raw!J14:J15)</f>
        <v>0.19155522702343583</v>
      </c>
      <c r="AC4">
        <f>STDEV(GC_esters_raw!K14:K15)</f>
        <v>4.3628488399209887E-2</v>
      </c>
      <c r="AD4">
        <f>STDEV(GC_esters_raw!L14:L15)</f>
        <v>1.4379723502209629</v>
      </c>
      <c r="AE4">
        <f>STDEV(GC_esters_raw!M14:M15)</f>
        <v>2.1920310216782916E-3</v>
      </c>
      <c r="AF4">
        <f>STDEV(GC_esters_raw!N14:N15)</f>
        <v>3.945655839020925E-2</v>
      </c>
      <c r="AG4">
        <f>STDEV(GC_esters_raw!O14:O15)</f>
        <v>0.15344217151748088</v>
      </c>
      <c r="AH4">
        <f>STDEV(GC_esters_raw!F16:F17)</f>
        <v>0.11398561312727147</v>
      </c>
      <c r="AI4">
        <f>STDEV(GC_esters_raw!G16:G17)</f>
        <v>0</v>
      </c>
      <c r="AJ4">
        <f>STDEV(GC_esters_raw!H16:H17)</f>
        <v>0</v>
      </c>
      <c r="AK4">
        <f>STDEV(GC_esters_raw!I16:I17)</f>
        <v>4.3840620433565833E-3</v>
      </c>
      <c r="AL4">
        <f>STDEV(GC_esters_raw!J16:J17)</f>
        <v>6.1376868606993103E-2</v>
      </c>
      <c r="AM4">
        <f>STDEV(GC_esters_raw!K16:K17)</f>
        <v>1.9728279195104701E-2</v>
      </c>
      <c r="AN4">
        <f>STDEV(GC_esters_raw!L16:L17)</f>
        <v>0.53266353826782331</v>
      </c>
      <c r="AO4">
        <f>STDEV(GC_esters_raw!M16:M17)</f>
        <v>4.3840620433566024E-3</v>
      </c>
      <c r="AP4">
        <f>STDEV(GC_esters_raw!N16:N17)</f>
        <v>6.5760930650349521E-3</v>
      </c>
      <c r="AQ4">
        <f>STDEV(GC_esters_raw!O16:O17)</f>
        <v>6.3568899628670683E-2</v>
      </c>
    </row>
    <row r="5" spans="1:43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AVERAGE(GC_esters_raw!F20:F21)</f>
        <v>12.129999999999999</v>
      </c>
      <c r="E5">
        <f>AVERAGE(GC_esters_raw!G20:G21)</f>
        <v>0</v>
      </c>
      <c r="F5">
        <f>AVERAGE(GC_esters_raw!H20:H21)</f>
        <v>8.6999999999999994E-2</v>
      </c>
      <c r="G5">
        <f>AVERAGE(GC_esters_raw!I20:I21)</f>
        <v>0.35699999999999998</v>
      </c>
      <c r="H5">
        <f>AVERAGE(GC_esters_raw!J20:J21)</f>
        <v>6.5540000000000003</v>
      </c>
      <c r="I5">
        <f>AVERAGE(GC_esters_raw!K20:K21)</f>
        <v>2.5030000000000001</v>
      </c>
      <c r="J5">
        <f>AVERAGE(GC_esters_raw!L20:L21)</f>
        <v>47.341999999999999</v>
      </c>
      <c r="K5">
        <f>AVERAGE(GC_esters_raw!M20:M21)</f>
        <v>0.33899999999999997</v>
      </c>
      <c r="L5">
        <f>AVERAGE(GC_esters_raw!N20:N21)</f>
        <v>2.214</v>
      </c>
      <c r="M5">
        <f>AVERAGE(GC_esters_raw!O20:O21)</f>
        <v>3.9119999999999999</v>
      </c>
      <c r="N5">
        <f>AVERAGE(GC_esters_raw!F22:F23)</f>
        <v>10.718</v>
      </c>
      <c r="O5">
        <f>AVERAGE(GC_esters_raw!G22:G23)</f>
        <v>0</v>
      </c>
      <c r="P5">
        <f>AVERAGE(GC_esters_raw!H22:H23)</f>
        <v>7.1999999999999995E-2</v>
      </c>
      <c r="Q5">
        <f>AVERAGE(GC_esters_raw!I22:I23)</f>
        <v>0.33999999999999997</v>
      </c>
      <c r="R5">
        <f>AVERAGE(GC_esters_raw!J22:J23)</f>
        <v>6.2339999999999991</v>
      </c>
      <c r="S5">
        <f>AVERAGE(GC_esters_raw!K22:K23)</f>
        <v>2.1989999999999998</v>
      </c>
      <c r="T5">
        <f>AVERAGE(GC_esters_raw!L22:L23)</f>
        <v>45.350999999999999</v>
      </c>
      <c r="U5">
        <f>AVERAGE(GC_esters_raw!M22:M23)</f>
        <v>0.32400000000000001</v>
      </c>
      <c r="V5">
        <f>AVERAGE(GC_esters_raw!N22:N23)</f>
        <v>2.2770000000000001</v>
      </c>
      <c r="W5">
        <f>AVERAGE(GC_esters_raw!O22:O23)</f>
        <v>4.6829999999999998</v>
      </c>
      <c r="X5">
        <f>STDEV(GC_esters_raw!F20:F21)</f>
        <v>0.29698484809834991</v>
      </c>
      <c r="Y5">
        <f>STDEV(GC_esters_raw!G20:G21)</f>
        <v>0</v>
      </c>
      <c r="Z5">
        <f>STDEV(GC_esters_raw!H20:H21)</f>
        <v>4.2426406871192788E-3</v>
      </c>
      <c r="AA5">
        <f>STDEV(GC_esters_raw!I20:I21)</f>
        <v>1.555634918610406E-2</v>
      </c>
      <c r="AB5">
        <f>STDEV(GC_esters_raw!J20:J21)</f>
        <v>0.27152900397563384</v>
      </c>
      <c r="AC5">
        <f>STDEV(GC_esters_raw!K20:K21)</f>
        <v>5.7982756057296476E-2</v>
      </c>
      <c r="AD5">
        <f>STDEV(GC_esters_raw!L20:L21)</f>
        <v>1.9629284245738583</v>
      </c>
      <c r="AE5">
        <f>STDEV(GC_esters_raw!M20:M21)</f>
        <v>4.2426406871192493E-3</v>
      </c>
      <c r="AF5">
        <f>STDEV(GC_esters_raw!N20:N21)</f>
        <v>7.636753236814689E-2</v>
      </c>
      <c r="AG5">
        <f>STDEV(GC_esters_raw!O20:O21)</f>
        <v>0.29698484809834991</v>
      </c>
      <c r="AH5">
        <f>STDEV(GC_esters_raw!F22:F23)</f>
        <v>0.22061731573020241</v>
      </c>
      <c r="AI5">
        <f>STDEV(GC_esters_raw!G22:G23)</f>
        <v>0</v>
      </c>
      <c r="AJ5">
        <f>STDEV(GC_esters_raw!H22:H23)</f>
        <v>0</v>
      </c>
      <c r="AK5">
        <f>STDEV(GC_esters_raw!I22:I23)</f>
        <v>8.4852813742385784E-3</v>
      </c>
      <c r="AL5">
        <f>STDEV(GC_esters_raw!J22:J23)</f>
        <v>0.11879393923934072</v>
      </c>
      <c r="AM5">
        <f>STDEV(GC_esters_raw!K22:K23)</f>
        <v>3.8183766184073445E-2</v>
      </c>
      <c r="AN5">
        <f>STDEV(GC_esters_raw!L22:L23)</f>
        <v>1.0309616869699851</v>
      </c>
      <c r="AO5">
        <f>STDEV(GC_esters_raw!M22:M23)</f>
        <v>8.4852813742385784E-3</v>
      </c>
      <c r="AP5">
        <f>STDEV(GC_esters_raw!N22:N23)</f>
        <v>1.2727922061358024E-2</v>
      </c>
      <c r="AQ5">
        <f>STDEV(GC_esters_raw!O22:O23)</f>
        <v>0.1230365799264589</v>
      </c>
    </row>
    <row r="6" spans="1:43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AVERAGE(GC_esters_raw!F26:F27)</f>
        <v>19.88</v>
      </c>
      <c r="E6">
        <f>AVERAGE(GC_esters_raw!G26:G27)</f>
        <v>0</v>
      </c>
      <c r="F6">
        <f>AVERAGE(GC_esters_raw!H26:H27)</f>
        <v>0.14500000000000002</v>
      </c>
      <c r="G6">
        <f>AVERAGE(GC_esters_raw!I26:I27)</f>
        <v>0.505</v>
      </c>
      <c r="H6">
        <f>AVERAGE(GC_esters_raw!J26:J27)</f>
        <v>9.48</v>
      </c>
      <c r="I6">
        <f>AVERAGE(GC_esters_raw!K26:K27)</f>
        <v>4.125</v>
      </c>
      <c r="J6">
        <f>AVERAGE(GC_esters_raw!L26:L27)</f>
        <v>64.91</v>
      </c>
      <c r="K6">
        <f>AVERAGE(GC_esters_raw!M26:M27)</f>
        <v>0.56499999999999995</v>
      </c>
      <c r="L6">
        <f>AVERAGE(GC_esters_raw!N26:N27)</f>
        <v>3.69</v>
      </c>
      <c r="M6">
        <f>AVERAGE(GC_esters_raw!O26:O27)</f>
        <v>6.52</v>
      </c>
      <c r="N6">
        <f>AVERAGE(GC_esters_raw!F28:F29)</f>
        <v>17.549999999999997</v>
      </c>
      <c r="O6">
        <f>AVERAGE(GC_esters_raw!G28:G29)</f>
        <v>0</v>
      </c>
      <c r="P6">
        <f>AVERAGE(GC_esters_raw!H28:H29)</f>
        <v>0.12</v>
      </c>
      <c r="Q6">
        <f>AVERAGE(GC_esters_raw!I28:I29)</f>
        <v>0.48</v>
      </c>
      <c r="R6">
        <f>AVERAGE(GC_esters_raw!J28:J29)</f>
        <v>9.07</v>
      </c>
      <c r="S6">
        <f>AVERAGE(GC_esters_raw!K28:K29)</f>
        <v>3.625</v>
      </c>
      <c r="T6">
        <f>AVERAGE(GC_esters_raw!L28:L29)</f>
        <v>62.665000000000006</v>
      </c>
      <c r="U6">
        <f>AVERAGE(GC_esters_raw!M28:M29)</f>
        <v>0.54</v>
      </c>
      <c r="V6">
        <f>AVERAGE(GC_esters_raw!N28:N29)</f>
        <v>3.7949999999999999</v>
      </c>
      <c r="W6">
        <f>AVERAGE(GC_esters_raw!O28:O29)</f>
        <v>7.8049999999999997</v>
      </c>
      <c r="X6">
        <f>STDEV(GC_esters_raw!F26:F27)</f>
        <v>0.50911688245431341</v>
      </c>
      <c r="Y6">
        <f>STDEV(GC_esters_raw!G26:G27)</f>
        <v>0</v>
      </c>
      <c r="Z6">
        <f>STDEV(GC_esters_raw!H26:H27)</f>
        <v>7.0710678118654623E-3</v>
      </c>
      <c r="AA6">
        <f>STDEV(GC_esters_raw!I26:I27)</f>
        <v>2.1213203435596444E-2</v>
      </c>
      <c r="AB6">
        <f>STDEV(GC_esters_raw!J26:J27)</f>
        <v>0.38183766184073509</v>
      </c>
      <c r="AC6">
        <f>STDEV(GC_esters_raw!K26:K27)</f>
        <v>7.7781745930519827E-2</v>
      </c>
      <c r="AD6">
        <f>STDEV(GC_esters_raw!L26:L27)</f>
        <v>2.6870057685088837</v>
      </c>
      <c r="AE6">
        <f>STDEV(GC_esters_raw!M26:M27)</f>
        <v>7.0710678118654034E-3</v>
      </c>
      <c r="AF6">
        <f>STDEV(GC_esters_raw!N26:N27)</f>
        <v>0.12727922061357835</v>
      </c>
      <c r="AG6">
        <f>STDEV(GC_esters_raw!O26:O27)</f>
        <v>0.4949747468305834</v>
      </c>
      <c r="AH6">
        <f>STDEV(GC_esters_raw!F28:F29)</f>
        <v>0.36769552621700441</v>
      </c>
      <c r="AI6">
        <f>STDEV(GC_esters_raw!G28:G29)</f>
        <v>0</v>
      </c>
      <c r="AJ6">
        <f>STDEV(GC_esters_raw!H28:H29)</f>
        <v>0</v>
      </c>
      <c r="AK6">
        <f>STDEV(GC_esters_raw!I28:I29)</f>
        <v>1.4142135623730963E-2</v>
      </c>
      <c r="AL6">
        <f>STDEV(GC_esters_raw!J28:J29)</f>
        <v>0.1979898987322341</v>
      </c>
      <c r="AM6">
        <f>STDEV(GC_esters_raw!K28:K29)</f>
        <v>6.3639610306789177E-2</v>
      </c>
      <c r="AN6">
        <f>STDEV(GC_esters_raw!L28:L29)</f>
        <v>1.7182694782833103</v>
      </c>
      <c r="AO6">
        <f>STDEV(GC_esters_raw!M28:M29)</f>
        <v>1.4142135623730963E-2</v>
      </c>
      <c r="AP6">
        <f>STDEV(GC_esters_raw!N28:N29)</f>
        <v>2.12132034355966E-2</v>
      </c>
      <c r="AQ6">
        <f>STDEV(GC_esters_raw!O28:O29)</f>
        <v>0.2050609665440988</v>
      </c>
    </row>
    <row r="7" spans="1:43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AVERAGE(GC_esters_raw!F32:F33)</f>
        <v>27.494999999999997</v>
      </c>
      <c r="E7">
        <f>AVERAGE(GC_esters_raw!G32:G33)</f>
        <v>0</v>
      </c>
      <c r="F7">
        <f>AVERAGE(GC_esters_raw!H32:H33)</f>
        <v>0.18</v>
      </c>
      <c r="G7">
        <f>AVERAGE(GC_esters_raw!I32:I33)</f>
        <v>0.59</v>
      </c>
      <c r="H7">
        <f>AVERAGE(GC_esters_raw!J32:J33)</f>
        <v>11.17</v>
      </c>
      <c r="I7">
        <f>AVERAGE(GC_esters_raw!K32:K33)</f>
        <v>5.3149999999999995</v>
      </c>
      <c r="J7">
        <f>AVERAGE(GC_esters_raw!L32:L33)</f>
        <v>69.784999999999997</v>
      </c>
      <c r="K7">
        <f>AVERAGE(GC_esters_raw!M32:M33)</f>
        <v>0.75</v>
      </c>
      <c r="L7">
        <f>AVERAGE(GC_esters_raw!N32:N33)</f>
        <v>5.27</v>
      </c>
      <c r="M7">
        <f>AVERAGE(GC_esters_raw!O32:O33)</f>
        <v>10.664999999999999</v>
      </c>
      <c r="N7">
        <f>AVERAGE(GC_esters_raw!F34:F35)</f>
        <v>24.41</v>
      </c>
      <c r="O7">
        <f>AVERAGE(GC_esters_raw!G34:G35)</f>
        <v>0</v>
      </c>
      <c r="P7">
        <f>AVERAGE(GC_esters_raw!H34:H35)</f>
        <v>0.16</v>
      </c>
      <c r="Q7">
        <f>AVERAGE(GC_esters_raw!I34:I35)</f>
        <v>0.55000000000000004</v>
      </c>
      <c r="R7">
        <f>AVERAGE(GC_esters_raw!J34:J35)</f>
        <v>10.71</v>
      </c>
      <c r="S7">
        <f>AVERAGE(GC_esters_raw!K34:K35)</f>
        <v>4.7200000000000006</v>
      </c>
      <c r="T7">
        <f>AVERAGE(GC_esters_raw!L34:L35)</f>
        <v>66.865000000000009</v>
      </c>
      <c r="U7">
        <f>AVERAGE(GC_esters_raw!M34:M35)</f>
        <v>0.70499999999999996</v>
      </c>
      <c r="V7">
        <f>AVERAGE(GC_esters_raw!N34:N35)</f>
        <v>5.415</v>
      </c>
      <c r="W7">
        <f>AVERAGE(GC_esters_raw!O34:O35)</f>
        <v>12.574999999999999</v>
      </c>
      <c r="X7">
        <f>STDEV(GC_esters_raw!F32:F33)</f>
        <v>7.0710678118665812E-3</v>
      </c>
      <c r="Y7">
        <f>STDEV(GC_esters_raw!G32:G33)</f>
        <v>0</v>
      </c>
      <c r="Z7">
        <f>STDEV(GC_esters_raw!H32:H33)</f>
        <v>0</v>
      </c>
      <c r="AA7">
        <f>STDEV(GC_esters_raw!I32:I33)</f>
        <v>0</v>
      </c>
      <c r="AB7">
        <f>STDEV(GC_esters_raw!J32:J33)</f>
        <v>7.0710678118655765E-2</v>
      </c>
      <c r="AC7">
        <f>STDEV(GC_esters_raw!K32:K33)</f>
        <v>7.0710678118659524E-3</v>
      </c>
      <c r="AD7">
        <f>STDEV(GC_esters_raw!L32:L33)</f>
        <v>0.38890872965259915</v>
      </c>
      <c r="AE7">
        <f>STDEV(GC_esters_raw!M32:M33)</f>
        <v>0</v>
      </c>
      <c r="AF7">
        <f>STDEV(GC_esters_raw!N32:N33)</f>
        <v>5.6568542494923227E-2</v>
      </c>
      <c r="AG7">
        <f>STDEV(GC_esters_raw!O32:O33)</f>
        <v>0.24748737341529137</v>
      </c>
      <c r="AH7">
        <f>STDEV(GC_esters_raw!F34:F35)</f>
        <v>4.2426406871194457E-2</v>
      </c>
      <c r="AI7">
        <f>STDEV(GC_esters_raw!G34:G35)</f>
        <v>0</v>
      </c>
      <c r="AJ7">
        <f>STDEV(GC_esters_raw!H34:H35)</f>
        <v>0</v>
      </c>
      <c r="AK7">
        <f>STDEV(GC_esters_raw!I34:I35)</f>
        <v>0</v>
      </c>
      <c r="AL7">
        <f>STDEV(GC_esters_raw!J34:J35)</f>
        <v>0</v>
      </c>
      <c r="AM7">
        <f>STDEV(GC_esters_raw!K34:K35)</f>
        <v>1.4142135623731277E-2</v>
      </c>
      <c r="AN7">
        <f>STDEV(GC_esters_raw!L34:L35)</f>
        <v>7.0710678118690922E-3</v>
      </c>
      <c r="AO7">
        <f>STDEV(GC_esters_raw!M34:M35)</f>
        <v>7.0710678118654814E-3</v>
      </c>
      <c r="AP7">
        <f>STDEV(GC_esters_raw!N34:N35)</f>
        <v>6.3639610306789177E-2</v>
      </c>
      <c r="AQ7">
        <f>STDEV(GC_esters_raw!O34:O35)</f>
        <v>7.778174593052109E-2</v>
      </c>
    </row>
    <row r="8" spans="1:43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AVERAGE(GC_esters_raw!F38:F39)</f>
        <v>32.33775</v>
      </c>
      <c r="E8">
        <f>AVERAGE(GC_esters_raw!G38:G39)</f>
        <v>0</v>
      </c>
      <c r="F8">
        <f>AVERAGE(GC_esters_raw!H38:H39)</f>
        <v>0.20200000000000001</v>
      </c>
      <c r="G8">
        <f>AVERAGE(GC_esters_raw!I38:I39)</f>
        <v>0.65049999999999997</v>
      </c>
      <c r="H8">
        <f>AVERAGE(GC_esters_raw!J38:J39)</f>
        <v>12.083</v>
      </c>
      <c r="I8">
        <f>AVERAGE(GC_esters_raw!K38:K39)</f>
        <v>5.9887499999999996</v>
      </c>
      <c r="J8">
        <f>AVERAGE(GC_esters_raw!L38:L39)</f>
        <v>72.045500000000004</v>
      </c>
      <c r="K8">
        <f>AVERAGE(GC_esters_raw!M38:M39)</f>
        <v>0.79125000000000001</v>
      </c>
      <c r="L8">
        <f>AVERAGE(GC_esters_raw!N38:N39)</f>
        <v>6.3122499999999997</v>
      </c>
      <c r="M8">
        <f>AVERAGE(GC_esters_raw!O38:O39)</f>
        <v>12.85675</v>
      </c>
      <c r="N8">
        <f>AVERAGE(GC_esters_raw!F40:F41)</f>
        <v>29.305</v>
      </c>
      <c r="O8">
        <f>AVERAGE(GC_esters_raw!G40:G41)</f>
        <v>0</v>
      </c>
      <c r="P8">
        <f>AVERAGE(GC_esters_raw!H40:H41)</f>
        <v>0.182</v>
      </c>
      <c r="Q8">
        <f>AVERAGE(GC_esters_raw!I40:I41)</f>
        <v>0.61875000000000013</v>
      </c>
      <c r="R8">
        <f>AVERAGE(GC_esters_raw!J40:J41)</f>
        <v>11.85125</v>
      </c>
      <c r="S8">
        <f>AVERAGE(GC_esters_raw!K40:K41)</f>
        <v>5.4130000000000003</v>
      </c>
      <c r="T8">
        <f>AVERAGE(GC_esters_raw!L40:L41)</f>
        <v>70.470249999999993</v>
      </c>
      <c r="U8">
        <f>AVERAGE(GC_esters_raw!M40:M41)</f>
        <v>0.75450000000000006</v>
      </c>
      <c r="V8">
        <f>AVERAGE(GC_esters_raw!N40:N41)</f>
        <v>6.3747500000000006</v>
      </c>
      <c r="W8">
        <f>AVERAGE(GC_esters_raw!O40:O41)</f>
        <v>14.280000000000001</v>
      </c>
      <c r="X8">
        <f>STDEV(GC_esters_raw!F38:F39)</f>
        <v>7.3185551852805411E-2</v>
      </c>
      <c r="Y8">
        <f>STDEV(GC_esters_raw!G38:G39)</f>
        <v>0</v>
      </c>
      <c r="Z8">
        <f>STDEV(GC_esters_raw!H38:H39)</f>
        <v>0</v>
      </c>
      <c r="AA8">
        <f>STDEV(GC_esters_raw!I38:I39)</f>
        <v>0</v>
      </c>
      <c r="AB8">
        <f>STDEV(GC_esters_raw!J38:J39)</f>
        <v>4.7376154339498801E-2</v>
      </c>
      <c r="AC8">
        <f>STDEV(GC_esters_raw!K38:K39)</f>
        <v>3.1819805153402124E-3</v>
      </c>
      <c r="AD8">
        <f>STDEV(GC_esters_raw!L38:L39)</f>
        <v>0.10111626970967678</v>
      </c>
      <c r="AE8">
        <f>STDEV(GC_esters_raw!M38:M39)</f>
        <v>3.889087296526054E-3</v>
      </c>
      <c r="AF8">
        <f>STDEV(GC_esters_raw!N38:N39)</f>
        <v>2.5102290732122969E-2</v>
      </c>
      <c r="AG8">
        <f>STDEV(GC_esters_raw!O38:O39)</f>
        <v>0.10359114344382896</v>
      </c>
      <c r="AH8">
        <f>STDEV(GC_esters_raw!F40:F41)</f>
        <v>0.10535891039679623</v>
      </c>
      <c r="AI8">
        <f>STDEV(GC_esters_raw!G40:G41)</f>
        <v>0</v>
      </c>
      <c r="AJ8">
        <f>STDEV(GC_esters_raw!H40:H41)</f>
        <v>0</v>
      </c>
      <c r="AK8">
        <f>STDEV(GC_esters_raw!I40:I41)</f>
        <v>3.8890872965259755E-3</v>
      </c>
      <c r="AL8">
        <f>STDEV(GC_esters_raw!J40:J41)</f>
        <v>5.8336309447889867E-2</v>
      </c>
      <c r="AM8">
        <f>STDEV(GC_esters_raw!K40:K41)</f>
        <v>1.4142135623729393E-3</v>
      </c>
      <c r="AN8">
        <f>STDEV(GC_esters_raw!L40:L41)</f>
        <v>0.3157231777997937</v>
      </c>
      <c r="AO8">
        <f>STDEV(GC_esters_raw!M40:M41)</f>
        <v>7.0710678118654814E-3</v>
      </c>
      <c r="AP8">
        <f>STDEV(GC_esters_raw!N40:N41)</f>
        <v>0.22309218946435583</v>
      </c>
      <c r="AQ8">
        <f>STDEV(GC_esters_raw!O40:O41)</f>
        <v>0.67670118959552772</v>
      </c>
    </row>
    <row r="9" spans="1:43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AVERAGE(GC_esters_raw!F44:F45)</f>
        <v>36.299999999999997</v>
      </c>
      <c r="E9">
        <f>AVERAGE(GC_esters_raw!G44:G45)</f>
        <v>0</v>
      </c>
      <c r="F9">
        <f>AVERAGE(GC_esters_raw!H44:H45)</f>
        <v>0.22</v>
      </c>
      <c r="G9">
        <f>AVERAGE(GC_esters_raw!I44:I45)</f>
        <v>0.7</v>
      </c>
      <c r="H9">
        <f>AVERAGE(GC_esters_raw!J44:J45)</f>
        <v>12.83</v>
      </c>
      <c r="I9">
        <f>AVERAGE(GC_esters_raw!K44:K45)</f>
        <v>6.54</v>
      </c>
      <c r="J9">
        <f>AVERAGE(GC_esters_raw!L44:L45)</f>
        <v>73.894999999999996</v>
      </c>
      <c r="K9">
        <f>AVERAGE(GC_esters_raw!M44:M45)</f>
        <v>0.82499999999999996</v>
      </c>
      <c r="L9">
        <f>AVERAGE(GC_esters_raw!N44:N45)</f>
        <v>7.165</v>
      </c>
      <c r="M9">
        <f>AVERAGE(GC_esters_raw!O44:O45)</f>
        <v>14.65</v>
      </c>
      <c r="N9">
        <f>AVERAGE(GC_esters_raw!F46:F47)</f>
        <v>33.31</v>
      </c>
      <c r="O9">
        <f>AVERAGE(GC_esters_raw!G46:G47)</f>
        <v>0</v>
      </c>
      <c r="P9">
        <f>AVERAGE(GC_esters_raw!H46:H47)</f>
        <v>0.2</v>
      </c>
      <c r="Q9">
        <f>AVERAGE(GC_esters_raw!I46:I47)</f>
        <v>0.67500000000000004</v>
      </c>
      <c r="R9">
        <f>AVERAGE(GC_esters_raw!J46:J47)</f>
        <v>12.785</v>
      </c>
      <c r="S9">
        <f>AVERAGE(GC_esters_raw!K46:K47)</f>
        <v>5.98</v>
      </c>
      <c r="T9">
        <f>AVERAGE(GC_esters_raw!L46:L47)</f>
        <v>73.42</v>
      </c>
      <c r="U9">
        <f>AVERAGE(GC_esters_raw!M46:M47)</f>
        <v>0.79500000000000004</v>
      </c>
      <c r="V9">
        <f>AVERAGE(GC_esters_raw!N46:N47)</f>
        <v>7.16</v>
      </c>
      <c r="W9">
        <f>AVERAGE(GC_esters_raw!O46:O47)</f>
        <v>15.675000000000001</v>
      </c>
      <c r="X9">
        <f>STDEV(GC_esters_raw!F44:F45)</f>
        <v>0.12727922061357835</v>
      </c>
      <c r="Y9">
        <f>STDEV(GC_esters_raw!G44:G45)</f>
        <v>0</v>
      </c>
      <c r="Z9">
        <f>STDEV(GC_esters_raw!H44:H45)</f>
        <v>0</v>
      </c>
      <c r="AA9">
        <f>STDEV(GC_esters_raw!I44:I45)</f>
        <v>0</v>
      </c>
      <c r="AB9">
        <f>STDEV(GC_esters_raw!J44:J45)</f>
        <v>2.8284271247461298E-2</v>
      </c>
      <c r="AC9">
        <f>STDEV(GC_esters_raw!K44:K45)</f>
        <v>0</v>
      </c>
      <c r="AD9">
        <f>STDEV(GC_esters_raw!L44:L45)</f>
        <v>0.13435028842544242</v>
      </c>
      <c r="AE9">
        <f>STDEV(GC_esters_raw!M44:M45)</f>
        <v>7.0710678118654814E-3</v>
      </c>
      <c r="AF9">
        <f>STDEV(GC_esters_raw!N44:N45)</f>
        <v>9.1923881554251727E-2</v>
      </c>
      <c r="AG9">
        <f>STDEV(GC_esters_raw!O44:O45)</f>
        <v>1.4142135623730649E-2</v>
      </c>
      <c r="AH9">
        <f>STDEV(GC_esters_raw!F46:F47)</f>
        <v>0.22627416997969541</v>
      </c>
      <c r="AI9">
        <f>STDEV(GC_esters_raw!G46:G47)</f>
        <v>0</v>
      </c>
      <c r="AJ9">
        <f>STDEV(GC_esters_raw!H46:H47)</f>
        <v>0</v>
      </c>
      <c r="AK9">
        <f>STDEV(GC_esters_raw!I46:I47)</f>
        <v>7.0710678118654814E-3</v>
      </c>
      <c r="AL9">
        <f>STDEV(GC_esters_raw!J46:J47)</f>
        <v>0.10606601717798111</v>
      </c>
      <c r="AM9">
        <f>STDEV(GC_esters_raw!K46:K47)</f>
        <v>1.4142135623731277E-2</v>
      </c>
      <c r="AN9">
        <f>STDEV(GC_esters_raw!L46:L47)</f>
        <v>0.57982756057296414</v>
      </c>
      <c r="AO9">
        <f>STDEV(GC_esters_raw!M46:M47)</f>
        <v>7.0710678118654814E-3</v>
      </c>
      <c r="AP9">
        <f>STDEV(GC_esters_raw!N46:N47)</f>
        <v>0.35355339059327379</v>
      </c>
      <c r="AQ9">
        <f>STDEV(GC_esters_raw!O46:O47)</f>
        <v>1.1667261889578036</v>
      </c>
    </row>
    <row r="10" spans="1:43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AVERAGE(GC_esters_raw!F50:F51)</f>
        <v>37.516249999999999</v>
      </c>
      <c r="E10">
        <f>AVERAGE(GC_esters_raw!G50:G51)</f>
        <v>0</v>
      </c>
      <c r="F10">
        <f>AVERAGE(GC_esters_raw!H50:H51)</f>
        <v>0.22175</v>
      </c>
      <c r="G10">
        <f>AVERAGE(GC_esters_raw!I50:I51)</f>
        <v>0.70524999999999993</v>
      </c>
      <c r="H10">
        <f>AVERAGE(GC_esters_raw!J50:J51)</f>
        <v>12.935</v>
      </c>
      <c r="I10">
        <f>AVERAGE(GC_esters_raw!K50:K51)</f>
        <v>6.5960000000000001</v>
      </c>
      <c r="J10">
        <f>AVERAGE(GC_esters_raw!L50:L51)</f>
        <v>74.122500000000002</v>
      </c>
      <c r="K10">
        <f>AVERAGE(GC_esters_raw!M50:M51)</f>
        <v>0.80749999999999988</v>
      </c>
      <c r="L10">
        <f>AVERAGE(GC_esters_raw!N50:N51)</f>
        <v>7.2402499999999996</v>
      </c>
      <c r="M10">
        <f>AVERAGE(GC_esters_raw!O50:O51)</f>
        <v>15.021000000000001</v>
      </c>
      <c r="N10">
        <f>AVERAGE(GC_esters_raw!F52:F53)</f>
        <v>34.554249999999996</v>
      </c>
      <c r="O10">
        <f>AVERAGE(GC_esters_raw!G52:G53)</f>
        <v>0</v>
      </c>
      <c r="P10">
        <f>AVERAGE(GC_esters_raw!H52:H53)</f>
        <v>0.20175000000000001</v>
      </c>
      <c r="Q10">
        <f>AVERAGE(GC_esters_raw!I52:I53)</f>
        <v>0.68375000000000008</v>
      </c>
      <c r="R10">
        <f>AVERAGE(GC_esters_raw!J52:J53)</f>
        <v>12.904</v>
      </c>
      <c r="S10">
        <f>AVERAGE(GC_esters_raw!K52:K53)</f>
        <v>6.0517500000000002</v>
      </c>
      <c r="T10">
        <f>AVERAGE(GC_esters_raw!L52:L53)</f>
        <v>73.694749999999999</v>
      </c>
      <c r="U10">
        <f>AVERAGE(GC_esters_raw!M52:M53)</f>
        <v>0.78449999999999998</v>
      </c>
      <c r="V10">
        <f>AVERAGE(GC_esters_raw!N52:N53)</f>
        <v>7.3454999999999995</v>
      </c>
      <c r="W10">
        <f>AVERAGE(GC_esters_raw!O52:O53)</f>
        <v>16.59375</v>
      </c>
      <c r="X10">
        <f>STDEV(GC_esters_raw!F50:F51)</f>
        <v>0.30794500320673973</v>
      </c>
      <c r="Y10">
        <f>STDEV(GC_esters_raw!G50:G51)</f>
        <v>0</v>
      </c>
      <c r="Z10">
        <f>STDEV(GC_esters_raw!H50:H51)</f>
        <v>2.4748737341529184E-3</v>
      </c>
      <c r="AA10">
        <f>STDEV(GC_esters_raw!I50:I51)</f>
        <v>2.4748737341529579E-3</v>
      </c>
      <c r="AB10">
        <f>STDEV(GC_esters_raw!J50:J51)</f>
        <v>0.11737972567696715</v>
      </c>
      <c r="AC10">
        <f>STDEV(GC_esters_raw!K50:K51)</f>
        <v>3.464823227814047E-2</v>
      </c>
      <c r="AD10">
        <f>STDEV(GC_esters_raw!L50:L51)</f>
        <v>0.53386561979584013</v>
      </c>
      <c r="AE10">
        <f>STDEV(GC_esters_raw!M50:M51)</f>
        <v>2.1213203435596446E-3</v>
      </c>
      <c r="AF10">
        <f>STDEV(GC_esters_raw!N50:N51)</f>
        <v>2.5102290732122341E-2</v>
      </c>
      <c r="AG10">
        <f>STDEV(GC_esters_raw!O50:O51)</f>
        <v>0.12940054095713807</v>
      </c>
      <c r="AH10">
        <f>STDEV(GC_esters_raw!F52:F53)</f>
        <v>0.12268302653586395</v>
      </c>
      <c r="AI10">
        <f>STDEV(GC_esters_raw!G52:G53)</f>
        <v>0</v>
      </c>
      <c r="AJ10">
        <f>STDEV(GC_esters_raw!H52:H53)</f>
        <v>2.4748737341529184E-3</v>
      </c>
      <c r="AK10">
        <f>STDEV(GC_esters_raw!I52:I53)</f>
        <v>3.5355339059331333E-4</v>
      </c>
      <c r="AL10">
        <f>STDEV(GC_esters_raw!J52:J53)</f>
        <v>6.717514421272372E-2</v>
      </c>
      <c r="AM10">
        <f>STDEV(GC_esters_raw!K52:K53)</f>
        <v>3.7830212793480048E-2</v>
      </c>
      <c r="AN10">
        <f>STDEV(GC_esters_raw!L52:L53)</f>
        <v>0.3779485745442156</v>
      </c>
      <c r="AO10">
        <f>STDEV(GC_esters_raw!M52:M53)</f>
        <v>1.2020815280171319E-2</v>
      </c>
      <c r="AP10">
        <f>STDEV(GC_esters_raw!N52:N53)</f>
        <v>0.26445793616376856</v>
      </c>
      <c r="AQ10">
        <f>STDEV(GC_esters_raw!O52:O53)</f>
        <v>0.76827151775918456</v>
      </c>
    </row>
    <row r="11" spans="1:43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AVERAGE(GC_esters_raw!F56:F57)</f>
        <v>38.732500000000002</v>
      </c>
      <c r="E11">
        <f>AVERAGE(GC_esters_raw!G56:G57)</f>
        <v>0</v>
      </c>
      <c r="F11">
        <f>AVERAGE(GC_esters_raw!H56:H57)</f>
        <v>0.2235</v>
      </c>
      <c r="G11">
        <f>AVERAGE(GC_esters_raw!I56:I57)</f>
        <v>0.71049999999999991</v>
      </c>
      <c r="H11">
        <f>AVERAGE(GC_esters_raw!J56:J57)</f>
        <v>13.04</v>
      </c>
      <c r="I11">
        <f>AVERAGE(GC_esters_raw!K56:K57)</f>
        <v>6.6519999999999992</v>
      </c>
      <c r="J11">
        <f>AVERAGE(GC_esters_raw!L56:L57)</f>
        <v>74.349999999999994</v>
      </c>
      <c r="K11">
        <f>AVERAGE(GC_esters_raw!M56:M57)</f>
        <v>0.79</v>
      </c>
      <c r="L11">
        <f>AVERAGE(GC_esters_raw!N56:N57)</f>
        <v>7.3155000000000001</v>
      </c>
      <c r="M11">
        <f>AVERAGE(GC_esters_raw!O56:O57)</f>
        <v>15.391999999999999</v>
      </c>
      <c r="N11">
        <f>AVERAGE(GC_esters_raw!F58:F59)</f>
        <v>35.798499999999997</v>
      </c>
      <c r="O11">
        <f>AVERAGE(GC_esters_raw!G58:G59)</f>
        <v>0</v>
      </c>
      <c r="P11">
        <f>AVERAGE(GC_esters_raw!H58:H59)</f>
        <v>0.20350000000000001</v>
      </c>
      <c r="Q11">
        <f>AVERAGE(GC_esters_raw!I58:I59)</f>
        <v>0.69249999999999989</v>
      </c>
      <c r="R11">
        <f>AVERAGE(GC_esters_raw!J58:J59)</f>
        <v>13.023</v>
      </c>
      <c r="S11">
        <f>AVERAGE(GC_esters_raw!K58:K59)</f>
        <v>6.1234999999999999</v>
      </c>
      <c r="T11">
        <f>AVERAGE(GC_esters_raw!L58:L59)</f>
        <v>73.969500000000011</v>
      </c>
      <c r="U11">
        <f>AVERAGE(GC_esters_raw!M58:M59)</f>
        <v>0.77400000000000002</v>
      </c>
      <c r="V11">
        <f>AVERAGE(GC_esters_raw!N58:N59)</f>
        <v>7.5310000000000006</v>
      </c>
      <c r="W11">
        <f>AVERAGE(GC_esters_raw!O58:O59)</f>
        <v>17.512500000000003</v>
      </c>
      <c r="X11">
        <f>STDEV(GC_esters_raw!F56:F57)</f>
        <v>0.48861078579990108</v>
      </c>
      <c r="Y11">
        <f>STDEV(GC_esters_raw!G56:G57)</f>
        <v>0</v>
      </c>
      <c r="Z11">
        <f>STDEV(GC_esters_raw!H56:H57)</f>
        <v>4.9497474683058368E-3</v>
      </c>
      <c r="AA11">
        <f>STDEV(GC_esters_raw!I56:I57)</f>
        <v>4.9497474683058368E-3</v>
      </c>
      <c r="AB11">
        <f>STDEV(GC_esters_raw!J56:J57)</f>
        <v>0.20647518010647176</v>
      </c>
      <c r="AC11">
        <f>STDEV(GC_esters_raw!K56:K57)</f>
        <v>6.9296464556281565E-2</v>
      </c>
      <c r="AD11">
        <f>STDEV(GC_esters_raw!L56:L57)</f>
        <v>1.2020815280171329</v>
      </c>
      <c r="AE11">
        <f>STDEV(GC_esters_raw!M56:M57)</f>
        <v>2.8284271247461927E-3</v>
      </c>
      <c r="AF11">
        <f>STDEV(GC_esters_raw!N56:N57)</f>
        <v>4.171930009000642E-2</v>
      </c>
      <c r="AG11">
        <f>STDEV(GC_esters_raw!O56:O57)</f>
        <v>0.2729432175380081</v>
      </c>
      <c r="AH11">
        <f>STDEV(GC_esters_raw!F58:F59)</f>
        <v>0.47164022305142833</v>
      </c>
      <c r="AI11">
        <f>STDEV(GC_esters_raw!G58:G59)</f>
        <v>0</v>
      </c>
      <c r="AJ11">
        <f>STDEV(GC_esters_raw!H58:H59)</f>
        <v>4.9497474683058177E-3</v>
      </c>
      <c r="AK11">
        <f>STDEV(GC_esters_raw!I58:I59)</f>
        <v>7.7781745930520299E-3</v>
      </c>
      <c r="AL11">
        <f>STDEV(GC_esters_raw!J58:J59)</f>
        <v>0.24041630560342606</v>
      </c>
      <c r="AM11">
        <f>STDEV(GC_esters_raw!K58:K59)</f>
        <v>8.9802561210692008E-2</v>
      </c>
      <c r="AN11">
        <f>STDEV(GC_esters_raw!L58:L59)</f>
        <v>1.3357247096613853</v>
      </c>
      <c r="AO11">
        <f>STDEV(GC_esters_raw!M58:M59)</f>
        <v>1.6970562748477157E-2</v>
      </c>
      <c r="AP11">
        <f>STDEV(GC_esters_raw!N58:N59)</f>
        <v>0.17536248173426394</v>
      </c>
      <c r="AQ11">
        <f>STDEV(GC_esters_raw!O58:O59)</f>
        <v>0.36981684656056413</v>
      </c>
    </row>
    <row r="12" spans="1:43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AVERAGE(GC_esters_raw!F62:F63)</f>
        <v>39.774999999999999</v>
      </c>
      <c r="E12">
        <f>AVERAGE(GC_esters_raw!G62:G63)</f>
        <v>0</v>
      </c>
      <c r="F12">
        <f>AVERAGE(GC_esters_raw!H62:H63)</f>
        <v>0.22500000000000001</v>
      </c>
      <c r="G12">
        <f>AVERAGE(GC_esters_raw!I62:I63)</f>
        <v>0.71499999999999997</v>
      </c>
      <c r="H12">
        <f>AVERAGE(GC_esters_raw!J62:J63)</f>
        <v>13.129999999999999</v>
      </c>
      <c r="I12">
        <f>AVERAGE(GC_esters_raw!K62:K63)</f>
        <v>6.6999999999999993</v>
      </c>
      <c r="J12">
        <f>AVERAGE(GC_esters_raw!L62:L63)</f>
        <v>74.545000000000002</v>
      </c>
      <c r="K12">
        <f>AVERAGE(GC_esters_raw!M62:M63)</f>
        <v>0.77500000000000002</v>
      </c>
      <c r="L12">
        <f>AVERAGE(GC_esters_raw!N62:N63)</f>
        <v>7.38</v>
      </c>
      <c r="M12">
        <f>AVERAGE(GC_esters_raw!O62:O63)</f>
        <v>15.71</v>
      </c>
      <c r="N12">
        <f>AVERAGE(GC_esters_raw!F59:F60)</f>
        <v>35.464999999999996</v>
      </c>
      <c r="O12">
        <f>AVERAGE(GC_esters_raw!G59:G60)</f>
        <v>0</v>
      </c>
      <c r="P12">
        <f>AVERAGE(GC_esters_raw!H59:H60)</f>
        <v>0.2</v>
      </c>
      <c r="Q12">
        <f>AVERAGE(GC_esters_raw!I59:I60)</f>
        <v>0.68699999999999994</v>
      </c>
      <c r="R12">
        <f>AVERAGE(GC_esters_raw!J59:J60)</f>
        <v>12.853</v>
      </c>
      <c r="S12">
        <f>AVERAGE(GC_esters_raw!K59:K60)</f>
        <v>6.06</v>
      </c>
      <c r="T12">
        <f>AVERAGE(GC_esters_raw!L59:L60)</f>
        <v>73.025000000000006</v>
      </c>
      <c r="U12">
        <f>AVERAGE(GC_esters_raw!M59:M60)</f>
        <v>0.76200000000000001</v>
      </c>
      <c r="V12">
        <f>AVERAGE(GC_esters_raw!N59:N60)</f>
        <v>7.407</v>
      </c>
      <c r="W12">
        <f>AVERAGE(GC_esters_raw!O59:O60)</f>
        <v>17.251000000000001</v>
      </c>
      <c r="X12">
        <f>STDEV(GC_esters_raw!F62:F63)</f>
        <v>0.6434671708797558</v>
      </c>
      <c r="Y12">
        <f>STDEV(GC_esters_raw!G62:G63)</f>
        <v>0</v>
      </c>
      <c r="Z12">
        <f>STDEV(GC_esters_raw!H62:H63)</f>
        <v>7.0710678118654814E-3</v>
      </c>
      <c r="AA12">
        <f>STDEV(GC_esters_raw!I62:I63)</f>
        <v>7.0710678118654814E-3</v>
      </c>
      <c r="AB12">
        <f>STDEV(GC_esters_raw!J62:J63)</f>
        <v>0.28284271247461928</v>
      </c>
      <c r="AC12">
        <f>STDEV(GC_esters_raw!K62:K63)</f>
        <v>9.8994949366116428E-2</v>
      </c>
      <c r="AD12">
        <f>STDEV(GC_esters_raw!L62:L63)</f>
        <v>1.7748380207782279</v>
      </c>
      <c r="AE12">
        <f>STDEV(GC_esters_raw!M62:M63)</f>
        <v>7.0710678118654814E-3</v>
      </c>
      <c r="AF12">
        <f>STDEV(GC_esters_raw!N62:N63)</f>
        <v>9.8994949366117052E-2</v>
      </c>
      <c r="AG12">
        <f>STDEV(GC_esters_raw!O62:O63)</f>
        <v>0.39597979746446693</v>
      </c>
      <c r="AH12" t="e">
        <f>STDEV(GC_esters_raw!F59:F60)</f>
        <v>#DIV/0!</v>
      </c>
      <c r="AI12" t="e">
        <f>STDEV(GC_esters_raw!G59:G60)</f>
        <v>#DIV/0!</v>
      </c>
      <c r="AJ12" t="e">
        <f>STDEV(GC_esters_raw!H59:H60)</f>
        <v>#DIV/0!</v>
      </c>
      <c r="AK12" t="e">
        <f>STDEV(GC_esters_raw!I59:I60)</f>
        <v>#DIV/0!</v>
      </c>
      <c r="AL12" t="e">
        <f>STDEV(GC_esters_raw!J59:J60)</f>
        <v>#DIV/0!</v>
      </c>
      <c r="AM12" t="e">
        <f>STDEV(GC_esters_raw!K59:K60)</f>
        <v>#DIV/0!</v>
      </c>
      <c r="AN12" t="e">
        <f>STDEV(GC_esters_raw!L59:L60)</f>
        <v>#DIV/0!</v>
      </c>
      <c r="AO12" t="e">
        <f>STDEV(GC_esters_raw!M59:M60)</f>
        <v>#DIV/0!</v>
      </c>
      <c r="AP12" t="e">
        <f>STDEV(GC_esters_raw!N59:N60)</f>
        <v>#DIV/0!</v>
      </c>
      <c r="AQ12" t="e">
        <f>STDEV(GC_esters_raw!O59:O60)</f>
        <v>#DIV/0!</v>
      </c>
    </row>
    <row r="13" spans="1:43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AVERAGE(GC_esters_raw!F68:F69)</f>
        <v>#N/A</v>
      </c>
      <c r="E13" t="e">
        <f>AVERAGE(GC_esters_raw!G68:G69)</f>
        <v>#N/A</v>
      </c>
      <c r="F13" t="e">
        <f>AVERAGE(GC_esters_raw!H68:H69)</f>
        <v>#N/A</v>
      </c>
      <c r="G13" t="e">
        <f>AVERAGE(GC_esters_raw!I68:I69)</f>
        <v>#N/A</v>
      </c>
      <c r="H13" t="e">
        <f>AVERAGE(GC_esters_raw!J68:J69)</f>
        <v>#N/A</v>
      </c>
      <c r="I13" t="e">
        <f>AVERAGE(GC_esters_raw!K68:K69)</f>
        <v>#N/A</v>
      </c>
      <c r="J13" t="e">
        <f>AVERAGE(GC_esters_raw!L68:L69)</f>
        <v>#N/A</v>
      </c>
      <c r="K13" t="e">
        <f>AVERAGE(GC_esters_raw!M68:M69)</f>
        <v>#N/A</v>
      </c>
      <c r="L13" t="e">
        <f>AVERAGE(GC_esters_raw!N68:N69)</f>
        <v>#N/A</v>
      </c>
      <c r="M13" t="e">
        <f>AVERAGE(GC_esters_raw!O68:O69)</f>
        <v>#N/A</v>
      </c>
      <c r="N13" t="e">
        <f>AVERAGE(GC_esters_raw!F70:F71)</f>
        <v>#N/A</v>
      </c>
      <c r="O13" t="e">
        <f>AVERAGE(GC_esters_raw!G70:G71)</f>
        <v>#N/A</v>
      </c>
      <c r="P13" t="e">
        <f>AVERAGE(GC_esters_raw!H70:H71)</f>
        <v>#N/A</v>
      </c>
      <c r="Q13" t="e">
        <f>AVERAGE(GC_esters_raw!I70:I71)</f>
        <v>#N/A</v>
      </c>
      <c r="R13" t="e">
        <f>AVERAGE(GC_esters_raw!J70:J71)</f>
        <v>#N/A</v>
      </c>
      <c r="S13" t="e">
        <f>AVERAGE(GC_esters_raw!K70:K71)</f>
        <v>#N/A</v>
      </c>
      <c r="T13" t="e">
        <f>AVERAGE(GC_esters_raw!L70:L71)</f>
        <v>#N/A</v>
      </c>
      <c r="U13" t="e">
        <f>AVERAGE(GC_esters_raw!M70:M71)</f>
        <v>#N/A</v>
      </c>
      <c r="V13" t="e">
        <f>AVERAGE(GC_esters_raw!N70:N71)</f>
        <v>#N/A</v>
      </c>
      <c r="W13" t="e">
        <f>AVERAGE(GC_esters_raw!O70:O71)</f>
        <v>#N/A</v>
      </c>
      <c r="X13" t="e">
        <f>STDEV(GC_esters_raw!F68:F69)</f>
        <v>#N/A</v>
      </c>
      <c r="Y13" t="e">
        <f>STDEV(GC_esters_raw!G68:G69)</f>
        <v>#N/A</v>
      </c>
      <c r="Z13" t="e">
        <f>STDEV(GC_esters_raw!H68:H69)</f>
        <v>#N/A</v>
      </c>
      <c r="AA13" t="e">
        <f>STDEV(GC_esters_raw!I68:I69)</f>
        <v>#N/A</v>
      </c>
      <c r="AB13" t="e">
        <f>STDEV(GC_esters_raw!J68:J69)</f>
        <v>#N/A</v>
      </c>
      <c r="AC13" t="e">
        <f>STDEV(GC_esters_raw!K68:K69)</f>
        <v>#N/A</v>
      </c>
      <c r="AD13" t="e">
        <f>STDEV(GC_esters_raw!L68:L69)</f>
        <v>#N/A</v>
      </c>
      <c r="AE13" t="e">
        <f>STDEV(GC_esters_raw!M68:M69)</f>
        <v>#N/A</v>
      </c>
      <c r="AF13" t="e">
        <f>STDEV(GC_esters_raw!N68:N69)</f>
        <v>#N/A</v>
      </c>
      <c r="AG13" t="e">
        <f>STDEV(GC_esters_raw!O68:O69)</f>
        <v>#N/A</v>
      </c>
      <c r="AH13" t="e">
        <f>STDEV(GC_esters_raw!F70:F71)</f>
        <v>#N/A</v>
      </c>
      <c r="AI13" t="e">
        <f>STDEV(GC_esters_raw!G70:G71)</f>
        <v>#N/A</v>
      </c>
      <c r="AJ13" t="e">
        <f>STDEV(GC_esters_raw!H70:H71)</f>
        <v>#N/A</v>
      </c>
      <c r="AK13" t="e">
        <f>STDEV(GC_esters_raw!I70:I71)</f>
        <v>#N/A</v>
      </c>
      <c r="AL13" t="e">
        <f>STDEV(GC_esters_raw!J70:J71)</f>
        <v>#N/A</v>
      </c>
      <c r="AM13" t="e">
        <f>STDEV(GC_esters_raw!K70:K71)</f>
        <v>#N/A</v>
      </c>
      <c r="AN13" t="e">
        <f>STDEV(GC_esters_raw!L70:L71)</f>
        <v>#N/A</v>
      </c>
      <c r="AO13" t="e">
        <f>STDEV(GC_esters_raw!M70:M71)</f>
        <v>#N/A</v>
      </c>
      <c r="AP13" t="e">
        <f>STDEV(GC_esters_raw!N70:N71)</f>
        <v>#N/A</v>
      </c>
      <c r="AQ13" t="e">
        <f>STDEV(GC_esters_raw!O70:O71)</f>
        <v>#N/A</v>
      </c>
    </row>
    <row r="14" spans="1:43" x14ac:dyDescent="0.25">
      <c r="A14" s="8">
        <f>CellCount_Viability!A14</f>
        <v>0</v>
      </c>
      <c r="B14" s="69" t="e">
        <f t="shared" si="1"/>
        <v>#VALUE!</v>
      </c>
      <c r="C14" s="63" t="str">
        <f t="shared" si="0"/>
        <v/>
      </c>
      <c r="D14" t="e">
        <f>AVERAGE(GC_esters_raw!F74:F75)</f>
        <v>#N/A</v>
      </c>
      <c r="E14" t="e">
        <f>AVERAGE(GC_esters_raw!G74:G75)</f>
        <v>#N/A</v>
      </c>
      <c r="F14" t="e">
        <f>AVERAGE(GC_esters_raw!H74:H75)</f>
        <v>#N/A</v>
      </c>
      <c r="G14" t="e">
        <f>AVERAGE(GC_esters_raw!I74:I75)</f>
        <v>#N/A</v>
      </c>
      <c r="H14" t="e">
        <f>AVERAGE(GC_esters_raw!J74:J75)</f>
        <v>#N/A</v>
      </c>
      <c r="I14" t="e">
        <f>AVERAGE(GC_esters_raw!K74:K75)</f>
        <v>#N/A</v>
      </c>
      <c r="J14" t="e">
        <f>AVERAGE(GC_esters_raw!L74:L75)</f>
        <v>#N/A</v>
      </c>
      <c r="K14" t="e">
        <f>AVERAGE(GC_esters_raw!M74:M75)</f>
        <v>#N/A</v>
      </c>
      <c r="L14" t="e">
        <f>AVERAGE(GC_esters_raw!N74:N75)</f>
        <v>#N/A</v>
      </c>
      <c r="M14" t="e">
        <f>AVERAGE(GC_esters_raw!O74:O75)</f>
        <v>#N/A</v>
      </c>
      <c r="N14" t="e">
        <f>AVERAGE(GC_esters_raw!F76:F77)</f>
        <v>#N/A</v>
      </c>
      <c r="O14" t="e">
        <f>AVERAGE(GC_esters_raw!G76:G77)</f>
        <v>#N/A</v>
      </c>
      <c r="P14" t="e">
        <f>AVERAGE(GC_esters_raw!H76:H77)</f>
        <v>#N/A</v>
      </c>
      <c r="Q14" t="e">
        <f>AVERAGE(GC_esters_raw!I76:I77)</f>
        <v>#N/A</v>
      </c>
      <c r="R14" t="e">
        <f>AVERAGE(GC_esters_raw!J76:J77)</f>
        <v>#N/A</v>
      </c>
      <c r="S14" t="e">
        <f>AVERAGE(GC_esters_raw!K76:K77)</f>
        <v>#N/A</v>
      </c>
      <c r="T14" t="e">
        <f>AVERAGE(GC_esters_raw!L76:L77)</f>
        <v>#N/A</v>
      </c>
      <c r="U14" t="e">
        <f>AVERAGE(GC_esters_raw!M76:M77)</f>
        <v>#N/A</v>
      </c>
      <c r="V14" t="e">
        <f>AVERAGE(GC_esters_raw!N76:N77)</f>
        <v>#N/A</v>
      </c>
      <c r="W14" t="e">
        <f>AVERAGE(GC_esters_raw!O76:O77)</f>
        <v>#N/A</v>
      </c>
      <c r="X14" t="e">
        <f>STDEV(GC_esters_raw!F74:F75)</f>
        <v>#N/A</v>
      </c>
      <c r="Y14" t="e">
        <f>STDEV(GC_esters_raw!G74:G75)</f>
        <v>#N/A</v>
      </c>
      <c r="Z14" t="e">
        <f>STDEV(GC_esters_raw!H74:H75)</f>
        <v>#N/A</v>
      </c>
      <c r="AA14" t="e">
        <f>STDEV(GC_esters_raw!I74:I75)</f>
        <v>#N/A</v>
      </c>
      <c r="AB14" t="e">
        <f>STDEV(GC_esters_raw!J74:J75)</f>
        <v>#N/A</v>
      </c>
      <c r="AC14" t="e">
        <f>STDEV(GC_esters_raw!K74:K75)</f>
        <v>#N/A</v>
      </c>
      <c r="AD14" t="e">
        <f>STDEV(GC_esters_raw!L74:L75)</f>
        <v>#N/A</v>
      </c>
      <c r="AE14" t="e">
        <f>STDEV(GC_esters_raw!M74:M75)</f>
        <v>#N/A</v>
      </c>
      <c r="AF14" t="e">
        <f>STDEV(GC_esters_raw!N74:N75)</f>
        <v>#N/A</v>
      </c>
      <c r="AG14" t="e">
        <f>STDEV(GC_esters_raw!O74:O75)</f>
        <v>#N/A</v>
      </c>
      <c r="AH14" t="e">
        <f>STDEV(GC_esters_raw!F76:F77)</f>
        <v>#N/A</v>
      </c>
      <c r="AI14" t="e">
        <f>STDEV(GC_esters_raw!G76:G77)</f>
        <v>#N/A</v>
      </c>
      <c r="AJ14" t="e">
        <f>STDEV(GC_esters_raw!H76:H77)</f>
        <v>#N/A</v>
      </c>
      <c r="AK14" t="e">
        <f>STDEV(GC_esters_raw!I76:I77)</f>
        <v>#N/A</v>
      </c>
      <c r="AL14" t="e">
        <f>STDEV(GC_esters_raw!J76:J77)</f>
        <v>#N/A</v>
      </c>
      <c r="AM14" t="e">
        <f>STDEV(GC_esters_raw!K76:K77)</f>
        <v>#N/A</v>
      </c>
      <c r="AN14" t="e">
        <f>STDEV(GC_esters_raw!L76:L77)</f>
        <v>#N/A</v>
      </c>
      <c r="AO14" t="e">
        <f>STDEV(GC_esters_raw!M76:M77)</f>
        <v>#N/A</v>
      </c>
      <c r="AP14" t="e">
        <f>STDEV(GC_esters_raw!N76:N77)</f>
        <v>#N/A</v>
      </c>
      <c r="AQ14" t="e">
        <f>STDEV(GC_esters_raw!O76:O77)</f>
        <v>#N/A</v>
      </c>
    </row>
    <row r="15" spans="1:43" x14ac:dyDescent="0.25">
      <c r="A15" s="8">
        <f>CellCount_Viability!A15</f>
        <v>0</v>
      </c>
      <c r="B15" s="69" t="e">
        <f t="shared" si="1"/>
        <v>#VALUE!</v>
      </c>
      <c r="C15" s="63" t="str">
        <f t="shared" si="0"/>
        <v/>
      </c>
      <c r="D15" t="e">
        <f>AVERAGE(GC_esters_raw!F80:F81)</f>
        <v>#N/A</v>
      </c>
      <c r="E15" t="e">
        <f>AVERAGE(GC_esters_raw!G80:G81)</f>
        <v>#N/A</v>
      </c>
      <c r="F15" t="e">
        <f>AVERAGE(GC_esters_raw!H80:H81)</f>
        <v>#N/A</v>
      </c>
      <c r="G15" t="e">
        <f>AVERAGE(GC_esters_raw!I80:I81)</f>
        <v>#N/A</v>
      </c>
      <c r="H15" t="e">
        <f>AVERAGE(GC_esters_raw!J80:J81)</f>
        <v>#N/A</v>
      </c>
      <c r="I15" t="e">
        <f>AVERAGE(GC_esters_raw!K80:K81)</f>
        <v>#N/A</v>
      </c>
      <c r="J15" t="e">
        <f>AVERAGE(GC_esters_raw!L80:L81)</f>
        <v>#N/A</v>
      </c>
      <c r="K15" t="e">
        <f>AVERAGE(GC_esters_raw!M80:M81)</f>
        <v>#N/A</v>
      </c>
      <c r="L15" t="e">
        <f>AVERAGE(GC_esters_raw!N80:N81)</f>
        <v>#N/A</v>
      </c>
      <c r="M15" t="e">
        <f>AVERAGE(GC_esters_raw!O80:O81)</f>
        <v>#N/A</v>
      </c>
      <c r="N15" t="e">
        <f>AVERAGE(GC_esters_raw!F82:F83)</f>
        <v>#N/A</v>
      </c>
      <c r="O15" t="e">
        <f>AVERAGE(GC_esters_raw!G82:G83)</f>
        <v>#N/A</v>
      </c>
      <c r="P15" t="e">
        <f>AVERAGE(GC_esters_raw!H82:H83)</f>
        <v>#N/A</v>
      </c>
      <c r="Q15" t="e">
        <f>AVERAGE(GC_esters_raw!I82:I83)</f>
        <v>#N/A</v>
      </c>
      <c r="R15" t="e">
        <f>AVERAGE(GC_esters_raw!J82:J83)</f>
        <v>#N/A</v>
      </c>
      <c r="S15" t="e">
        <f>AVERAGE(GC_esters_raw!K82:K83)</f>
        <v>#N/A</v>
      </c>
      <c r="T15" t="e">
        <f>AVERAGE(GC_esters_raw!L82:L83)</f>
        <v>#N/A</v>
      </c>
      <c r="U15" t="e">
        <f>AVERAGE(GC_esters_raw!M82:M83)</f>
        <v>#N/A</v>
      </c>
      <c r="V15" t="e">
        <f>AVERAGE(GC_esters_raw!N82:N83)</f>
        <v>#N/A</v>
      </c>
      <c r="W15" t="e">
        <f>AVERAGE(GC_esters_raw!O82:O83)</f>
        <v>#N/A</v>
      </c>
      <c r="X15" t="e">
        <f>STDEV(GC_esters_raw!F80:F81)</f>
        <v>#N/A</v>
      </c>
      <c r="Y15" t="e">
        <f>STDEV(GC_esters_raw!G80:G81)</f>
        <v>#N/A</v>
      </c>
      <c r="Z15" t="e">
        <f>STDEV(GC_esters_raw!H80:H81)</f>
        <v>#N/A</v>
      </c>
      <c r="AA15" t="e">
        <f>STDEV(GC_esters_raw!I80:I81)</f>
        <v>#N/A</v>
      </c>
      <c r="AB15" t="e">
        <f>STDEV(GC_esters_raw!J80:J81)</f>
        <v>#N/A</v>
      </c>
      <c r="AC15" t="e">
        <f>STDEV(GC_esters_raw!K80:K81)</f>
        <v>#N/A</v>
      </c>
      <c r="AD15" t="e">
        <f>STDEV(GC_esters_raw!L80:L81)</f>
        <v>#N/A</v>
      </c>
      <c r="AE15" t="e">
        <f>STDEV(GC_esters_raw!M80:M81)</f>
        <v>#N/A</v>
      </c>
      <c r="AF15" t="e">
        <f>STDEV(GC_esters_raw!N80:N81)</f>
        <v>#N/A</v>
      </c>
      <c r="AG15" t="e">
        <f>STDEV(GC_esters_raw!O80:O81)</f>
        <v>#N/A</v>
      </c>
      <c r="AH15" t="e">
        <f>STDEV(GC_esters_raw!F82:F83)</f>
        <v>#N/A</v>
      </c>
      <c r="AI15" t="e">
        <f>STDEV(GC_esters_raw!G82:G83)</f>
        <v>#N/A</v>
      </c>
      <c r="AJ15" t="e">
        <f>STDEV(GC_esters_raw!H82:H83)</f>
        <v>#N/A</v>
      </c>
      <c r="AK15" t="e">
        <f>STDEV(GC_esters_raw!I82:I83)</f>
        <v>#N/A</v>
      </c>
      <c r="AL15" t="e">
        <f>STDEV(GC_esters_raw!J82:J83)</f>
        <v>#N/A</v>
      </c>
      <c r="AM15" t="e">
        <f>STDEV(GC_esters_raw!K82:K83)</f>
        <v>#N/A</v>
      </c>
      <c r="AN15" t="e">
        <f>STDEV(GC_esters_raw!L82:L83)</f>
        <v>#N/A</v>
      </c>
      <c r="AO15" t="e">
        <f>STDEV(GC_esters_raw!M82:M83)</f>
        <v>#N/A</v>
      </c>
      <c r="AP15" t="e">
        <f>STDEV(GC_esters_raw!N82:N83)</f>
        <v>#N/A</v>
      </c>
      <c r="AQ15" t="e">
        <f>STDEV(GC_esters_raw!O82:O83)</f>
        <v>#N/A</v>
      </c>
    </row>
    <row r="16" spans="1:43" x14ac:dyDescent="0.25">
      <c r="A16" s="8">
        <f>CellCount_Viability!A16</f>
        <v>0</v>
      </c>
      <c r="B16" s="69" t="e">
        <f t="shared" si="1"/>
        <v>#VALUE!</v>
      </c>
      <c r="C16" s="63" t="str">
        <f t="shared" si="0"/>
        <v/>
      </c>
      <c r="D16" t="e">
        <f>AVERAGE(GC_esters_raw!F86:F87)</f>
        <v>#N/A</v>
      </c>
      <c r="E16" t="e">
        <f>AVERAGE(GC_esters_raw!G86:G87)</f>
        <v>#N/A</v>
      </c>
      <c r="F16" t="e">
        <f>AVERAGE(GC_esters_raw!H86:H87)</f>
        <v>#N/A</v>
      </c>
      <c r="G16" t="e">
        <f>AVERAGE(GC_esters_raw!I86:I87)</f>
        <v>#N/A</v>
      </c>
      <c r="H16" t="e">
        <f>AVERAGE(GC_esters_raw!J86:J87)</f>
        <v>#N/A</v>
      </c>
      <c r="I16" t="e">
        <f>AVERAGE(GC_esters_raw!K86:K87)</f>
        <v>#N/A</v>
      </c>
      <c r="J16" t="e">
        <f>AVERAGE(GC_esters_raw!L86:L87)</f>
        <v>#N/A</v>
      </c>
      <c r="K16" t="e">
        <f>AVERAGE(GC_esters_raw!M86:M87)</f>
        <v>#N/A</v>
      </c>
      <c r="L16" t="e">
        <f>AVERAGE(GC_esters_raw!N86:N87)</f>
        <v>#N/A</v>
      </c>
      <c r="M16" t="e">
        <f>AVERAGE(GC_esters_raw!O86:O87)</f>
        <v>#N/A</v>
      </c>
      <c r="N16" t="e">
        <f>AVERAGE(GC_esters_raw!F88:F89)</f>
        <v>#N/A</v>
      </c>
      <c r="O16" t="e">
        <f>AVERAGE(GC_esters_raw!G88:G89)</f>
        <v>#N/A</v>
      </c>
      <c r="P16" t="e">
        <f>AVERAGE(GC_esters_raw!H88:H89)</f>
        <v>#N/A</v>
      </c>
      <c r="Q16" t="e">
        <f>AVERAGE(GC_esters_raw!I88:I89)</f>
        <v>#N/A</v>
      </c>
      <c r="R16" t="e">
        <f>AVERAGE(GC_esters_raw!J88:J89)</f>
        <v>#N/A</v>
      </c>
      <c r="S16" t="e">
        <f>AVERAGE(GC_esters_raw!K88:K89)</f>
        <v>#N/A</v>
      </c>
      <c r="T16" t="e">
        <f>AVERAGE(GC_esters_raw!L88:L89)</f>
        <v>#N/A</v>
      </c>
      <c r="U16" t="e">
        <f>AVERAGE(GC_esters_raw!M88:M89)</f>
        <v>#N/A</v>
      </c>
      <c r="V16" t="e">
        <f>AVERAGE(GC_esters_raw!N88:N89)</f>
        <v>#N/A</v>
      </c>
      <c r="W16" t="e">
        <f>AVERAGE(GC_esters_raw!O88:O89)</f>
        <v>#N/A</v>
      </c>
      <c r="X16" t="e">
        <f>STDEV(GC_esters_raw!F86:F87)</f>
        <v>#N/A</v>
      </c>
      <c r="Y16" t="e">
        <f>STDEV(GC_esters_raw!G86:G87)</f>
        <v>#N/A</v>
      </c>
      <c r="Z16" t="e">
        <f>STDEV(GC_esters_raw!H86:H87)</f>
        <v>#N/A</v>
      </c>
      <c r="AA16" t="e">
        <f>STDEV(GC_esters_raw!I86:I87)</f>
        <v>#N/A</v>
      </c>
      <c r="AB16" t="e">
        <f>STDEV(GC_esters_raw!J86:J87)</f>
        <v>#N/A</v>
      </c>
      <c r="AC16" t="e">
        <f>STDEV(GC_esters_raw!K86:K87)</f>
        <v>#N/A</v>
      </c>
      <c r="AD16" t="e">
        <f>STDEV(GC_esters_raw!L86:L87)</f>
        <v>#N/A</v>
      </c>
      <c r="AE16" t="e">
        <f>STDEV(GC_esters_raw!M86:M87)</f>
        <v>#N/A</v>
      </c>
      <c r="AF16" t="e">
        <f>STDEV(GC_esters_raw!N86:N87)</f>
        <v>#N/A</v>
      </c>
      <c r="AG16" t="e">
        <f>STDEV(GC_esters_raw!O86:O87)</f>
        <v>#N/A</v>
      </c>
      <c r="AH16" t="e">
        <f>STDEV(GC_esters_raw!F88:F89)</f>
        <v>#N/A</v>
      </c>
      <c r="AI16" t="e">
        <f>STDEV(GC_esters_raw!G88:G89)</f>
        <v>#N/A</v>
      </c>
      <c r="AJ16" t="e">
        <f>STDEV(GC_esters_raw!H88:H89)</f>
        <v>#N/A</v>
      </c>
      <c r="AK16" t="e">
        <f>STDEV(GC_esters_raw!I88:I89)</f>
        <v>#N/A</v>
      </c>
      <c r="AL16" t="e">
        <f>STDEV(GC_esters_raw!J88:J89)</f>
        <v>#N/A</v>
      </c>
      <c r="AM16" t="e">
        <f>STDEV(GC_esters_raw!K88:K89)</f>
        <v>#N/A</v>
      </c>
      <c r="AN16" t="e">
        <f>STDEV(GC_esters_raw!L88:L89)</f>
        <v>#N/A</v>
      </c>
      <c r="AO16" t="e">
        <f>STDEV(GC_esters_raw!M88:M89)</f>
        <v>#N/A</v>
      </c>
      <c r="AP16" t="e">
        <f>STDEV(GC_esters_raw!N88:N89)</f>
        <v>#N/A</v>
      </c>
      <c r="AQ16" t="e">
        <f>STDEV(GC_esters_raw!O88:O89)</f>
        <v>#N/A</v>
      </c>
    </row>
    <row r="17" spans="1:43" x14ac:dyDescent="0.25">
      <c r="A17" s="8">
        <f>CellCount_Viability!A17</f>
        <v>0</v>
      </c>
      <c r="B17" s="69" t="e">
        <f t="shared" si="1"/>
        <v>#VALUE!</v>
      </c>
      <c r="C17" s="63" t="str">
        <f t="shared" si="0"/>
        <v/>
      </c>
      <c r="D17" t="e">
        <f>AVERAGE(GC_esters_raw!F92:F93)</f>
        <v>#N/A</v>
      </c>
      <c r="E17" t="e">
        <f>AVERAGE(GC_esters_raw!G92:G93)</f>
        <v>#N/A</v>
      </c>
      <c r="F17" t="e">
        <f>AVERAGE(GC_esters_raw!H92:H93)</f>
        <v>#N/A</v>
      </c>
      <c r="G17" t="e">
        <f>AVERAGE(GC_esters_raw!I92:I93)</f>
        <v>#N/A</v>
      </c>
      <c r="H17" t="e">
        <f>AVERAGE(GC_esters_raw!J92:J93)</f>
        <v>#N/A</v>
      </c>
      <c r="I17" t="e">
        <f>AVERAGE(GC_esters_raw!K92:K93)</f>
        <v>#N/A</v>
      </c>
      <c r="J17" t="e">
        <f>AVERAGE(GC_esters_raw!L92:L93)</f>
        <v>#N/A</v>
      </c>
      <c r="K17" t="e">
        <f>AVERAGE(GC_esters_raw!M92:M93)</f>
        <v>#N/A</v>
      </c>
      <c r="L17" t="e">
        <f>AVERAGE(GC_esters_raw!N92:N93)</f>
        <v>#N/A</v>
      </c>
      <c r="M17" t="e">
        <f>AVERAGE(GC_esters_raw!O92:O93)</f>
        <v>#N/A</v>
      </c>
      <c r="N17" t="e">
        <f>AVERAGE(GC_esters_raw!F94:F95)</f>
        <v>#N/A</v>
      </c>
      <c r="O17" t="e">
        <f>AVERAGE(GC_esters_raw!G94:G95)</f>
        <v>#N/A</v>
      </c>
      <c r="P17" t="e">
        <f>AVERAGE(GC_esters_raw!H94:H95)</f>
        <v>#N/A</v>
      </c>
      <c r="Q17" t="e">
        <f>AVERAGE(GC_esters_raw!I94:I95)</f>
        <v>#N/A</v>
      </c>
      <c r="R17" t="e">
        <f>AVERAGE(GC_esters_raw!J94:J95)</f>
        <v>#N/A</v>
      </c>
      <c r="S17" t="e">
        <f>AVERAGE(GC_esters_raw!K94:K95)</f>
        <v>#N/A</v>
      </c>
      <c r="T17" t="e">
        <f>AVERAGE(GC_esters_raw!L94:L95)</f>
        <v>#N/A</v>
      </c>
      <c r="U17" t="e">
        <f>AVERAGE(GC_esters_raw!M94:M95)</f>
        <v>#N/A</v>
      </c>
      <c r="V17" t="e">
        <f>AVERAGE(GC_esters_raw!N94:N95)</f>
        <v>#N/A</v>
      </c>
      <c r="W17" t="e">
        <f>AVERAGE(GC_esters_raw!O94:O95)</f>
        <v>#N/A</v>
      </c>
      <c r="X17" t="e">
        <f>STDEV(GC_esters_raw!F92:F93)</f>
        <v>#N/A</v>
      </c>
      <c r="Y17" t="e">
        <f>STDEV(GC_esters_raw!G92:G93)</f>
        <v>#N/A</v>
      </c>
      <c r="Z17" t="e">
        <f>STDEV(GC_esters_raw!H92:H93)</f>
        <v>#N/A</v>
      </c>
      <c r="AA17" t="e">
        <f>STDEV(GC_esters_raw!I92:I93)</f>
        <v>#N/A</v>
      </c>
      <c r="AB17" t="e">
        <f>STDEV(GC_esters_raw!J92:J93)</f>
        <v>#N/A</v>
      </c>
      <c r="AC17" t="e">
        <f>STDEV(GC_esters_raw!K92:K93)</f>
        <v>#N/A</v>
      </c>
      <c r="AD17" t="e">
        <f>STDEV(GC_esters_raw!L92:L93)</f>
        <v>#N/A</v>
      </c>
      <c r="AE17" t="e">
        <f>STDEV(GC_esters_raw!M92:M93)</f>
        <v>#N/A</v>
      </c>
      <c r="AF17" t="e">
        <f>STDEV(GC_esters_raw!N92:N93)</f>
        <v>#N/A</v>
      </c>
      <c r="AG17" t="e">
        <f>STDEV(GC_esters_raw!O92:O93)</f>
        <v>#N/A</v>
      </c>
      <c r="AH17" t="e">
        <f>STDEV(GC_esters_raw!F94:F95)</f>
        <v>#N/A</v>
      </c>
      <c r="AI17" t="e">
        <f>STDEV(GC_esters_raw!G94:G95)</f>
        <v>#N/A</v>
      </c>
      <c r="AJ17" t="e">
        <f>STDEV(GC_esters_raw!H94:H95)</f>
        <v>#N/A</v>
      </c>
      <c r="AK17" t="e">
        <f>STDEV(GC_esters_raw!I94:I95)</f>
        <v>#N/A</v>
      </c>
      <c r="AL17" t="e">
        <f>STDEV(GC_esters_raw!J94:J95)</f>
        <v>#N/A</v>
      </c>
      <c r="AM17" t="e">
        <f>STDEV(GC_esters_raw!K94:K95)</f>
        <v>#N/A</v>
      </c>
      <c r="AN17" t="e">
        <f>STDEV(GC_esters_raw!L94:L95)</f>
        <v>#N/A</v>
      </c>
      <c r="AO17" t="e">
        <f>STDEV(GC_esters_raw!M94:M95)</f>
        <v>#N/A</v>
      </c>
      <c r="AP17" t="e">
        <f>STDEV(GC_esters_raw!N94:N95)</f>
        <v>#N/A</v>
      </c>
      <c r="AQ17" t="e">
        <f>STDEV(GC_esters_raw!O94:O95)</f>
        <v>#N/A</v>
      </c>
    </row>
    <row r="18" spans="1:43" x14ac:dyDescent="0.25">
      <c r="A18" s="8">
        <f>CellCount_Viability!A18</f>
        <v>0</v>
      </c>
      <c r="B18" s="69" t="e">
        <f t="shared" si="1"/>
        <v>#VALUE!</v>
      </c>
      <c r="C18" s="63" t="str">
        <f t="shared" si="0"/>
        <v/>
      </c>
      <c r="D18" t="e">
        <f>AVERAGE(GC_esters_raw!F98:F99)</f>
        <v>#N/A</v>
      </c>
      <c r="E18" t="e">
        <f>AVERAGE(GC_esters_raw!G98:G99)</f>
        <v>#N/A</v>
      </c>
      <c r="F18" t="e">
        <f>AVERAGE(GC_esters_raw!H98:H99)</f>
        <v>#N/A</v>
      </c>
      <c r="G18" t="e">
        <f>AVERAGE(GC_esters_raw!I98:I99)</f>
        <v>#N/A</v>
      </c>
      <c r="H18" t="e">
        <f>AVERAGE(GC_esters_raw!J98:J99)</f>
        <v>#N/A</v>
      </c>
      <c r="I18" t="e">
        <f>AVERAGE(GC_esters_raw!K98:K99)</f>
        <v>#N/A</v>
      </c>
      <c r="J18" t="e">
        <f>AVERAGE(GC_esters_raw!L98:L99)</f>
        <v>#N/A</v>
      </c>
      <c r="K18" t="e">
        <f>AVERAGE(GC_esters_raw!M98:M99)</f>
        <v>#N/A</v>
      </c>
      <c r="L18" t="e">
        <f>AVERAGE(GC_esters_raw!N98:N99)</f>
        <v>#N/A</v>
      </c>
      <c r="M18" t="e">
        <f>AVERAGE(GC_esters_raw!O98:O99)</f>
        <v>#N/A</v>
      </c>
      <c r="N18" t="e">
        <f>AVERAGE(GC_esters_raw!F100:F101)</f>
        <v>#N/A</v>
      </c>
      <c r="O18" t="e">
        <f>AVERAGE(GC_esters_raw!G100:G101)</f>
        <v>#N/A</v>
      </c>
      <c r="P18" t="e">
        <f>AVERAGE(GC_esters_raw!H100:H101)</f>
        <v>#N/A</v>
      </c>
      <c r="Q18" t="e">
        <f>AVERAGE(GC_esters_raw!I100:I101)</f>
        <v>#N/A</v>
      </c>
      <c r="R18" t="e">
        <f>AVERAGE(GC_esters_raw!J100:J101)</f>
        <v>#N/A</v>
      </c>
      <c r="S18" t="e">
        <f>AVERAGE(GC_esters_raw!K100:K101)</f>
        <v>#N/A</v>
      </c>
      <c r="T18" t="e">
        <f>AVERAGE(GC_esters_raw!L100:L101)</f>
        <v>#N/A</v>
      </c>
      <c r="U18" t="e">
        <f>AVERAGE(GC_esters_raw!M100:M101)</f>
        <v>#N/A</v>
      </c>
      <c r="V18" t="e">
        <f>AVERAGE(GC_esters_raw!N100:N101)</f>
        <v>#N/A</v>
      </c>
      <c r="W18" t="e">
        <f>AVERAGE(GC_esters_raw!O100:O101)</f>
        <v>#N/A</v>
      </c>
      <c r="X18" t="e">
        <f>STDEV(GC_esters_raw!F98:F99)</f>
        <v>#N/A</v>
      </c>
      <c r="Y18" t="e">
        <f>STDEV(GC_esters_raw!G98:G99)</f>
        <v>#N/A</v>
      </c>
      <c r="Z18" t="e">
        <f>STDEV(GC_esters_raw!H98:H99)</f>
        <v>#N/A</v>
      </c>
      <c r="AA18" t="e">
        <f>STDEV(GC_esters_raw!I98:I99)</f>
        <v>#N/A</v>
      </c>
      <c r="AB18" t="e">
        <f>STDEV(GC_esters_raw!J98:J99)</f>
        <v>#N/A</v>
      </c>
      <c r="AC18" t="e">
        <f>STDEV(GC_esters_raw!K98:K99)</f>
        <v>#N/A</v>
      </c>
      <c r="AD18" t="e">
        <f>STDEV(GC_esters_raw!L98:L99)</f>
        <v>#N/A</v>
      </c>
      <c r="AE18" t="e">
        <f>STDEV(GC_esters_raw!M98:M99)</f>
        <v>#N/A</v>
      </c>
      <c r="AF18" t="e">
        <f>STDEV(GC_esters_raw!N98:N99)</f>
        <v>#N/A</v>
      </c>
      <c r="AG18" t="e">
        <f>STDEV(GC_esters_raw!O98:O99)</f>
        <v>#N/A</v>
      </c>
      <c r="AH18" t="e">
        <f>STDEV(GC_esters_raw!F100:F101)</f>
        <v>#N/A</v>
      </c>
      <c r="AI18" t="e">
        <f>STDEV(GC_esters_raw!G100:G101)</f>
        <v>#N/A</v>
      </c>
      <c r="AJ18" t="e">
        <f>STDEV(GC_esters_raw!H100:H101)</f>
        <v>#N/A</v>
      </c>
      <c r="AK18" t="e">
        <f>STDEV(GC_esters_raw!I100:I101)</f>
        <v>#N/A</v>
      </c>
      <c r="AL18" t="e">
        <f>STDEV(GC_esters_raw!J100:J101)</f>
        <v>#N/A</v>
      </c>
      <c r="AM18" t="e">
        <f>STDEV(GC_esters_raw!K100:K101)</f>
        <v>#N/A</v>
      </c>
      <c r="AN18" t="e">
        <f>STDEV(GC_esters_raw!L100:L101)</f>
        <v>#N/A</v>
      </c>
      <c r="AO18" t="e">
        <f>STDEV(GC_esters_raw!M100:M101)</f>
        <v>#N/A</v>
      </c>
      <c r="AP18" t="e">
        <f>STDEV(GC_esters_raw!N100:N101)</f>
        <v>#N/A</v>
      </c>
      <c r="AQ18" t="e">
        <f>STDEV(GC_esters_raw!O100:O101)</f>
        <v>#N/A</v>
      </c>
    </row>
    <row r="19" spans="1:43" x14ac:dyDescent="0.25">
      <c r="A19" s="8">
        <f>CellCount_Viability!A19</f>
        <v>0</v>
      </c>
      <c r="B19" s="69" t="e">
        <f t="shared" si="1"/>
        <v>#VALUE!</v>
      </c>
      <c r="C19" s="63" t="str">
        <f t="shared" si="0"/>
        <v/>
      </c>
      <c r="D19" t="e">
        <f>AVERAGE(GC_esters_raw!F104:F105)</f>
        <v>#N/A</v>
      </c>
      <c r="E19" t="e">
        <f>AVERAGE(GC_esters_raw!G104:G105)</f>
        <v>#N/A</v>
      </c>
      <c r="F19" t="e">
        <f>AVERAGE(GC_esters_raw!H104:H105)</f>
        <v>#N/A</v>
      </c>
      <c r="G19" t="e">
        <f>AVERAGE(GC_esters_raw!I104:I105)</f>
        <v>#N/A</v>
      </c>
      <c r="H19" t="e">
        <f>AVERAGE(GC_esters_raw!J104:J105)</f>
        <v>#N/A</v>
      </c>
      <c r="I19" t="e">
        <f>AVERAGE(GC_esters_raw!K104:K105)</f>
        <v>#N/A</v>
      </c>
      <c r="J19" t="e">
        <f>AVERAGE(GC_esters_raw!L104:L105)</f>
        <v>#N/A</v>
      </c>
      <c r="K19" t="e">
        <f>AVERAGE(GC_esters_raw!M104:M105)</f>
        <v>#N/A</v>
      </c>
      <c r="L19" t="e">
        <f>AVERAGE(GC_esters_raw!N104:N105)</f>
        <v>#N/A</v>
      </c>
      <c r="M19" t="e">
        <f>AVERAGE(GC_esters_raw!O104:O105)</f>
        <v>#N/A</v>
      </c>
      <c r="N19" t="e">
        <f>AVERAGE(GC_esters_raw!F106:F107)</f>
        <v>#N/A</v>
      </c>
      <c r="O19" t="e">
        <f>AVERAGE(GC_esters_raw!G106:G107)</f>
        <v>#N/A</v>
      </c>
      <c r="P19" t="e">
        <f>AVERAGE(GC_esters_raw!H106:H107)</f>
        <v>#N/A</v>
      </c>
      <c r="Q19" t="e">
        <f>AVERAGE(GC_esters_raw!I106:I107)</f>
        <v>#N/A</v>
      </c>
      <c r="R19" t="e">
        <f>AVERAGE(GC_esters_raw!J106:J107)</f>
        <v>#N/A</v>
      </c>
      <c r="S19" t="e">
        <f>AVERAGE(GC_esters_raw!K106:K107)</f>
        <v>#N/A</v>
      </c>
      <c r="T19" t="e">
        <f>AVERAGE(GC_esters_raw!L106:L107)</f>
        <v>#N/A</v>
      </c>
      <c r="U19" t="e">
        <f>AVERAGE(GC_esters_raw!M106:M107)</f>
        <v>#N/A</v>
      </c>
      <c r="V19" t="e">
        <f>AVERAGE(GC_esters_raw!N106:N107)</f>
        <v>#N/A</v>
      </c>
      <c r="W19" t="e">
        <f>AVERAGE(GC_esters_raw!O106:O107)</f>
        <v>#N/A</v>
      </c>
      <c r="X19" t="e">
        <f>STDEV(GC_esters_raw!F104:F105)</f>
        <v>#N/A</v>
      </c>
      <c r="Y19" t="e">
        <f>STDEV(GC_esters_raw!G104:G105)</f>
        <v>#N/A</v>
      </c>
      <c r="Z19" t="e">
        <f>STDEV(GC_esters_raw!H104:H105)</f>
        <v>#N/A</v>
      </c>
      <c r="AA19" t="e">
        <f>STDEV(GC_esters_raw!I104:I105)</f>
        <v>#N/A</v>
      </c>
      <c r="AB19" t="e">
        <f>STDEV(GC_esters_raw!J104:J105)</f>
        <v>#N/A</v>
      </c>
      <c r="AC19" t="e">
        <f>STDEV(GC_esters_raw!K104:K105)</f>
        <v>#N/A</v>
      </c>
      <c r="AD19" t="e">
        <f>STDEV(GC_esters_raw!L104:L105)</f>
        <v>#N/A</v>
      </c>
      <c r="AE19" t="e">
        <f>STDEV(GC_esters_raw!M104:M105)</f>
        <v>#N/A</v>
      </c>
      <c r="AF19" t="e">
        <f>STDEV(GC_esters_raw!N104:N105)</f>
        <v>#N/A</v>
      </c>
      <c r="AG19" t="e">
        <f>STDEV(GC_esters_raw!O104:O105)</f>
        <v>#N/A</v>
      </c>
      <c r="AH19" t="e">
        <f>STDEV(GC_esters_raw!F106:F107)</f>
        <v>#N/A</v>
      </c>
      <c r="AI19" t="e">
        <f>STDEV(GC_esters_raw!G106:G107)</f>
        <v>#N/A</v>
      </c>
      <c r="AJ19" t="e">
        <f>STDEV(GC_esters_raw!H106:H107)</f>
        <v>#N/A</v>
      </c>
      <c r="AK19" t="e">
        <f>STDEV(GC_esters_raw!I106:I107)</f>
        <v>#N/A</v>
      </c>
      <c r="AL19" t="e">
        <f>STDEV(GC_esters_raw!J106:J107)</f>
        <v>#N/A</v>
      </c>
      <c r="AM19" t="e">
        <f>STDEV(GC_esters_raw!K106:K107)</f>
        <v>#N/A</v>
      </c>
      <c r="AN19" t="e">
        <f>STDEV(GC_esters_raw!L106:L107)</f>
        <v>#N/A</v>
      </c>
      <c r="AO19" t="e">
        <f>STDEV(GC_esters_raw!M106:M107)</f>
        <v>#N/A</v>
      </c>
      <c r="AP19" t="e">
        <f>STDEV(GC_esters_raw!N106:N107)</f>
        <v>#N/A</v>
      </c>
      <c r="AQ19" t="e">
        <f>STDEV(GC_esters_raw!O106:O107)</f>
        <v>#N/A</v>
      </c>
    </row>
    <row r="20" spans="1:43" x14ac:dyDescent="0.25">
      <c r="A20" s="8">
        <f>CellCount_Viability!A20</f>
        <v>0</v>
      </c>
      <c r="B20" s="69" t="e">
        <f t="shared" si="1"/>
        <v>#VALUE!</v>
      </c>
      <c r="C20" s="63" t="str">
        <f t="shared" si="0"/>
        <v/>
      </c>
      <c r="D20" t="e">
        <f>AVERAGE(GC_esters_raw!F110:F111)</f>
        <v>#N/A</v>
      </c>
      <c r="E20" t="e">
        <f>AVERAGE(GC_esters_raw!G110:G111)</f>
        <v>#N/A</v>
      </c>
      <c r="F20" t="e">
        <f>AVERAGE(GC_esters_raw!H110:H111)</f>
        <v>#N/A</v>
      </c>
      <c r="G20" t="e">
        <f>AVERAGE(GC_esters_raw!I110:I111)</f>
        <v>#N/A</v>
      </c>
      <c r="H20" t="e">
        <f>AVERAGE(GC_esters_raw!J110:J111)</f>
        <v>#N/A</v>
      </c>
      <c r="I20" t="e">
        <f>AVERAGE(GC_esters_raw!K110:K111)</f>
        <v>#N/A</v>
      </c>
      <c r="J20" t="e">
        <f>AVERAGE(GC_esters_raw!L110:L111)</f>
        <v>#N/A</v>
      </c>
      <c r="K20" t="e">
        <f>AVERAGE(GC_esters_raw!M110:M111)</f>
        <v>#N/A</v>
      </c>
      <c r="L20" t="e">
        <f>AVERAGE(GC_esters_raw!N110:N111)</f>
        <v>#N/A</v>
      </c>
      <c r="M20" t="e">
        <f>AVERAGE(GC_esters_raw!O110:O111)</f>
        <v>#N/A</v>
      </c>
      <c r="N20" t="e">
        <f>AVERAGE(GC_esters_raw!F112:F113)</f>
        <v>#N/A</v>
      </c>
      <c r="O20" t="e">
        <f>AVERAGE(GC_esters_raw!G112:G113)</f>
        <v>#N/A</v>
      </c>
      <c r="P20" t="e">
        <f>AVERAGE(GC_esters_raw!H112:H113)</f>
        <v>#N/A</v>
      </c>
      <c r="Q20" t="e">
        <f>AVERAGE(GC_esters_raw!I112:I113)</f>
        <v>#N/A</v>
      </c>
      <c r="R20" t="e">
        <f>AVERAGE(GC_esters_raw!J112:J113)</f>
        <v>#N/A</v>
      </c>
      <c r="S20" t="e">
        <f>AVERAGE(GC_esters_raw!K112:K113)</f>
        <v>#N/A</v>
      </c>
      <c r="T20" t="e">
        <f>AVERAGE(GC_esters_raw!L112:L113)</f>
        <v>#N/A</v>
      </c>
      <c r="U20" t="e">
        <f>AVERAGE(GC_esters_raw!M112:M113)</f>
        <v>#N/A</v>
      </c>
      <c r="V20" t="e">
        <f>AVERAGE(GC_esters_raw!N112:N113)</f>
        <v>#N/A</v>
      </c>
      <c r="W20" t="e">
        <f>AVERAGE(GC_esters_raw!O112:O113)</f>
        <v>#N/A</v>
      </c>
      <c r="X20" t="e">
        <f>STDEV(GC_esters_raw!F110:F111)</f>
        <v>#N/A</v>
      </c>
      <c r="Y20" t="e">
        <f>STDEV(GC_esters_raw!G110:G111)</f>
        <v>#N/A</v>
      </c>
      <c r="Z20" t="e">
        <f>STDEV(GC_esters_raw!H110:H111)</f>
        <v>#N/A</v>
      </c>
      <c r="AA20" t="e">
        <f>STDEV(GC_esters_raw!I110:I111)</f>
        <v>#N/A</v>
      </c>
      <c r="AB20" t="e">
        <f>STDEV(GC_esters_raw!J110:J111)</f>
        <v>#N/A</v>
      </c>
      <c r="AC20" t="e">
        <f>STDEV(GC_esters_raw!K110:K111)</f>
        <v>#N/A</v>
      </c>
      <c r="AD20" t="e">
        <f>STDEV(GC_esters_raw!L110:L111)</f>
        <v>#N/A</v>
      </c>
      <c r="AE20" t="e">
        <f>STDEV(GC_esters_raw!M110:M111)</f>
        <v>#N/A</v>
      </c>
      <c r="AF20" t="e">
        <f>STDEV(GC_esters_raw!N110:N111)</f>
        <v>#N/A</v>
      </c>
      <c r="AG20" t="e">
        <f>STDEV(GC_esters_raw!O110:O111)</f>
        <v>#N/A</v>
      </c>
      <c r="AH20" t="e">
        <f>STDEV(GC_esters_raw!F112:F113)</f>
        <v>#N/A</v>
      </c>
      <c r="AI20" t="e">
        <f>STDEV(GC_esters_raw!G112:G113)</f>
        <v>#N/A</v>
      </c>
      <c r="AJ20" t="e">
        <f>STDEV(GC_esters_raw!H112:H113)</f>
        <v>#N/A</v>
      </c>
      <c r="AK20" t="e">
        <f>STDEV(GC_esters_raw!I112:I113)</f>
        <v>#N/A</v>
      </c>
      <c r="AL20" t="e">
        <f>STDEV(GC_esters_raw!J112:J113)</f>
        <v>#N/A</v>
      </c>
      <c r="AM20" t="e">
        <f>STDEV(GC_esters_raw!K112:K113)</f>
        <v>#N/A</v>
      </c>
      <c r="AN20" t="e">
        <f>STDEV(GC_esters_raw!L112:L113)</f>
        <v>#N/A</v>
      </c>
      <c r="AO20" t="e">
        <f>STDEV(GC_esters_raw!M112:M113)</f>
        <v>#N/A</v>
      </c>
      <c r="AP20" t="e">
        <f>STDEV(GC_esters_raw!N112:N113)</f>
        <v>#N/A</v>
      </c>
      <c r="AQ20" t="e">
        <f>STDEV(GC_esters_raw!O112:O113)</f>
        <v>#N/A</v>
      </c>
    </row>
    <row r="21" spans="1:43" x14ac:dyDescent="0.25">
      <c r="A21" s="8">
        <f>CellCount_Viability!A21</f>
        <v>0</v>
      </c>
      <c r="B21" s="69" t="e">
        <f t="shared" si="1"/>
        <v>#VALUE!</v>
      </c>
      <c r="C21" s="63" t="str">
        <f t="shared" si="0"/>
        <v/>
      </c>
      <c r="D21" t="e">
        <f>AVERAGE(GC_esters_raw!F116:F117)</f>
        <v>#N/A</v>
      </c>
      <c r="E21" t="e">
        <f>AVERAGE(GC_esters_raw!G116:G117)</f>
        <v>#N/A</v>
      </c>
      <c r="F21" t="e">
        <f>AVERAGE(GC_esters_raw!H116:H117)</f>
        <v>#N/A</v>
      </c>
      <c r="G21" t="e">
        <f>AVERAGE(GC_esters_raw!I116:I117)</f>
        <v>#N/A</v>
      </c>
      <c r="H21" t="e">
        <f>AVERAGE(GC_esters_raw!J116:J117)</f>
        <v>#N/A</v>
      </c>
      <c r="I21" t="e">
        <f>AVERAGE(GC_esters_raw!K116:K117)</f>
        <v>#N/A</v>
      </c>
      <c r="J21" t="e">
        <f>AVERAGE(GC_esters_raw!L116:L117)</f>
        <v>#N/A</v>
      </c>
      <c r="K21" t="e">
        <f>AVERAGE(GC_esters_raw!M116:M117)</f>
        <v>#N/A</v>
      </c>
      <c r="L21" t="e">
        <f>AVERAGE(GC_esters_raw!N116:N117)</f>
        <v>#N/A</v>
      </c>
      <c r="M21" t="e">
        <f>AVERAGE(GC_esters_raw!O116:O117)</f>
        <v>#N/A</v>
      </c>
      <c r="N21" t="e">
        <f>AVERAGE(GC_esters_raw!F118:F119)</f>
        <v>#N/A</v>
      </c>
      <c r="O21" t="e">
        <f>AVERAGE(GC_esters_raw!G118:G119)</f>
        <v>#N/A</v>
      </c>
      <c r="P21" t="e">
        <f>AVERAGE(GC_esters_raw!H118:H119)</f>
        <v>#N/A</v>
      </c>
      <c r="Q21" t="e">
        <f>AVERAGE(GC_esters_raw!I118:I119)</f>
        <v>#N/A</v>
      </c>
      <c r="R21" t="e">
        <f>AVERAGE(GC_esters_raw!J118:J119)</f>
        <v>#N/A</v>
      </c>
      <c r="S21" t="e">
        <f>AVERAGE(GC_esters_raw!K118:K119)</f>
        <v>#N/A</v>
      </c>
      <c r="T21" t="e">
        <f>AVERAGE(GC_esters_raw!L118:L119)</f>
        <v>#N/A</v>
      </c>
      <c r="U21" t="e">
        <f>AVERAGE(GC_esters_raw!M118:M119)</f>
        <v>#N/A</v>
      </c>
      <c r="V21" t="e">
        <f>AVERAGE(GC_esters_raw!N118:N119)</f>
        <v>#N/A</v>
      </c>
      <c r="W21" t="e">
        <f>AVERAGE(GC_esters_raw!O118:O119)</f>
        <v>#N/A</v>
      </c>
      <c r="X21" t="e">
        <f>STDEV(GC_esters_raw!F116:F117)</f>
        <v>#N/A</v>
      </c>
      <c r="Y21" t="e">
        <f>STDEV(GC_esters_raw!G116:G117)</f>
        <v>#N/A</v>
      </c>
      <c r="Z21" t="e">
        <f>STDEV(GC_esters_raw!H116:H117)</f>
        <v>#N/A</v>
      </c>
      <c r="AA21" t="e">
        <f>STDEV(GC_esters_raw!I116:I117)</f>
        <v>#N/A</v>
      </c>
      <c r="AB21" t="e">
        <f>STDEV(GC_esters_raw!J116:J117)</f>
        <v>#N/A</v>
      </c>
      <c r="AC21" t="e">
        <f>STDEV(GC_esters_raw!K116:K117)</f>
        <v>#N/A</v>
      </c>
      <c r="AD21" t="e">
        <f>STDEV(GC_esters_raw!L116:L117)</f>
        <v>#N/A</v>
      </c>
      <c r="AE21" t="e">
        <f>STDEV(GC_esters_raw!M116:M117)</f>
        <v>#N/A</v>
      </c>
      <c r="AF21" t="e">
        <f>STDEV(GC_esters_raw!N116:N117)</f>
        <v>#N/A</v>
      </c>
      <c r="AG21" t="e">
        <f>STDEV(GC_esters_raw!O116:O117)</f>
        <v>#N/A</v>
      </c>
      <c r="AH21" t="e">
        <f>STDEV(GC_esters_raw!F118:F119)</f>
        <v>#N/A</v>
      </c>
      <c r="AI21" t="e">
        <f>STDEV(GC_esters_raw!G118:G119)</f>
        <v>#N/A</v>
      </c>
      <c r="AJ21" t="e">
        <f>STDEV(GC_esters_raw!H118:H119)</f>
        <v>#N/A</v>
      </c>
      <c r="AK21" t="e">
        <f>STDEV(GC_esters_raw!I118:I119)</f>
        <v>#N/A</v>
      </c>
      <c r="AL21" t="e">
        <f>STDEV(GC_esters_raw!J118:J119)</f>
        <v>#N/A</v>
      </c>
      <c r="AM21" t="e">
        <f>STDEV(GC_esters_raw!K118:K119)</f>
        <v>#N/A</v>
      </c>
      <c r="AN21" t="e">
        <f>STDEV(GC_esters_raw!L118:L119)</f>
        <v>#N/A</v>
      </c>
      <c r="AO21" t="e">
        <f>STDEV(GC_esters_raw!M118:M119)</f>
        <v>#N/A</v>
      </c>
      <c r="AP21" t="e">
        <f>STDEV(GC_esters_raw!N118:N119)</f>
        <v>#N/A</v>
      </c>
      <c r="AQ21" t="e">
        <f>STDEV(GC_esters_raw!O118:O119)</f>
        <v>#N/A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2244-752E-4B13-9A34-BC0A7730307C}">
  <sheetPr codeName="Sheet13"/>
  <dimension ref="A1:AT37"/>
  <sheetViews>
    <sheetView topLeftCell="A18" zoomScaleNormal="100" workbookViewId="0">
      <selection activeCell="K28" sqref="K28"/>
    </sheetView>
  </sheetViews>
  <sheetFormatPr defaultRowHeight="15" x14ac:dyDescent="0.25"/>
  <cols>
    <col min="1" max="1" width="16.7109375" customWidth="1"/>
    <col min="2" max="2" width="12" bestFit="1" customWidth="1"/>
    <col min="3" max="3" width="11.28515625" customWidth="1"/>
    <col min="4" max="4" width="17.28515625" bestFit="1" customWidth="1"/>
    <col min="5" max="5" width="18.140625" bestFit="1" customWidth="1"/>
    <col min="6" max="6" width="20" bestFit="1" customWidth="1"/>
    <col min="7" max="7" width="20.42578125" bestFit="1" customWidth="1"/>
    <col min="8" max="8" width="19.85546875" customWidth="1"/>
    <col min="9" max="9" width="20.42578125" bestFit="1" customWidth="1"/>
    <col min="10" max="10" width="19.140625" bestFit="1" customWidth="1"/>
    <col min="11" max="11" width="15.85546875" customWidth="1"/>
    <col min="12" max="12" width="20" bestFit="1" customWidth="1"/>
    <col min="13" max="13" width="15.85546875" bestFit="1" customWidth="1"/>
    <col min="16" max="16" width="21.42578125" bestFit="1" customWidth="1"/>
    <col min="17" max="17" width="19.28515625" bestFit="1" customWidth="1"/>
    <col min="18" max="18" width="19.42578125" bestFit="1" customWidth="1"/>
    <col min="19" max="19" width="19.85546875" bestFit="1" customWidth="1"/>
    <col min="20" max="20" width="19.42578125" bestFit="1" customWidth="1"/>
    <col min="21" max="21" width="19" bestFit="1" customWidth="1"/>
    <col min="22" max="22" width="22.42578125" bestFit="1" customWidth="1"/>
    <col min="23" max="23" width="19.28515625" bestFit="1" customWidth="1"/>
    <col min="24" max="24" width="17.85546875" bestFit="1" customWidth="1"/>
    <col min="25" max="25" width="13.5703125" bestFit="1" customWidth="1"/>
    <col min="26" max="26" width="21.140625" bestFit="1" customWidth="1"/>
    <col min="27" max="27" width="18.5703125" bestFit="1" customWidth="1"/>
    <col min="28" max="28" width="16.42578125" bestFit="1" customWidth="1"/>
    <col min="29" max="29" width="21.140625" bestFit="1" customWidth="1"/>
    <col min="30" max="30" width="21.42578125" bestFit="1" customWidth="1"/>
    <col min="31" max="31" width="21" bestFit="1" customWidth="1"/>
    <col min="32" max="32" width="20.7109375" bestFit="1" customWidth="1"/>
    <col min="33" max="33" width="21.140625" customWidth="1"/>
    <col min="44" max="44" width="21.140625" bestFit="1" customWidth="1"/>
  </cols>
  <sheetData>
    <row r="1" spans="1:46" ht="15.75" thickBot="1" x14ac:dyDescent="0.3">
      <c r="A1" s="64" t="s">
        <v>0</v>
      </c>
      <c r="B1" s="65" t="s">
        <v>1</v>
      </c>
      <c r="C1" s="65" t="s">
        <v>2</v>
      </c>
      <c r="D1" s="66" t="s">
        <v>187</v>
      </c>
      <c r="E1" s="66" t="s">
        <v>190</v>
      </c>
      <c r="F1" s="78" t="s">
        <v>188</v>
      </c>
      <c r="G1" s="66" t="s">
        <v>189</v>
      </c>
      <c r="H1" s="88" t="s">
        <v>202</v>
      </c>
      <c r="I1" s="88" t="s">
        <v>203</v>
      </c>
      <c r="J1" s="89" t="s">
        <v>204</v>
      </c>
      <c r="K1" s="89" t="s">
        <v>205</v>
      </c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</row>
    <row r="2" spans="1:46" ht="15.75" thickTop="1" x14ac:dyDescent="0.25">
      <c r="A2" s="8">
        <f>CellCount_Viability!A2</f>
        <v>46268</v>
      </c>
      <c r="B2" s="69">
        <f>C2*24</f>
        <v>0</v>
      </c>
      <c r="C2" s="63">
        <f t="shared" ref="C2:C21" si="0">IF(NOT(A2=0),A2-$A$2,"")</f>
        <v>0</v>
      </c>
      <c r="D2">
        <f>AVERAGE(GC_ketones_raw!F2:F3)</f>
        <v>112.435</v>
      </c>
      <c r="E2">
        <f>AVERAGE(GC_ketones_raw!G2:G3)</f>
        <v>24.689999999999998</v>
      </c>
      <c r="F2">
        <f>AVERAGE(GC_ketones_raw!F4:F5)</f>
        <v>105.03</v>
      </c>
      <c r="G2">
        <f>AVERAGE(GC_ketones_raw!G4:G5)</f>
        <v>24.5</v>
      </c>
      <c r="H2">
        <f>STDEV(GC_ketones_raw!F2:F3)</f>
        <v>0</v>
      </c>
      <c r="I2">
        <f>STDEV(GC_ketones_raw!G2:G3)</f>
        <v>0</v>
      </c>
      <c r="J2">
        <f>STDEV(GC_ketones_raw!F4:F5)</f>
        <v>0</v>
      </c>
      <c r="K2">
        <f>STDEV(GC_ketones_raw!G4:G5)</f>
        <v>0</v>
      </c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</row>
    <row r="3" spans="1:46" x14ac:dyDescent="0.25">
      <c r="A3" s="8">
        <f>CellCount_Viability!A3</f>
        <v>46269</v>
      </c>
      <c r="B3" s="69">
        <f t="shared" ref="B3:B21" si="1">C3*24</f>
        <v>24</v>
      </c>
      <c r="C3" s="63">
        <f t="shared" si="0"/>
        <v>1</v>
      </c>
      <c r="D3">
        <f>AVERAGE(GC_ketones_raw!F8:F9)</f>
        <v>626.32500000000005</v>
      </c>
      <c r="E3">
        <f>AVERAGE(GC_ketones_raw!G8:G9)</f>
        <v>384.27</v>
      </c>
      <c r="F3">
        <f>AVERAGE(GC_ketones_raw!F10:F11)</f>
        <v>621.81500000000005</v>
      </c>
      <c r="G3">
        <f>AVERAGE(GC_ketones_raw!G10:G11)</f>
        <v>367.46000000000004</v>
      </c>
      <c r="H3">
        <f>STDEV(GC_ketones_raw!F8:F9)</f>
        <v>21.432406537764297</v>
      </c>
      <c r="I3">
        <f>STDEV(GC_ketones_raw!G8:G9)</f>
        <v>6.9296464556281734</v>
      </c>
      <c r="J3">
        <f>STDEV(GC_ketones_raw!F10:F11)</f>
        <v>15.29471967706502</v>
      </c>
      <c r="K3">
        <f>STDEV(GC_ketones_raw!G10:G11)</f>
        <v>4.879036790187202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</row>
    <row r="4" spans="1:46" x14ac:dyDescent="0.25">
      <c r="A4" s="8">
        <f>CellCount_Viability!A4</f>
        <v>46270</v>
      </c>
      <c r="B4" s="69">
        <f t="shared" si="1"/>
        <v>48</v>
      </c>
      <c r="C4" s="63">
        <f t="shared" si="0"/>
        <v>2</v>
      </c>
      <c r="D4">
        <f>AVERAGE(GC_ketones_raw!F14:F15)</f>
        <v>697.5</v>
      </c>
      <c r="E4">
        <f>AVERAGE(GC_ketones_raw!G14:G15)</f>
        <v>451.5</v>
      </c>
      <c r="F4">
        <f>AVERAGE(GC_ketones_raw!F16:F17)</f>
        <v>687.5</v>
      </c>
      <c r="G4">
        <f>AVERAGE(GC_ketones_raw!G16:G17)</f>
        <v>487</v>
      </c>
      <c r="H4">
        <f>STDEV(GC_ketones_raw!F14:F15)</f>
        <v>3.5355339059327378</v>
      </c>
      <c r="I4">
        <f>STDEV(GC_ketones_raw!G14:G15)</f>
        <v>55.861435713737258</v>
      </c>
      <c r="J4">
        <f>STDEV(GC_ketones_raw!F16:F17)</f>
        <v>3.5355339059327378</v>
      </c>
      <c r="K4">
        <f>STDEV(GC_ketones_raw!G16:G17)</f>
        <v>19.798989873223331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</row>
    <row r="5" spans="1:46" x14ac:dyDescent="0.25">
      <c r="A5" s="8">
        <f>CellCount_Viability!A5</f>
        <v>46271</v>
      </c>
      <c r="B5" s="69">
        <f t="shared" si="1"/>
        <v>72</v>
      </c>
      <c r="C5" s="63">
        <f t="shared" si="0"/>
        <v>3</v>
      </c>
      <c r="D5">
        <f>AVERAGE(GC_ketones_raw!F20:F21)</f>
        <v>710</v>
      </c>
      <c r="E5">
        <f>AVERAGE(GC_ketones_raw!G20:G21)</f>
        <v>622.07999999999993</v>
      </c>
      <c r="F5">
        <f>AVERAGE(GC_ketones_raw!F22:F23)</f>
        <v>605</v>
      </c>
      <c r="G5">
        <f>AVERAGE(GC_ketones_raw!G22:G23)</f>
        <v>570.67499999999995</v>
      </c>
      <c r="H5">
        <f>STDEV(GC_ketones_raw!F20:F21)</f>
        <v>21.213203435596427</v>
      </c>
      <c r="I5">
        <f>STDEV(GC_ketones_raw!G20:G21)</f>
        <v>36.274577874869934</v>
      </c>
      <c r="J5">
        <f>STDEV(GC_ketones_raw!F22:F23)</f>
        <v>107.48023074035522</v>
      </c>
      <c r="K5">
        <f>STDEV(GC_ketones_raw!G22:G23)</f>
        <v>1.8596908345206167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</row>
    <row r="6" spans="1:46" x14ac:dyDescent="0.25">
      <c r="A6" s="8">
        <f>CellCount_Viability!A6</f>
        <v>46272</v>
      </c>
      <c r="B6" s="69">
        <f t="shared" si="1"/>
        <v>96</v>
      </c>
      <c r="C6" s="63">
        <f t="shared" si="0"/>
        <v>4</v>
      </c>
      <c r="D6">
        <f>AVERAGE(GC_ketones_raw!F26:F27)</f>
        <v>1026.6300000000001</v>
      </c>
      <c r="E6">
        <f>AVERAGE(GC_ketones_raw!G26:G27)</f>
        <v>801.05500000000006</v>
      </c>
      <c r="F6">
        <f>AVERAGE(GC_ketones_raw!F28:F29)</f>
        <v>821.04</v>
      </c>
      <c r="G6">
        <f>AVERAGE(GC_ketones_raw!G28:G29)</f>
        <v>739.18</v>
      </c>
      <c r="H6">
        <f>STDEV(GC_ketones_raw!F26:F27)</f>
        <v>100.14046235163886</v>
      </c>
      <c r="I6">
        <f>STDEV(GC_ketones_raw!G26:G27)</f>
        <v>44.568940418188149</v>
      </c>
      <c r="J6">
        <f>STDEV(GC_ketones_raw!F28:F29)</f>
        <v>252.43712088359746</v>
      </c>
      <c r="K6">
        <f>STDEV(GC_ketones_raw!G28:G29)</f>
        <v>1.2303657992645991</v>
      </c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</row>
    <row r="7" spans="1:46" x14ac:dyDescent="0.25">
      <c r="A7" s="8">
        <f>CellCount_Viability!A7</f>
        <v>46273</v>
      </c>
      <c r="B7" s="69">
        <f t="shared" si="1"/>
        <v>120</v>
      </c>
      <c r="C7" s="63">
        <f t="shared" si="0"/>
        <v>5</v>
      </c>
      <c r="D7">
        <f>AVERAGE(GC_ketones_raw!F32:F33)</f>
        <v>602.04500000000007</v>
      </c>
      <c r="E7">
        <f>AVERAGE(GC_ketones_raw!G32:G33)</f>
        <v>774.875</v>
      </c>
      <c r="F7">
        <f>AVERAGE(GC_ketones_raw!F34:F35)</f>
        <v>589.82500000000005</v>
      </c>
      <c r="G7">
        <f>AVERAGE(GC_ketones_raw!G34:G35)</f>
        <v>858.65499999999997</v>
      </c>
      <c r="H7">
        <f>STDEV(GC_ketones_raw!F32:F33)</f>
        <v>25.901321394863235</v>
      </c>
      <c r="I7">
        <f>STDEV(GC_ketones_raw!G32:G33)</f>
        <v>12.91884089227821</v>
      </c>
      <c r="J7">
        <f>STDEV(GC_ketones_raw!F34:F35)</f>
        <v>6.8942911165688381</v>
      </c>
      <c r="K7">
        <f>STDEV(GC_ketones_raw!G34:G35)</f>
        <v>2.2132442251138906</v>
      </c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</row>
    <row r="8" spans="1:46" x14ac:dyDescent="0.25">
      <c r="A8" s="8">
        <f>CellCount_Viability!A8</f>
        <v>46274</v>
      </c>
      <c r="B8" s="69">
        <f t="shared" si="1"/>
        <v>144</v>
      </c>
      <c r="C8" s="63">
        <f t="shared" si="0"/>
        <v>6</v>
      </c>
      <c r="D8">
        <f>AVERAGE(GC_ketones_raw!F38:F39)</f>
        <v>446.8175</v>
      </c>
      <c r="E8">
        <f>AVERAGE(GC_ketones_raw!G38:G39)</f>
        <v>539.1825</v>
      </c>
      <c r="F8">
        <f>AVERAGE(GC_ketones_raw!F40:F41)</f>
        <v>410.58500000000004</v>
      </c>
      <c r="G8">
        <f>AVERAGE(GC_ketones_raw!G40:G41)</f>
        <v>595.39</v>
      </c>
      <c r="H8">
        <f>STDEV(GC_ketones_raw!F38:F39)</f>
        <v>27.736263492042301</v>
      </c>
      <c r="I8">
        <f>STDEV(GC_ketones_raw!G38:G39)</f>
        <v>15.178047058169184</v>
      </c>
      <c r="J8">
        <f>STDEV(GC_ketones_raw!F40:F41)</f>
        <v>9.4469465966522446</v>
      </c>
      <c r="K8">
        <f>STDEV(GC_ketones_raw!G40:G41)</f>
        <v>1.9940411229460191</v>
      </c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</row>
    <row r="9" spans="1:46" x14ac:dyDescent="0.25">
      <c r="A9" s="8">
        <f>CellCount_Viability!A9</f>
        <v>46275</v>
      </c>
      <c r="B9" s="69">
        <f t="shared" si="1"/>
        <v>168</v>
      </c>
      <c r="C9" s="63">
        <f t="shared" si="0"/>
        <v>7</v>
      </c>
      <c r="D9">
        <f>AVERAGE(GC_ketones_raw!F44:F45)</f>
        <v>384.72649999999999</v>
      </c>
      <c r="E9">
        <f>AVERAGE(GC_ketones_raw!G44:G45)</f>
        <v>444.90549999999996</v>
      </c>
      <c r="F9">
        <f>AVERAGE(GC_ketones_raw!F46:F47)</f>
        <v>338.88900000000001</v>
      </c>
      <c r="G9">
        <f>AVERAGE(GC_ketones_raw!G46:G47)</f>
        <v>490.084</v>
      </c>
      <c r="H9">
        <f>STDEV(GC_ketones_raw!F44:F45)</f>
        <v>49.191297446804555</v>
      </c>
      <c r="I9">
        <f>STDEV(GC_ketones_raw!G44:G45)</f>
        <v>16.081729524525649</v>
      </c>
      <c r="J9">
        <f>STDEV(GC_ketones_raw!F46:F47)</f>
        <v>10.468008788685632</v>
      </c>
      <c r="K9">
        <f>STDEV(GC_ketones_raw!G46:G47)</f>
        <v>1.9063598820789507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</row>
    <row r="10" spans="1:46" x14ac:dyDescent="0.25">
      <c r="A10" s="8">
        <f>CellCount_Viability!A10</f>
        <v>46276</v>
      </c>
      <c r="B10" s="69">
        <f t="shared" si="1"/>
        <v>192</v>
      </c>
      <c r="C10" s="63">
        <f t="shared" si="0"/>
        <v>8</v>
      </c>
      <c r="D10">
        <f>AVERAGE(GC_ketones_raw!F50:F51)</f>
        <v>291.59000000000003</v>
      </c>
      <c r="E10">
        <f>AVERAGE(GC_ketones_raw!G50:G51)</f>
        <v>303.49</v>
      </c>
      <c r="F10">
        <f>AVERAGE(GC_ketones_raw!F52:F53)</f>
        <v>231.34500000000003</v>
      </c>
      <c r="G10">
        <f>AVERAGE(GC_ketones_raw!G52:G53)</f>
        <v>332.125</v>
      </c>
      <c r="H10">
        <f>STDEV(GC_ketones_raw!F50:F51)</f>
        <v>81.373848378947642</v>
      </c>
      <c r="I10">
        <f>STDEV(GC_ketones_raw!G50:G51)</f>
        <v>17.437253224060239</v>
      </c>
      <c r="J10">
        <f>STDEV(GC_ketones_raw!F52:F53)</f>
        <v>11.999602076735711</v>
      </c>
      <c r="K10">
        <f>STDEV(GC_ketones_raw!G52:G53)</f>
        <v>1.7748380207782279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</row>
    <row r="11" spans="1:46" x14ac:dyDescent="0.25">
      <c r="A11" s="8">
        <f>CellCount_Viability!A11</f>
        <v>46277</v>
      </c>
      <c r="B11" s="69">
        <f t="shared" si="1"/>
        <v>216</v>
      </c>
      <c r="C11" s="63">
        <f t="shared" si="0"/>
        <v>9</v>
      </c>
      <c r="D11">
        <f>AVERAGE(GC_ketones_raw!F56:F57)</f>
        <v>98</v>
      </c>
      <c r="E11">
        <f>AVERAGE(GC_ketones_raw!G56:G57)</f>
        <v>101</v>
      </c>
      <c r="F11">
        <f>AVERAGE(GC_ketones_raw!F58:F59)</f>
        <v>92</v>
      </c>
      <c r="G11">
        <f>AVERAGE(GC_ketones_raw!G58:G59)</f>
        <v>89.5</v>
      </c>
      <c r="H11">
        <f>STDEV(GC_ketones_raw!F56:F57)</f>
        <v>9.8994949366116654</v>
      </c>
      <c r="I11">
        <f>STDEV(GC_ketones_raw!G56:G57)</f>
        <v>4.2426406871192848</v>
      </c>
      <c r="J11">
        <f>STDEV(GC_ketones_raw!F58:F59)</f>
        <v>9.8994949366116654</v>
      </c>
      <c r="K11">
        <f>STDEV(GC_ketones_raw!G58:G59)</f>
        <v>16.263455967290593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</row>
    <row r="12" spans="1:46" x14ac:dyDescent="0.25">
      <c r="A12" s="8">
        <f>CellCount_Viability!A12</f>
        <v>46278</v>
      </c>
      <c r="B12" s="69">
        <f t="shared" si="1"/>
        <v>240</v>
      </c>
      <c r="C12" s="63">
        <f t="shared" si="0"/>
        <v>10</v>
      </c>
      <c r="D12">
        <f>AVERAGE(GC_ketones_raw!F62:F63)</f>
        <v>78.5</v>
      </c>
      <c r="E12">
        <f>AVERAGE(GC_ketones_raw!G62:G63)</f>
        <v>57.5</v>
      </c>
      <c r="F12">
        <f>AVERAGE(GC_ketones_raw!F59:F60)</f>
        <v>85</v>
      </c>
      <c r="G12">
        <f>AVERAGE(GC_ketones_raw!G59:G60)</f>
        <v>101</v>
      </c>
      <c r="H12">
        <f>STDEV(GC_ketones_raw!F62:F63)</f>
        <v>3.5355339059327378</v>
      </c>
      <c r="I12">
        <f>STDEV(GC_ketones_raw!G62:G63)</f>
        <v>3.5355339059327378</v>
      </c>
      <c r="J12" t="e">
        <f>STDEV(GC_ketones_raw!F59:F60)</f>
        <v>#DIV/0!</v>
      </c>
      <c r="K12" t="e">
        <f>STDEV(GC_ketones_raw!G59:G60)</f>
        <v>#DIV/0!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</row>
    <row r="13" spans="1:46" x14ac:dyDescent="0.25">
      <c r="A13" s="8">
        <f>CellCount_Viability!A13</f>
        <v>0</v>
      </c>
      <c r="B13" s="69" t="e">
        <f t="shared" si="1"/>
        <v>#VALUE!</v>
      </c>
      <c r="C13" s="63" t="str">
        <f t="shared" si="0"/>
        <v/>
      </c>
      <c r="D13" t="e">
        <f>AVERAGE(GC_ketones_raw!F68:F69)</f>
        <v>#N/A</v>
      </c>
      <c r="E13" t="e">
        <f>AVERAGE(GC_ketones_raw!G68:G69)</f>
        <v>#N/A</v>
      </c>
      <c r="F13" t="e">
        <f>AVERAGE(GC_ketones_raw!F70:F71)</f>
        <v>#N/A</v>
      </c>
      <c r="G13" t="e">
        <f>AVERAGE(GC_ketones_raw!G70:G71)</f>
        <v>#N/A</v>
      </c>
      <c r="H13" t="e">
        <f>STDEV(GC_ketones_raw!F68:F69)</f>
        <v>#N/A</v>
      </c>
      <c r="I13" t="e">
        <f>STDEV(GC_ketones_raw!G68:G69)</f>
        <v>#N/A</v>
      </c>
      <c r="J13" t="e">
        <f>STDEV(GC_ketones_raw!F70:F71)</f>
        <v>#N/A</v>
      </c>
      <c r="K13" t="e">
        <f>STDEV(GC_ketones_raw!G70:G71)</f>
        <v>#N/A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</row>
    <row r="14" spans="1:46" x14ac:dyDescent="0.25">
      <c r="A14" s="8">
        <f>CellCount_Viability!A14</f>
        <v>0</v>
      </c>
      <c r="B14" s="69" t="e">
        <f t="shared" si="1"/>
        <v>#VALUE!</v>
      </c>
      <c r="C14" s="63" t="str">
        <f t="shared" si="0"/>
        <v/>
      </c>
      <c r="D14" t="e">
        <f>AVERAGE(GC_ketones_raw!F74:F75)</f>
        <v>#N/A</v>
      </c>
      <c r="E14" t="e">
        <f>AVERAGE(GC_ketones_raw!G74:G75)</f>
        <v>#N/A</v>
      </c>
      <c r="F14" t="e">
        <f>AVERAGE(GC_ketones_raw!F76:F77)</f>
        <v>#N/A</v>
      </c>
      <c r="G14" t="e">
        <f>AVERAGE(GC_ketones_raw!G76:G77)</f>
        <v>#N/A</v>
      </c>
      <c r="H14" t="e">
        <f>STDEV(GC_ketones_raw!F74:F75)</f>
        <v>#N/A</v>
      </c>
      <c r="I14" t="e">
        <f>STDEV(GC_ketones_raw!G74:G75)</f>
        <v>#N/A</v>
      </c>
      <c r="J14" t="e">
        <f>STDEV(GC_ketones_raw!F76:F77)</f>
        <v>#N/A</v>
      </c>
      <c r="K14" t="e">
        <f>STDEV(GC_ketones_raw!G76:G77)</f>
        <v>#N/A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</row>
    <row r="15" spans="1:46" x14ac:dyDescent="0.25">
      <c r="A15" s="8">
        <f>CellCount_Viability!A15</f>
        <v>0</v>
      </c>
      <c r="B15" s="69" t="e">
        <f t="shared" si="1"/>
        <v>#VALUE!</v>
      </c>
      <c r="C15" s="63" t="str">
        <f t="shared" si="0"/>
        <v/>
      </c>
      <c r="D15" t="e">
        <f>AVERAGE(GC_ketones_raw!F80:F81)</f>
        <v>#N/A</v>
      </c>
      <c r="E15" t="e">
        <f>AVERAGE(GC_ketones_raw!G80:G81)</f>
        <v>#N/A</v>
      </c>
      <c r="F15" t="e">
        <f>AVERAGE(GC_ketones_raw!F82:F83)</f>
        <v>#N/A</v>
      </c>
      <c r="G15" t="e">
        <f>AVERAGE(GC_ketones_raw!G82:G83)</f>
        <v>#N/A</v>
      </c>
      <c r="H15" t="e">
        <f>STDEV(GC_ketones_raw!F80:F81)</f>
        <v>#N/A</v>
      </c>
      <c r="I15" t="e">
        <f>STDEV(GC_ketones_raw!G80:G81)</f>
        <v>#N/A</v>
      </c>
      <c r="J15" t="e">
        <f>STDEV(GC_ketones_raw!F82:F83)</f>
        <v>#N/A</v>
      </c>
      <c r="K15" t="e">
        <f>STDEV(GC_ketones_raw!G82:G83)</f>
        <v>#N/A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</row>
    <row r="16" spans="1:46" x14ac:dyDescent="0.25">
      <c r="A16" s="8">
        <f>CellCount_Viability!A16</f>
        <v>0</v>
      </c>
      <c r="B16" s="69" t="e">
        <f t="shared" si="1"/>
        <v>#VALUE!</v>
      </c>
      <c r="C16" s="63" t="str">
        <f t="shared" si="0"/>
        <v/>
      </c>
      <c r="D16" t="e">
        <f>AVERAGE(GC_ketones_raw!F86:F87)</f>
        <v>#N/A</v>
      </c>
      <c r="E16" t="e">
        <f>AVERAGE(GC_ketones_raw!G86:G87)</f>
        <v>#N/A</v>
      </c>
      <c r="F16" t="e">
        <f>AVERAGE(GC_ketones_raw!F88:F89)</f>
        <v>#N/A</v>
      </c>
      <c r="G16" t="e">
        <f>AVERAGE(GC_ketones_raw!G88:G89)</f>
        <v>#N/A</v>
      </c>
      <c r="H16" t="e">
        <f>STDEV(GC_ketones_raw!F86:F87)</f>
        <v>#N/A</v>
      </c>
      <c r="I16" t="e">
        <f>STDEV(GC_ketones_raw!G86:G87)</f>
        <v>#N/A</v>
      </c>
      <c r="J16" t="e">
        <f>STDEV(GC_ketones_raw!F88:F89)</f>
        <v>#N/A</v>
      </c>
      <c r="K16" t="e">
        <f>STDEV(GC_ketones_raw!G88:G89)</f>
        <v>#N/A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</row>
    <row r="17" spans="1:46" x14ac:dyDescent="0.25">
      <c r="A17" s="8">
        <f>CellCount_Viability!A17</f>
        <v>0</v>
      </c>
      <c r="B17" s="69" t="e">
        <f t="shared" si="1"/>
        <v>#VALUE!</v>
      </c>
      <c r="C17" s="63" t="str">
        <f t="shared" si="0"/>
        <v/>
      </c>
      <c r="D17" t="e">
        <f>AVERAGE(GC_ketones_raw!F92:F93)</f>
        <v>#N/A</v>
      </c>
      <c r="E17" t="e">
        <f>AVERAGE(GC_ketones_raw!G92:G93)</f>
        <v>#N/A</v>
      </c>
      <c r="F17" t="e">
        <f>AVERAGE(GC_ketones_raw!F94:F95)</f>
        <v>#N/A</v>
      </c>
      <c r="G17" t="e">
        <f>AVERAGE(GC_ketones_raw!G94:G95)</f>
        <v>#N/A</v>
      </c>
      <c r="H17" t="e">
        <f>STDEV(GC_ketones_raw!F92:F93)</f>
        <v>#N/A</v>
      </c>
      <c r="I17" t="e">
        <f>STDEV(GC_ketones_raw!G92:G93)</f>
        <v>#N/A</v>
      </c>
      <c r="J17" t="e">
        <f>STDEV(GC_ketones_raw!F94:F95)</f>
        <v>#N/A</v>
      </c>
      <c r="K17" t="e">
        <f>STDEV(GC_ketones_raw!G94:G95)</f>
        <v>#N/A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</row>
    <row r="18" spans="1:46" x14ac:dyDescent="0.25">
      <c r="A18" s="8">
        <f>CellCount_Viability!A18</f>
        <v>0</v>
      </c>
      <c r="B18" s="69" t="e">
        <f t="shared" si="1"/>
        <v>#VALUE!</v>
      </c>
      <c r="C18" s="63" t="str">
        <f t="shared" si="0"/>
        <v/>
      </c>
      <c r="D18" t="e">
        <f>AVERAGE(GC_ketones_raw!F98:F99)</f>
        <v>#N/A</v>
      </c>
      <c r="E18" t="e">
        <f>AVERAGE(GC_ketones_raw!G98:G99)</f>
        <v>#N/A</v>
      </c>
      <c r="F18" t="e">
        <f>AVERAGE(GC_ketones_raw!F100:F101)</f>
        <v>#N/A</v>
      </c>
      <c r="G18" t="e">
        <f>AVERAGE(GC_ketones_raw!G100:G101)</f>
        <v>#N/A</v>
      </c>
      <c r="H18" t="e">
        <f>STDEV(GC_ketones_raw!F98:F99)</f>
        <v>#N/A</v>
      </c>
      <c r="I18" t="e">
        <f>STDEV(GC_ketones_raw!G98:G99)</f>
        <v>#N/A</v>
      </c>
      <c r="J18" t="e">
        <f>STDEV(GC_ketones_raw!F100:F101)</f>
        <v>#N/A</v>
      </c>
      <c r="K18" t="e">
        <f>STDEV(GC_ketones_raw!G100:G101)</f>
        <v>#N/A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</row>
    <row r="19" spans="1:46" x14ac:dyDescent="0.25">
      <c r="A19" s="8">
        <f>CellCount_Viability!A19</f>
        <v>0</v>
      </c>
      <c r="B19" s="69" t="e">
        <f t="shared" si="1"/>
        <v>#VALUE!</v>
      </c>
      <c r="C19" s="63" t="str">
        <f t="shared" si="0"/>
        <v/>
      </c>
      <c r="D19" t="e">
        <f>AVERAGE(GC_ketones_raw!F104:F105)</f>
        <v>#N/A</v>
      </c>
      <c r="E19" t="e">
        <f>AVERAGE(GC_ketones_raw!G104:G105)</f>
        <v>#N/A</v>
      </c>
      <c r="F19" t="e">
        <f>AVERAGE(GC_ketones_raw!F106:F107)</f>
        <v>#N/A</v>
      </c>
      <c r="G19" t="e">
        <f>AVERAGE(GC_ketones_raw!G106:G107)</f>
        <v>#N/A</v>
      </c>
      <c r="H19" t="e">
        <f>STDEV(GC_ketones_raw!F104:F105)</f>
        <v>#N/A</v>
      </c>
      <c r="I19" t="e">
        <f>STDEV(GC_ketones_raw!G104:G105)</f>
        <v>#N/A</v>
      </c>
      <c r="J19" t="e">
        <f>STDEV(GC_ketones_raw!F106:F107)</f>
        <v>#N/A</v>
      </c>
      <c r="K19" t="e">
        <f>STDEV(GC_ketones_raw!G106:G107)</f>
        <v>#N/A</v>
      </c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</row>
    <row r="20" spans="1:46" x14ac:dyDescent="0.25">
      <c r="A20" s="8">
        <f>CellCount_Viability!A20</f>
        <v>0</v>
      </c>
      <c r="B20" s="69" t="e">
        <f t="shared" si="1"/>
        <v>#VALUE!</v>
      </c>
      <c r="C20" s="63" t="str">
        <f t="shared" si="0"/>
        <v/>
      </c>
      <c r="D20" t="e">
        <f>AVERAGE(GC_ketones_raw!F110:F111)</f>
        <v>#N/A</v>
      </c>
      <c r="E20" t="e">
        <f>AVERAGE(GC_ketones_raw!G110:G111)</f>
        <v>#N/A</v>
      </c>
      <c r="F20" t="e">
        <f>AVERAGE(GC_ketones_raw!F112:F113)</f>
        <v>#N/A</v>
      </c>
      <c r="G20" t="e">
        <f>AVERAGE(GC_ketones_raw!G112:G113)</f>
        <v>#N/A</v>
      </c>
      <c r="H20" t="e">
        <f>STDEV(GC_ketones_raw!F110:F111)</f>
        <v>#N/A</v>
      </c>
      <c r="I20" t="e">
        <f>STDEV(GC_ketones_raw!G110:G111)</f>
        <v>#N/A</v>
      </c>
      <c r="J20" t="e">
        <f>STDEV(GC_ketones_raw!F112:F113)</f>
        <v>#N/A</v>
      </c>
      <c r="K20" t="e">
        <f>STDEV(GC_ketones_raw!G112:G113)</f>
        <v>#N/A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</row>
    <row r="21" spans="1:46" x14ac:dyDescent="0.25">
      <c r="A21" s="8">
        <f>CellCount_Viability!A21</f>
        <v>0</v>
      </c>
      <c r="B21" s="69" t="e">
        <f t="shared" si="1"/>
        <v>#VALUE!</v>
      </c>
      <c r="C21" s="63" t="str">
        <f t="shared" si="0"/>
        <v/>
      </c>
      <c r="D21" t="e">
        <f>AVERAGE(GC_ketones_raw!F116:F117)</f>
        <v>#N/A</v>
      </c>
      <c r="E21" t="e">
        <f>AVERAGE(GC_ketones_raw!G116:G117)</f>
        <v>#N/A</v>
      </c>
      <c r="F21" t="e">
        <f>AVERAGE(GC_ketones_raw!F118:F119)</f>
        <v>#N/A</v>
      </c>
      <c r="G21" t="e">
        <f>AVERAGE(GC_ketones_raw!G118:G119)</f>
        <v>#N/A</v>
      </c>
      <c r="H21" t="e">
        <f>STDEV(GC_ketones_raw!F116:F117)</f>
        <v>#N/A</v>
      </c>
      <c r="I21" t="e">
        <f>STDEV(GC_ketones_raw!G116:G117)</f>
        <v>#N/A</v>
      </c>
      <c r="J21" t="e">
        <f>STDEV(GC_ketones_raw!F118:F119)</f>
        <v>#N/A</v>
      </c>
      <c r="K21" t="e">
        <f>STDEV(GC_ketones_raw!G118:G119)</f>
        <v>#N/A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</row>
    <row r="22" spans="1:46" x14ac:dyDescent="0.25"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</row>
    <row r="23" spans="1:46" x14ac:dyDescent="0.25"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</row>
    <row r="24" spans="1:46" x14ac:dyDescent="0.25"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</row>
    <row r="25" spans="1:46" x14ac:dyDescent="0.25"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</row>
    <row r="26" spans="1:46" x14ac:dyDescent="0.25"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</row>
    <row r="27" spans="1:46" x14ac:dyDescent="0.25"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</row>
    <row r="28" spans="1:46" x14ac:dyDescent="0.25"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</row>
    <row r="29" spans="1:46" x14ac:dyDescent="0.25"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</row>
    <row r="30" spans="1:46" x14ac:dyDescent="0.25"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</row>
    <row r="31" spans="1:46" x14ac:dyDescent="0.25"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</row>
    <row r="32" spans="1:46" x14ac:dyDescent="0.25"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</row>
    <row r="33" spans="12:46" x14ac:dyDescent="0.25"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</row>
    <row r="34" spans="12:46" x14ac:dyDescent="0.25"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</row>
    <row r="35" spans="12:46" x14ac:dyDescent="0.25"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</row>
    <row r="36" spans="12:46" x14ac:dyDescent="0.25"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</row>
    <row r="37" spans="12:46" x14ac:dyDescent="0.25"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A1D1-C8E1-4395-BBCC-6FA142FD8FE6}">
  <dimension ref="A1:C2858"/>
  <sheetViews>
    <sheetView workbookViewId="0">
      <selection activeCell="Q21" sqref="Q21"/>
    </sheetView>
  </sheetViews>
  <sheetFormatPr defaultRowHeight="15" x14ac:dyDescent="0.25"/>
  <cols>
    <col min="1" max="1" width="20.140625" bestFit="1" customWidth="1"/>
  </cols>
  <sheetData>
    <row r="1" spans="1:3" x14ac:dyDescent="0.25">
      <c r="A1" t="s">
        <v>2</v>
      </c>
      <c r="B1" t="s">
        <v>290</v>
      </c>
      <c r="C1" t="s">
        <v>291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3.4935968783170001E-3</v>
      </c>
      <c r="B3">
        <v>0</v>
      </c>
      <c r="C3">
        <v>0</v>
      </c>
    </row>
    <row r="4" spans="1:3" x14ac:dyDescent="0.25">
      <c r="A4">
        <v>6.9839467880899999E-3</v>
      </c>
      <c r="B4">
        <v>0</v>
      </c>
      <c r="C4">
        <v>0</v>
      </c>
    </row>
    <row r="5" spans="1:3" x14ac:dyDescent="0.25">
      <c r="A5">
        <v>1.0474578760287999E-2</v>
      </c>
      <c r="B5">
        <v>0</v>
      </c>
      <c r="C5">
        <v>0</v>
      </c>
    </row>
    <row r="6" spans="1:3" x14ac:dyDescent="0.25">
      <c r="A6">
        <v>1.3965048547143999E-2</v>
      </c>
      <c r="B6">
        <v>0</v>
      </c>
      <c r="C6">
        <v>0</v>
      </c>
    </row>
    <row r="7" spans="1:3" x14ac:dyDescent="0.25">
      <c r="A7">
        <v>1.7455706971663001E-2</v>
      </c>
      <c r="B7">
        <v>0</v>
      </c>
      <c r="C7">
        <v>0</v>
      </c>
    </row>
    <row r="8" spans="1:3" x14ac:dyDescent="0.25">
      <c r="A8">
        <v>2.0946238990183001E-2</v>
      </c>
      <c r="B8">
        <v>0</v>
      </c>
      <c r="C8">
        <v>0</v>
      </c>
    </row>
    <row r="9" spans="1:3" x14ac:dyDescent="0.25">
      <c r="A9">
        <v>2.4436728275485001E-2</v>
      </c>
      <c r="B9">
        <v>0</v>
      </c>
      <c r="C9">
        <v>0</v>
      </c>
    </row>
    <row r="10" spans="1:3" x14ac:dyDescent="0.25">
      <c r="A10">
        <v>2.7927279505464999E-2</v>
      </c>
      <c r="B10">
        <v>0</v>
      </c>
      <c r="C10">
        <v>0</v>
      </c>
    </row>
    <row r="11" spans="1:3" x14ac:dyDescent="0.25">
      <c r="A11">
        <v>3.1417788073971997E-2</v>
      </c>
      <c r="B11">
        <v>0</v>
      </c>
      <c r="C11">
        <v>0</v>
      </c>
    </row>
    <row r="12" spans="1:3" x14ac:dyDescent="0.25">
      <c r="A12">
        <v>3.4908193322243999E-2</v>
      </c>
      <c r="B12">
        <v>0</v>
      </c>
      <c r="C12">
        <v>0</v>
      </c>
    </row>
    <row r="13" spans="1:3" x14ac:dyDescent="0.25">
      <c r="A13">
        <v>3.8398956352914002E-2</v>
      </c>
      <c r="B13">
        <v>0.01</v>
      </c>
      <c r="C13">
        <v>0</v>
      </c>
    </row>
    <row r="14" spans="1:3" x14ac:dyDescent="0.25">
      <c r="A14">
        <v>4.1889561491984001E-2</v>
      </c>
      <c r="B14">
        <v>0</v>
      </c>
      <c r="C14">
        <v>0</v>
      </c>
    </row>
    <row r="15" spans="1:3" x14ac:dyDescent="0.25">
      <c r="A15">
        <v>4.537988556204E-2</v>
      </c>
      <c r="B15">
        <v>0</v>
      </c>
      <c r="C15">
        <v>0</v>
      </c>
    </row>
    <row r="16" spans="1:3" x14ac:dyDescent="0.25">
      <c r="A16">
        <v>4.8870277266811001E-2</v>
      </c>
      <c r="B16">
        <v>0</v>
      </c>
      <c r="C16">
        <v>0</v>
      </c>
    </row>
    <row r="17" spans="1:3" x14ac:dyDescent="0.25">
      <c r="A17">
        <v>5.2360550468719E-2</v>
      </c>
      <c r="B17">
        <v>0</v>
      </c>
      <c r="C17">
        <v>0</v>
      </c>
    </row>
    <row r="18" spans="1:3" x14ac:dyDescent="0.25">
      <c r="A18">
        <v>5.5850819454148999E-2</v>
      </c>
      <c r="B18">
        <v>0</v>
      </c>
      <c r="C18">
        <v>0</v>
      </c>
    </row>
    <row r="19" spans="1:3" x14ac:dyDescent="0.25">
      <c r="A19">
        <v>5.9341438219503002E-2</v>
      </c>
      <c r="B19">
        <v>0.03</v>
      </c>
      <c r="C19">
        <v>0</v>
      </c>
    </row>
    <row r="20" spans="1:3" x14ac:dyDescent="0.25">
      <c r="A20">
        <v>6.2831756869952002E-2</v>
      </c>
      <c r="B20">
        <v>0</v>
      </c>
      <c r="C20">
        <v>0</v>
      </c>
    </row>
    <row r="21" spans="1:3" x14ac:dyDescent="0.25">
      <c r="A21">
        <v>6.6322324369793004E-2</v>
      </c>
      <c r="B21">
        <v>0.05</v>
      </c>
      <c r="C21">
        <v>0</v>
      </c>
    </row>
    <row r="22" spans="1:3" x14ac:dyDescent="0.25">
      <c r="A22">
        <v>6.9812841674795997E-2</v>
      </c>
      <c r="B22">
        <v>0.01</v>
      </c>
      <c r="C22">
        <v>0</v>
      </c>
    </row>
    <row r="23" spans="1:3" x14ac:dyDescent="0.25">
      <c r="A23">
        <v>7.3303467454733998E-2</v>
      </c>
      <c r="B23">
        <v>0</v>
      </c>
      <c r="C23">
        <v>0</v>
      </c>
    </row>
    <row r="24" spans="1:3" x14ac:dyDescent="0.25">
      <c r="A24">
        <v>7.6793999545000005E-2</v>
      </c>
      <c r="B24">
        <v>0</v>
      </c>
      <c r="C24">
        <v>0</v>
      </c>
    </row>
    <row r="25" spans="1:3" x14ac:dyDescent="0.25">
      <c r="A25">
        <v>8.0284457609609006E-2</v>
      </c>
      <c r="B25">
        <v>0</v>
      </c>
      <c r="C25">
        <v>0</v>
      </c>
    </row>
    <row r="26" spans="1:3" x14ac:dyDescent="0.25">
      <c r="A26">
        <v>8.3775046070416997E-2</v>
      </c>
      <c r="B26">
        <v>0</v>
      </c>
      <c r="C26">
        <v>0</v>
      </c>
    </row>
    <row r="27" spans="1:3" x14ac:dyDescent="0.25">
      <c r="A27">
        <v>8.7265615667457996E-2</v>
      </c>
      <c r="B27">
        <v>0</v>
      </c>
      <c r="C27">
        <v>0</v>
      </c>
    </row>
    <row r="28" spans="1:3" x14ac:dyDescent="0.25">
      <c r="A28">
        <v>9.0756211970691003E-2</v>
      </c>
      <c r="B28">
        <v>0</v>
      </c>
      <c r="C28">
        <v>0</v>
      </c>
    </row>
    <row r="29" spans="1:3" x14ac:dyDescent="0.25">
      <c r="A29">
        <v>9.4238319722591002E-2</v>
      </c>
      <c r="B29">
        <v>0</v>
      </c>
      <c r="C29">
        <v>0</v>
      </c>
    </row>
    <row r="30" spans="1:3" x14ac:dyDescent="0.25">
      <c r="A30">
        <v>9.7728906693282006E-2</v>
      </c>
      <c r="B30">
        <v>0</v>
      </c>
      <c r="C30">
        <v>0</v>
      </c>
    </row>
    <row r="31" spans="1:3" x14ac:dyDescent="0.25">
      <c r="A31">
        <v>0.101219424081069</v>
      </c>
      <c r="B31">
        <v>0</v>
      </c>
      <c r="C31">
        <v>0</v>
      </c>
    </row>
    <row r="32" spans="1:3" x14ac:dyDescent="0.25">
      <c r="A32">
        <v>0.104710012459093</v>
      </c>
      <c r="B32">
        <v>0</v>
      </c>
      <c r="C32">
        <v>0</v>
      </c>
    </row>
    <row r="33" spans="1:3" x14ac:dyDescent="0.25">
      <c r="A33">
        <v>0.108200566371282</v>
      </c>
      <c r="B33">
        <v>0</v>
      </c>
      <c r="C33">
        <v>0</v>
      </c>
    </row>
    <row r="34" spans="1:3" x14ac:dyDescent="0.25">
      <c r="A34">
        <v>0.111691328645856</v>
      </c>
      <c r="B34">
        <v>0</v>
      </c>
      <c r="C34">
        <v>0</v>
      </c>
    </row>
    <row r="35" spans="1:3" x14ac:dyDescent="0.25">
      <c r="A35">
        <v>0.11518179180445499</v>
      </c>
      <c r="B35">
        <v>0</v>
      </c>
      <c r="C35">
        <v>0</v>
      </c>
    </row>
    <row r="36" spans="1:3" x14ac:dyDescent="0.25">
      <c r="A36">
        <v>0.11867226233085</v>
      </c>
      <c r="B36">
        <v>0</v>
      </c>
      <c r="C36">
        <v>0</v>
      </c>
    </row>
    <row r="37" spans="1:3" x14ac:dyDescent="0.25">
      <c r="A37">
        <v>0.12216284494157199</v>
      </c>
      <c r="B37">
        <v>0</v>
      </c>
      <c r="C37">
        <v>0</v>
      </c>
    </row>
    <row r="38" spans="1:3" x14ac:dyDescent="0.25">
      <c r="A38">
        <v>0.125653294523557</v>
      </c>
      <c r="B38">
        <v>0</v>
      </c>
      <c r="C38">
        <v>0</v>
      </c>
    </row>
    <row r="39" spans="1:3" x14ac:dyDescent="0.25">
      <c r="A39">
        <v>0.12914377909015701</v>
      </c>
      <c r="B39">
        <v>0.01</v>
      </c>
      <c r="C39">
        <v>0</v>
      </c>
    </row>
    <row r="40" spans="1:3" x14ac:dyDescent="0.25">
      <c r="A40">
        <v>0.13263411230511099</v>
      </c>
      <c r="B40">
        <v>0.03</v>
      </c>
      <c r="C40">
        <v>0</v>
      </c>
    </row>
    <row r="41" spans="1:3" x14ac:dyDescent="0.25">
      <c r="A41">
        <v>0.13612441321214</v>
      </c>
      <c r="B41">
        <v>0.01</v>
      </c>
      <c r="C41">
        <v>0</v>
      </c>
    </row>
    <row r="42" spans="1:3" x14ac:dyDescent="0.25">
      <c r="A42">
        <v>0.13961499367599101</v>
      </c>
      <c r="B42">
        <v>0.01</v>
      </c>
      <c r="C42">
        <v>0</v>
      </c>
    </row>
    <row r="43" spans="1:3" x14ac:dyDescent="0.25">
      <c r="A43">
        <v>0.14310541394132201</v>
      </c>
      <c r="B43">
        <v>0</v>
      </c>
      <c r="C43">
        <v>0</v>
      </c>
    </row>
    <row r="44" spans="1:3" x14ac:dyDescent="0.25">
      <c r="A44">
        <v>0.146595931014529</v>
      </c>
      <c r="B44">
        <v>0</v>
      </c>
      <c r="C44">
        <v>0</v>
      </c>
    </row>
    <row r="45" spans="1:3" x14ac:dyDescent="0.25">
      <c r="A45">
        <v>0.150086403301469</v>
      </c>
      <c r="B45">
        <v>0</v>
      </c>
      <c r="C45">
        <v>0</v>
      </c>
    </row>
    <row r="46" spans="1:3" x14ac:dyDescent="0.25">
      <c r="A46">
        <v>0.15357694065681199</v>
      </c>
      <c r="B46">
        <v>0</v>
      </c>
      <c r="C46">
        <v>0</v>
      </c>
    </row>
    <row r="47" spans="1:3" x14ac:dyDescent="0.25">
      <c r="A47">
        <v>0.15706744524615801</v>
      </c>
      <c r="B47">
        <v>0.01</v>
      </c>
      <c r="C47">
        <v>0</v>
      </c>
    </row>
    <row r="48" spans="1:3" x14ac:dyDescent="0.25">
      <c r="A48">
        <v>0.160557991575312</v>
      </c>
      <c r="B48">
        <v>0.01</v>
      </c>
      <c r="C48">
        <v>0</v>
      </c>
    </row>
    <row r="49" spans="1:3" x14ac:dyDescent="0.25">
      <c r="A49">
        <v>0.164048462145858</v>
      </c>
      <c r="B49">
        <v>0.02</v>
      </c>
      <c r="C49">
        <v>0</v>
      </c>
    </row>
    <row r="50" spans="1:3" x14ac:dyDescent="0.25">
      <c r="A50">
        <v>0.16753901471142399</v>
      </c>
      <c r="B50">
        <v>0.02</v>
      </c>
      <c r="C50">
        <v>0</v>
      </c>
    </row>
    <row r="51" spans="1:3" x14ac:dyDescent="0.25">
      <c r="A51">
        <v>0.17102937917466501</v>
      </c>
      <c r="B51">
        <v>0</v>
      </c>
      <c r="C51">
        <v>0</v>
      </c>
    </row>
    <row r="52" spans="1:3" x14ac:dyDescent="0.25">
      <c r="A52">
        <v>0.174519679618103</v>
      </c>
      <c r="B52">
        <v>0.01</v>
      </c>
      <c r="C52">
        <v>0</v>
      </c>
    </row>
    <row r="53" spans="1:3" x14ac:dyDescent="0.25">
      <c r="A53">
        <v>0.178010110490852</v>
      </c>
      <c r="B53">
        <v>0.01</v>
      </c>
      <c r="C53">
        <v>0</v>
      </c>
    </row>
    <row r="54" spans="1:3" x14ac:dyDescent="0.25">
      <c r="A54">
        <v>0.181500453899304</v>
      </c>
      <c r="B54">
        <v>0.02</v>
      </c>
      <c r="C54">
        <v>0</v>
      </c>
    </row>
    <row r="55" spans="1:3" x14ac:dyDescent="0.25">
      <c r="A55">
        <v>0.184991157231507</v>
      </c>
      <c r="B55">
        <v>0.02</v>
      </c>
      <c r="C55">
        <v>0</v>
      </c>
    </row>
    <row r="56" spans="1:3" x14ac:dyDescent="0.25">
      <c r="A56">
        <v>0.18848165795207</v>
      </c>
      <c r="B56">
        <v>0</v>
      </c>
      <c r="C56">
        <v>0</v>
      </c>
    </row>
    <row r="57" spans="1:3" x14ac:dyDescent="0.25">
      <c r="A57">
        <v>0.191972184556502</v>
      </c>
      <c r="B57">
        <v>0.03</v>
      </c>
      <c r="C57">
        <v>0</v>
      </c>
    </row>
    <row r="58" spans="1:3" x14ac:dyDescent="0.25">
      <c r="A58">
        <v>0.19546282684913399</v>
      </c>
      <c r="B58">
        <v>0.01</v>
      </c>
      <c r="C58">
        <v>0</v>
      </c>
    </row>
    <row r="59" spans="1:3" x14ac:dyDescent="0.25">
      <c r="A59">
        <v>0.198953434797349</v>
      </c>
      <c r="B59">
        <v>0.01</v>
      </c>
      <c r="C59">
        <v>0</v>
      </c>
    </row>
    <row r="60" spans="1:3" x14ac:dyDescent="0.25">
      <c r="A60">
        <v>0.20244410328291099</v>
      </c>
      <c r="B60">
        <v>0</v>
      </c>
      <c r="C60">
        <v>0</v>
      </c>
    </row>
    <row r="61" spans="1:3" x14ac:dyDescent="0.25">
      <c r="A61">
        <v>0.205934709200153</v>
      </c>
      <c r="B61">
        <v>0.03</v>
      </c>
      <c r="C61">
        <v>0</v>
      </c>
    </row>
    <row r="62" spans="1:3" x14ac:dyDescent="0.25">
      <c r="A62">
        <v>0.20942493997790201</v>
      </c>
      <c r="B62">
        <v>0.01</v>
      </c>
      <c r="C62">
        <v>0</v>
      </c>
    </row>
    <row r="63" spans="1:3" x14ac:dyDescent="0.25">
      <c r="A63">
        <v>0.21291535018218899</v>
      </c>
      <c r="B63">
        <v>0.02</v>
      </c>
      <c r="C63">
        <v>0</v>
      </c>
    </row>
    <row r="64" spans="1:3" x14ac:dyDescent="0.25">
      <c r="A64">
        <v>0.21640599959978399</v>
      </c>
      <c r="B64">
        <v>0.01</v>
      </c>
      <c r="C64">
        <v>0</v>
      </c>
    </row>
    <row r="65" spans="1:3" x14ac:dyDescent="0.25">
      <c r="A65">
        <v>0.21989652596138101</v>
      </c>
      <c r="B65">
        <v>0.02</v>
      </c>
      <c r="C65">
        <v>0</v>
      </c>
    </row>
    <row r="66" spans="1:3" x14ac:dyDescent="0.25">
      <c r="A66">
        <v>0.22338697352895001</v>
      </c>
      <c r="B66">
        <v>0.01</v>
      </c>
      <c r="C66">
        <v>0</v>
      </c>
    </row>
    <row r="67" spans="1:3" x14ac:dyDescent="0.25">
      <c r="A67">
        <v>0.22687746932109201</v>
      </c>
      <c r="B67">
        <v>0.02</v>
      </c>
      <c r="C67">
        <v>0</v>
      </c>
    </row>
    <row r="68" spans="1:3" x14ac:dyDescent="0.25">
      <c r="A68">
        <v>0.230367724371177</v>
      </c>
      <c r="B68">
        <v>0.01</v>
      </c>
      <c r="C68">
        <v>0</v>
      </c>
    </row>
    <row r="69" spans="1:3" x14ac:dyDescent="0.25">
      <c r="A69">
        <v>0.23385820223225501</v>
      </c>
      <c r="B69">
        <v>0.02</v>
      </c>
      <c r="C69">
        <v>0</v>
      </c>
    </row>
    <row r="70" spans="1:3" x14ac:dyDescent="0.25">
      <c r="A70">
        <v>0.23734867790782899</v>
      </c>
      <c r="B70">
        <v>0.01</v>
      </c>
      <c r="C70">
        <v>0</v>
      </c>
    </row>
    <row r="71" spans="1:3" x14ac:dyDescent="0.25">
      <c r="A71">
        <v>0.240839359191833</v>
      </c>
      <c r="B71">
        <v>0.03</v>
      </c>
      <c r="C71">
        <v>0</v>
      </c>
    </row>
    <row r="72" spans="1:3" x14ac:dyDescent="0.25">
      <c r="A72">
        <v>0.244329972885273</v>
      </c>
      <c r="B72">
        <v>0.03</v>
      </c>
      <c r="C72">
        <v>0</v>
      </c>
    </row>
    <row r="73" spans="1:3" x14ac:dyDescent="0.25">
      <c r="A73">
        <v>0.247820596330696</v>
      </c>
      <c r="B73">
        <v>0.03</v>
      </c>
      <c r="C73">
        <v>0</v>
      </c>
    </row>
    <row r="74" spans="1:3" x14ac:dyDescent="0.25">
      <c r="A74">
        <v>0.25131096874674203</v>
      </c>
      <c r="B74">
        <v>0.03</v>
      </c>
      <c r="C74">
        <v>0</v>
      </c>
    </row>
    <row r="75" spans="1:3" x14ac:dyDescent="0.25">
      <c r="A75">
        <v>0.25480151760909298</v>
      </c>
      <c r="B75">
        <v>0.03</v>
      </c>
      <c r="C75">
        <v>0</v>
      </c>
    </row>
    <row r="76" spans="1:3" x14ac:dyDescent="0.25">
      <c r="A76">
        <v>0.25829208553389299</v>
      </c>
      <c r="B76">
        <v>0.03</v>
      </c>
      <c r="C76">
        <v>0</v>
      </c>
    </row>
    <row r="77" spans="1:3" x14ac:dyDescent="0.25">
      <c r="A77">
        <v>0.26178257794291898</v>
      </c>
      <c r="B77">
        <v>0.02</v>
      </c>
      <c r="C77">
        <v>0</v>
      </c>
    </row>
    <row r="78" spans="1:3" x14ac:dyDescent="0.25">
      <c r="A78">
        <v>0.26527307337632899</v>
      </c>
      <c r="B78">
        <v>0.01</v>
      </c>
      <c r="C78">
        <v>0</v>
      </c>
    </row>
    <row r="79" spans="1:3" x14ac:dyDescent="0.25">
      <c r="A79">
        <v>0.268763522130472</v>
      </c>
      <c r="B79">
        <v>0.03</v>
      </c>
      <c r="C79">
        <v>0</v>
      </c>
    </row>
    <row r="80" spans="1:3" x14ac:dyDescent="0.25">
      <c r="A80">
        <v>0.27225407737824697</v>
      </c>
      <c r="B80">
        <v>0.01</v>
      </c>
      <c r="C80">
        <v>0</v>
      </c>
    </row>
    <row r="81" spans="1:3" x14ac:dyDescent="0.25">
      <c r="A81">
        <v>0.27574458359016302</v>
      </c>
      <c r="B81">
        <v>0.04</v>
      </c>
      <c r="C81">
        <v>0</v>
      </c>
    </row>
    <row r="82" spans="1:3" x14ac:dyDescent="0.25">
      <c r="A82">
        <v>0.27923501744314499</v>
      </c>
      <c r="B82">
        <v>0.04</v>
      </c>
      <c r="C82">
        <v>0</v>
      </c>
    </row>
    <row r="83" spans="1:3" x14ac:dyDescent="0.25">
      <c r="A83">
        <v>0.28272549465850499</v>
      </c>
      <c r="B83">
        <v>0.01</v>
      </c>
      <c r="C83">
        <v>0</v>
      </c>
    </row>
    <row r="84" spans="1:3" x14ac:dyDescent="0.25">
      <c r="A84">
        <v>0.286216089322611</v>
      </c>
      <c r="B84">
        <v>0.03</v>
      </c>
      <c r="C84">
        <v>0</v>
      </c>
    </row>
    <row r="85" spans="1:3" x14ac:dyDescent="0.25">
      <c r="A85">
        <v>0.28970646896296098</v>
      </c>
      <c r="B85">
        <v>0.01</v>
      </c>
      <c r="C85">
        <v>0</v>
      </c>
    </row>
    <row r="86" spans="1:3" x14ac:dyDescent="0.25">
      <c r="A86">
        <v>0.29319703220217302</v>
      </c>
      <c r="B86">
        <v>0.04</v>
      </c>
      <c r="C86">
        <v>0</v>
      </c>
    </row>
    <row r="87" spans="1:3" x14ac:dyDescent="0.25">
      <c r="A87">
        <v>0.29668739994366999</v>
      </c>
      <c r="B87">
        <v>0.04</v>
      </c>
      <c r="C87">
        <v>0</v>
      </c>
    </row>
    <row r="88" spans="1:3" x14ac:dyDescent="0.25">
      <c r="A88">
        <v>0.30017811583148102</v>
      </c>
      <c r="B88">
        <v>0.01</v>
      </c>
      <c r="C88">
        <v>0</v>
      </c>
    </row>
    <row r="89" spans="1:3" x14ac:dyDescent="0.25">
      <c r="A89">
        <v>0.30366879164620703</v>
      </c>
      <c r="B89">
        <v>0.04</v>
      </c>
      <c r="C89">
        <v>0</v>
      </c>
    </row>
    <row r="90" spans="1:3" x14ac:dyDescent="0.25">
      <c r="A90">
        <v>0.30715936387026699</v>
      </c>
      <c r="B90">
        <v>0.02</v>
      </c>
      <c r="C90">
        <v>0</v>
      </c>
    </row>
    <row r="91" spans="1:3" x14ac:dyDescent="0.25">
      <c r="A91">
        <v>0.31064977726450699</v>
      </c>
      <c r="B91">
        <v>0.01</v>
      </c>
      <c r="C91">
        <v>0</v>
      </c>
    </row>
    <row r="92" spans="1:3" x14ac:dyDescent="0.25">
      <c r="A92">
        <v>0.31414027696406399</v>
      </c>
      <c r="B92">
        <v>0.05</v>
      </c>
      <c r="C92">
        <v>0</v>
      </c>
    </row>
    <row r="93" spans="1:3" x14ac:dyDescent="0.25">
      <c r="A93">
        <v>0.31763089466426098</v>
      </c>
      <c r="B93">
        <v>0.02</v>
      </c>
      <c r="C93">
        <v>0</v>
      </c>
    </row>
    <row r="94" spans="1:3" x14ac:dyDescent="0.25">
      <c r="A94">
        <v>0.32112130076796902</v>
      </c>
      <c r="B94">
        <v>0.04</v>
      </c>
      <c r="C94">
        <v>0</v>
      </c>
    </row>
    <row r="95" spans="1:3" x14ac:dyDescent="0.25">
      <c r="A95">
        <v>0.32461172782160602</v>
      </c>
      <c r="B95">
        <v>0.04</v>
      </c>
      <c r="C95">
        <v>0</v>
      </c>
    </row>
    <row r="96" spans="1:3" x14ac:dyDescent="0.25">
      <c r="A96">
        <v>0.32810232204419598</v>
      </c>
      <c r="B96">
        <v>0.05</v>
      </c>
      <c r="C96">
        <v>0</v>
      </c>
    </row>
    <row r="97" spans="1:3" x14ac:dyDescent="0.25">
      <c r="A97">
        <v>0.33159281643452498</v>
      </c>
      <c r="B97">
        <v>0.04</v>
      </c>
      <c r="C97">
        <v>0</v>
      </c>
    </row>
    <row r="98" spans="1:3" x14ac:dyDescent="0.25">
      <c r="A98">
        <v>0.33508339874722298</v>
      </c>
      <c r="B98">
        <v>0.02</v>
      </c>
      <c r="C98">
        <v>0</v>
      </c>
    </row>
    <row r="99" spans="1:3" x14ac:dyDescent="0.25">
      <c r="A99">
        <v>0.338573917746544</v>
      </c>
      <c r="B99">
        <v>0.03</v>
      </c>
      <c r="C99">
        <v>0</v>
      </c>
    </row>
    <row r="100" spans="1:3" x14ac:dyDescent="0.25">
      <c r="A100">
        <v>0.34206458427839798</v>
      </c>
      <c r="B100">
        <v>0.03</v>
      </c>
      <c r="C100">
        <v>0</v>
      </c>
    </row>
    <row r="101" spans="1:3" x14ac:dyDescent="0.25">
      <c r="A101">
        <v>0.34555501532223498</v>
      </c>
      <c r="B101">
        <v>0.04</v>
      </c>
      <c r="C101">
        <v>0</v>
      </c>
    </row>
    <row r="102" spans="1:3" x14ac:dyDescent="0.25">
      <c r="A102">
        <v>0.34904543996961002</v>
      </c>
      <c r="B102">
        <v>0.04</v>
      </c>
      <c r="C102">
        <v>0</v>
      </c>
    </row>
    <row r="103" spans="1:3" x14ac:dyDescent="0.25">
      <c r="A103">
        <v>0.352535762119072</v>
      </c>
      <c r="B103">
        <v>0.04</v>
      </c>
      <c r="C103">
        <v>0</v>
      </c>
    </row>
    <row r="104" spans="1:3" x14ac:dyDescent="0.25">
      <c r="A104">
        <v>0.35602633890730401</v>
      </c>
      <c r="B104">
        <v>0.04</v>
      </c>
      <c r="C104">
        <v>0</v>
      </c>
    </row>
    <row r="105" spans="1:3" x14ac:dyDescent="0.25">
      <c r="A105">
        <v>0.35951679054233798</v>
      </c>
      <c r="B105">
        <v>0.05</v>
      </c>
      <c r="C105">
        <v>0</v>
      </c>
    </row>
    <row r="106" spans="1:3" x14ac:dyDescent="0.25">
      <c r="A106">
        <v>0.363007463183668</v>
      </c>
      <c r="B106">
        <v>0.06</v>
      </c>
      <c r="C106">
        <v>0</v>
      </c>
    </row>
    <row r="107" spans="1:3" x14ac:dyDescent="0.25">
      <c r="A107">
        <v>0.36649789371976099</v>
      </c>
      <c r="B107">
        <v>0.03</v>
      </c>
      <c r="C107">
        <v>0</v>
      </c>
    </row>
    <row r="108" spans="1:3" x14ac:dyDescent="0.25">
      <c r="A108">
        <v>0.36998844668269198</v>
      </c>
      <c r="B108">
        <v>0.06</v>
      </c>
      <c r="C108">
        <v>0</v>
      </c>
    </row>
    <row r="109" spans="1:3" x14ac:dyDescent="0.25">
      <c r="A109">
        <v>0.373478648359025</v>
      </c>
      <c r="B109">
        <v>0.04</v>
      </c>
      <c r="C109">
        <v>0</v>
      </c>
    </row>
    <row r="110" spans="1:3" x14ac:dyDescent="0.25">
      <c r="A110">
        <v>0.37696937935771802</v>
      </c>
      <c r="B110">
        <v>0.03</v>
      </c>
      <c r="C110">
        <v>0</v>
      </c>
    </row>
    <row r="111" spans="1:3" x14ac:dyDescent="0.25">
      <c r="A111">
        <v>0.38045993015722002</v>
      </c>
      <c r="B111">
        <v>0.06</v>
      </c>
      <c r="C111">
        <v>0</v>
      </c>
    </row>
    <row r="112" spans="1:3" x14ac:dyDescent="0.25">
      <c r="A112">
        <v>0.383950605524911</v>
      </c>
      <c r="B112">
        <v>0.05</v>
      </c>
      <c r="C112">
        <v>0</v>
      </c>
    </row>
    <row r="113" spans="1:3" x14ac:dyDescent="0.25">
      <c r="A113">
        <v>0.387440981682804</v>
      </c>
      <c r="B113">
        <v>0.03</v>
      </c>
      <c r="C113">
        <v>0</v>
      </c>
    </row>
    <row r="114" spans="1:3" x14ac:dyDescent="0.25">
      <c r="A114">
        <v>0.39093160735236299</v>
      </c>
      <c r="B114">
        <v>0.04</v>
      </c>
      <c r="C114">
        <v>0</v>
      </c>
    </row>
    <row r="115" spans="1:3" x14ac:dyDescent="0.25">
      <c r="A115">
        <v>0.39442219058120698</v>
      </c>
      <c r="B115">
        <v>0.05</v>
      </c>
      <c r="C115">
        <v>0</v>
      </c>
    </row>
    <row r="116" spans="1:3" x14ac:dyDescent="0.25">
      <c r="A116">
        <v>0.39791283004261802</v>
      </c>
      <c r="B116">
        <v>0.04</v>
      </c>
      <c r="C116">
        <v>0</v>
      </c>
    </row>
    <row r="117" spans="1:3" x14ac:dyDescent="0.25">
      <c r="A117">
        <v>0.40140333002364198</v>
      </c>
      <c r="B117">
        <v>0.05</v>
      </c>
      <c r="C117">
        <v>0</v>
      </c>
    </row>
    <row r="118" spans="1:3" x14ac:dyDescent="0.25">
      <c r="A118">
        <v>0.40489420355470102</v>
      </c>
      <c r="B118">
        <v>0.05</v>
      </c>
      <c r="C118">
        <v>0</v>
      </c>
    </row>
    <row r="119" spans="1:3" x14ac:dyDescent="0.25">
      <c r="A119">
        <v>0.40838468017401502</v>
      </c>
      <c r="B119">
        <v>0.05</v>
      </c>
      <c r="C119">
        <v>0</v>
      </c>
    </row>
    <row r="120" spans="1:3" x14ac:dyDescent="0.25">
      <c r="A120">
        <v>0.41187526636101601</v>
      </c>
      <c r="B120">
        <v>0.06</v>
      </c>
      <c r="C120">
        <v>0</v>
      </c>
    </row>
    <row r="121" spans="1:3" x14ac:dyDescent="0.25">
      <c r="A121">
        <v>0.41536592675579898</v>
      </c>
      <c r="B121">
        <v>0.06</v>
      </c>
      <c r="C121">
        <v>0</v>
      </c>
    </row>
    <row r="122" spans="1:3" x14ac:dyDescent="0.25">
      <c r="A122">
        <v>0.41885639106233902</v>
      </c>
      <c r="B122">
        <v>0.05</v>
      </c>
      <c r="C122">
        <v>0</v>
      </c>
    </row>
    <row r="123" spans="1:3" x14ac:dyDescent="0.25">
      <c r="A123">
        <v>0.42234676948852001</v>
      </c>
      <c r="B123">
        <v>0.06</v>
      </c>
      <c r="C123">
        <v>0</v>
      </c>
    </row>
    <row r="124" spans="1:3" x14ac:dyDescent="0.25">
      <c r="A124">
        <v>0.425837321027561</v>
      </c>
      <c r="B124">
        <v>0.04</v>
      </c>
      <c r="C124">
        <v>0</v>
      </c>
    </row>
    <row r="125" spans="1:3" x14ac:dyDescent="0.25">
      <c r="A125">
        <v>0.42932776420204699</v>
      </c>
      <c r="B125">
        <v>0.08</v>
      </c>
      <c r="C125">
        <v>0</v>
      </c>
    </row>
    <row r="126" spans="1:3" x14ac:dyDescent="0.25">
      <c r="A126">
        <v>0.43281837452892902</v>
      </c>
      <c r="B126">
        <v>0.06</v>
      </c>
      <c r="C126">
        <v>0</v>
      </c>
    </row>
    <row r="127" spans="1:3" x14ac:dyDescent="0.25">
      <c r="A127">
        <v>0.436309216618538</v>
      </c>
      <c r="B127">
        <v>0.06</v>
      </c>
      <c r="C127">
        <v>0</v>
      </c>
    </row>
    <row r="128" spans="1:3" x14ac:dyDescent="0.25">
      <c r="A128">
        <v>0.43979984217219897</v>
      </c>
      <c r="B128">
        <v>0.06</v>
      </c>
      <c r="C128">
        <v>0</v>
      </c>
    </row>
    <row r="129" spans="1:3" x14ac:dyDescent="0.25">
      <c r="A129">
        <v>0.44329043182509897</v>
      </c>
      <c r="B129">
        <v>7.0000000000000007E-2</v>
      </c>
      <c r="C129">
        <v>0</v>
      </c>
    </row>
    <row r="130" spans="1:3" x14ac:dyDescent="0.25">
      <c r="A130">
        <v>0.44678105053526401</v>
      </c>
      <c r="B130">
        <v>0.05</v>
      </c>
      <c r="C130">
        <v>0</v>
      </c>
    </row>
    <row r="131" spans="1:3" x14ac:dyDescent="0.25">
      <c r="A131">
        <v>0.45027159229472802</v>
      </c>
      <c r="B131">
        <v>0.06</v>
      </c>
      <c r="C131">
        <v>0</v>
      </c>
    </row>
    <row r="132" spans="1:3" x14ac:dyDescent="0.25">
      <c r="A132">
        <v>0.453762127834338</v>
      </c>
      <c r="B132">
        <v>0.06</v>
      </c>
      <c r="C132">
        <v>0</v>
      </c>
    </row>
    <row r="133" spans="1:3" x14ac:dyDescent="0.25">
      <c r="A133">
        <v>0.45725263888085299</v>
      </c>
      <c r="B133">
        <v>7.0000000000000007E-2</v>
      </c>
      <c r="C133">
        <v>0</v>
      </c>
    </row>
    <row r="134" spans="1:3" x14ac:dyDescent="0.25">
      <c r="A134">
        <v>0.46074303859361898</v>
      </c>
      <c r="B134">
        <v>0.05</v>
      </c>
      <c r="C134">
        <v>0</v>
      </c>
    </row>
    <row r="135" spans="1:3" x14ac:dyDescent="0.25">
      <c r="A135">
        <v>0.46423357162762602</v>
      </c>
      <c r="B135">
        <v>7.0000000000000007E-2</v>
      </c>
      <c r="C135">
        <v>0</v>
      </c>
    </row>
    <row r="136" spans="1:3" x14ac:dyDescent="0.25">
      <c r="A136">
        <v>0.46772431460795599</v>
      </c>
      <c r="B136">
        <v>0.06</v>
      </c>
      <c r="C136">
        <v>0</v>
      </c>
    </row>
    <row r="137" spans="1:3" x14ac:dyDescent="0.25">
      <c r="A137">
        <v>0.471214957342104</v>
      </c>
      <c r="B137">
        <v>7.0000000000000007E-2</v>
      </c>
      <c r="C137">
        <v>0</v>
      </c>
    </row>
    <row r="138" spans="1:3" x14ac:dyDescent="0.25">
      <c r="A138">
        <v>0.47470533741293103</v>
      </c>
      <c r="B138">
        <v>7.0000000000000007E-2</v>
      </c>
      <c r="C138">
        <v>0</v>
      </c>
    </row>
    <row r="139" spans="1:3" x14ac:dyDescent="0.25">
      <c r="A139">
        <v>0.47819615237690799</v>
      </c>
      <c r="B139">
        <v>0.06</v>
      </c>
      <c r="C139">
        <v>0</v>
      </c>
    </row>
    <row r="140" spans="1:3" x14ac:dyDescent="0.25">
      <c r="A140">
        <v>0.48168670336957298</v>
      </c>
      <c r="B140">
        <v>0.08</v>
      </c>
      <c r="C140">
        <v>0</v>
      </c>
    </row>
    <row r="141" spans="1:3" x14ac:dyDescent="0.25">
      <c r="A141">
        <v>0.48517719364828499</v>
      </c>
      <c r="B141">
        <v>0.06</v>
      </c>
      <c r="C141">
        <v>0</v>
      </c>
    </row>
    <row r="142" spans="1:3" x14ac:dyDescent="0.25">
      <c r="A142">
        <v>0.48866765750779001</v>
      </c>
      <c r="B142">
        <v>0.06</v>
      </c>
      <c r="C142">
        <v>0</v>
      </c>
    </row>
    <row r="143" spans="1:3" x14ac:dyDescent="0.25">
      <c r="A143">
        <v>0.492158261107074</v>
      </c>
      <c r="B143">
        <v>0.08</v>
      </c>
      <c r="C143">
        <v>0</v>
      </c>
    </row>
    <row r="144" spans="1:3" x14ac:dyDescent="0.25">
      <c r="A144">
        <v>0.49564881122222698</v>
      </c>
      <c r="B144">
        <v>0.06</v>
      </c>
      <c r="C144">
        <v>0</v>
      </c>
    </row>
    <row r="145" spans="1:3" x14ac:dyDescent="0.25">
      <c r="A145">
        <v>0.49913917253414802</v>
      </c>
      <c r="B145">
        <v>7.0000000000000007E-2</v>
      </c>
      <c r="C145">
        <v>0</v>
      </c>
    </row>
    <row r="146" spans="1:3" x14ac:dyDescent="0.25">
      <c r="A146">
        <v>0.50262961400879802</v>
      </c>
      <c r="B146">
        <v>0.09</v>
      </c>
      <c r="C146">
        <v>0</v>
      </c>
    </row>
    <row r="147" spans="1:3" x14ac:dyDescent="0.25">
      <c r="A147">
        <v>0.50612023396072603</v>
      </c>
      <c r="B147">
        <v>0.08</v>
      </c>
      <c r="C147">
        <v>0</v>
      </c>
    </row>
    <row r="148" spans="1:3" x14ac:dyDescent="0.25">
      <c r="A148">
        <v>0.50961080234359801</v>
      </c>
      <c r="B148">
        <v>7.0000000000000007E-2</v>
      </c>
      <c r="C148">
        <v>0</v>
      </c>
    </row>
    <row r="149" spans="1:3" x14ac:dyDescent="0.25">
      <c r="A149">
        <v>0.51310121039549506</v>
      </c>
      <c r="B149">
        <v>0.08</v>
      </c>
      <c r="C149">
        <v>0</v>
      </c>
    </row>
    <row r="150" spans="1:3" x14ac:dyDescent="0.25">
      <c r="A150">
        <v>0.51659157652545895</v>
      </c>
      <c r="B150">
        <v>7.0000000000000007E-2</v>
      </c>
      <c r="C150">
        <v>0</v>
      </c>
    </row>
    <row r="151" spans="1:3" x14ac:dyDescent="0.25">
      <c r="A151">
        <v>0.52008226558014203</v>
      </c>
      <c r="B151">
        <v>0.08</v>
      </c>
      <c r="C151">
        <v>0</v>
      </c>
    </row>
    <row r="152" spans="1:3" x14ac:dyDescent="0.25">
      <c r="A152">
        <v>0.52357298664472696</v>
      </c>
      <c r="B152">
        <v>0.08</v>
      </c>
      <c r="C152">
        <v>0</v>
      </c>
    </row>
    <row r="153" spans="1:3" x14ac:dyDescent="0.25">
      <c r="A153">
        <v>0.52706369472322601</v>
      </c>
      <c r="B153">
        <v>0.1</v>
      </c>
      <c r="C153">
        <v>0</v>
      </c>
    </row>
    <row r="154" spans="1:3" x14ac:dyDescent="0.25">
      <c r="A154">
        <v>0.53055431161213795</v>
      </c>
      <c r="B154">
        <v>0.08</v>
      </c>
      <c r="C154">
        <v>0</v>
      </c>
    </row>
    <row r="155" spans="1:3" x14ac:dyDescent="0.25">
      <c r="A155">
        <v>0.53404490462055898</v>
      </c>
      <c r="B155">
        <v>0.08</v>
      </c>
      <c r="C155">
        <v>0</v>
      </c>
    </row>
    <row r="156" spans="1:3" x14ac:dyDescent="0.25">
      <c r="A156">
        <v>0.53753554078715804</v>
      </c>
      <c r="B156">
        <v>0.08</v>
      </c>
      <c r="C156">
        <v>0</v>
      </c>
    </row>
    <row r="157" spans="1:3" x14ac:dyDescent="0.25">
      <c r="A157">
        <v>0.54102605619364297</v>
      </c>
      <c r="B157">
        <v>0.08</v>
      </c>
      <c r="C157">
        <v>0</v>
      </c>
    </row>
    <row r="158" spans="1:3" x14ac:dyDescent="0.25">
      <c r="A158">
        <v>0.54451654163775598</v>
      </c>
      <c r="B158">
        <v>0.11</v>
      </c>
      <c r="C158">
        <v>0</v>
      </c>
    </row>
    <row r="159" spans="1:3" x14ac:dyDescent="0.25">
      <c r="A159">
        <v>0.54800705983131004</v>
      </c>
      <c r="B159">
        <v>0.09</v>
      </c>
      <c r="C159">
        <v>0</v>
      </c>
    </row>
    <row r="160" spans="1:3" x14ac:dyDescent="0.25">
      <c r="A160">
        <v>0.55149759917347496</v>
      </c>
      <c r="B160">
        <v>0.09</v>
      </c>
      <c r="C160">
        <v>0</v>
      </c>
    </row>
    <row r="161" spans="1:3" x14ac:dyDescent="0.25">
      <c r="A161">
        <v>0.55498794980623101</v>
      </c>
      <c r="B161">
        <v>0.09</v>
      </c>
      <c r="C161">
        <v>0</v>
      </c>
    </row>
    <row r="162" spans="1:3" x14ac:dyDescent="0.25">
      <c r="A162">
        <v>0.55847832876775005</v>
      </c>
      <c r="B162">
        <v>0.09</v>
      </c>
      <c r="C162">
        <v>0</v>
      </c>
    </row>
    <row r="163" spans="1:3" x14ac:dyDescent="0.25">
      <c r="A163">
        <v>0.56196893400064196</v>
      </c>
      <c r="B163">
        <v>0.1</v>
      </c>
      <c r="C163">
        <v>0</v>
      </c>
    </row>
    <row r="164" spans="1:3" x14ac:dyDescent="0.25">
      <c r="A164">
        <v>0.56545927063734402</v>
      </c>
      <c r="B164">
        <v>0.08</v>
      </c>
      <c r="C164">
        <v>0</v>
      </c>
    </row>
    <row r="165" spans="1:3" x14ac:dyDescent="0.25">
      <c r="A165">
        <v>0.56894988797329105</v>
      </c>
      <c r="B165">
        <v>0.1</v>
      </c>
      <c r="C165">
        <v>0</v>
      </c>
    </row>
    <row r="166" spans="1:3" x14ac:dyDescent="0.25">
      <c r="A166">
        <v>0.57244009675802998</v>
      </c>
      <c r="B166">
        <v>0.1</v>
      </c>
      <c r="C166">
        <v>0</v>
      </c>
    </row>
    <row r="167" spans="1:3" x14ac:dyDescent="0.25">
      <c r="A167">
        <v>0.57593076164523804</v>
      </c>
      <c r="B167">
        <v>0.1</v>
      </c>
      <c r="C167">
        <v>0</v>
      </c>
    </row>
    <row r="168" spans="1:3" x14ac:dyDescent="0.25">
      <c r="A168">
        <v>0.57942131169968203</v>
      </c>
      <c r="B168">
        <v>0.09</v>
      </c>
      <c r="C168">
        <v>0</v>
      </c>
    </row>
    <row r="169" spans="1:3" x14ac:dyDescent="0.25">
      <c r="A169">
        <v>0.58291179533357995</v>
      </c>
      <c r="B169">
        <v>0.09</v>
      </c>
      <c r="C169">
        <v>0</v>
      </c>
    </row>
    <row r="170" spans="1:3" x14ac:dyDescent="0.25">
      <c r="A170">
        <v>0.58640227306220305</v>
      </c>
      <c r="B170">
        <v>0.11</v>
      </c>
      <c r="C170">
        <v>0</v>
      </c>
    </row>
    <row r="171" spans="1:3" x14ac:dyDescent="0.25">
      <c r="A171">
        <v>0.58989254443181904</v>
      </c>
      <c r="B171">
        <v>0.1</v>
      </c>
      <c r="C171">
        <v>0</v>
      </c>
    </row>
    <row r="172" spans="1:3" x14ac:dyDescent="0.25">
      <c r="A172">
        <v>0.59338331252888399</v>
      </c>
      <c r="B172">
        <v>0.11</v>
      </c>
      <c r="C172">
        <v>0</v>
      </c>
    </row>
    <row r="173" spans="1:3" x14ac:dyDescent="0.25">
      <c r="A173">
        <v>0.59687390376572302</v>
      </c>
      <c r="B173">
        <v>0.11</v>
      </c>
      <c r="C173">
        <v>0</v>
      </c>
    </row>
    <row r="174" spans="1:3" x14ac:dyDescent="0.25">
      <c r="A174">
        <v>0.60036426069559901</v>
      </c>
      <c r="B174">
        <v>0.12</v>
      </c>
      <c r="C174">
        <v>0</v>
      </c>
    </row>
    <row r="175" spans="1:3" x14ac:dyDescent="0.25">
      <c r="A175">
        <v>0.60385507590792797</v>
      </c>
      <c r="B175">
        <v>0.1</v>
      </c>
      <c r="C175">
        <v>0</v>
      </c>
    </row>
    <row r="176" spans="1:3" x14ac:dyDescent="0.25">
      <c r="A176">
        <v>0.60734541390781005</v>
      </c>
      <c r="B176">
        <v>0.1</v>
      </c>
      <c r="C176">
        <v>0</v>
      </c>
    </row>
    <row r="177" spans="1:3" x14ac:dyDescent="0.25">
      <c r="A177">
        <v>0.61083579699750301</v>
      </c>
      <c r="B177">
        <v>0.14000000000000001</v>
      </c>
      <c r="C177">
        <v>0</v>
      </c>
    </row>
    <row r="178" spans="1:3" x14ac:dyDescent="0.25">
      <c r="A178">
        <v>0.61432623490691196</v>
      </c>
      <c r="B178">
        <v>0.11</v>
      </c>
      <c r="C178">
        <v>0</v>
      </c>
    </row>
    <row r="179" spans="1:3" x14ac:dyDescent="0.25">
      <c r="A179">
        <v>0.61781688877829799</v>
      </c>
      <c r="B179">
        <v>0.13</v>
      </c>
      <c r="C179">
        <v>0</v>
      </c>
    </row>
    <row r="180" spans="1:3" x14ac:dyDescent="0.25">
      <c r="A180">
        <v>0.62130769576739397</v>
      </c>
      <c r="B180">
        <v>0.1</v>
      </c>
      <c r="C180">
        <v>0</v>
      </c>
    </row>
    <row r="181" spans="1:3" x14ac:dyDescent="0.25">
      <c r="A181">
        <v>0.62479843221880804</v>
      </c>
      <c r="B181">
        <v>0.13</v>
      </c>
      <c r="C181">
        <v>0</v>
      </c>
    </row>
    <row r="182" spans="1:3" x14ac:dyDescent="0.25">
      <c r="A182">
        <v>0.62828878297297996</v>
      </c>
      <c r="B182">
        <v>0.12</v>
      </c>
      <c r="C182">
        <v>0</v>
      </c>
    </row>
    <row r="183" spans="1:3" x14ac:dyDescent="0.25">
      <c r="A183">
        <v>0.631779174859877</v>
      </c>
      <c r="B183">
        <v>0.11</v>
      </c>
      <c r="C183">
        <v>0</v>
      </c>
    </row>
    <row r="184" spans="1:3" x14ac:dyDescent="0.25">
      <c r="A184">
        <v>0.63526995390653596</v>
      </c>
      <c r="B184">
        <v>0.12</v>
      </c>
      <c r="C184">
        <v>0</v>
      </c>
    </row>
    <row r="185" spans="1:3" x14ac:dyDescent="0.25">
      <c r="A185">
        <v>0.63876042306423197</v>
      </c>
      <c r="B185">
        <v>0.13</v>
      </c>
      <c r="C185">
        <v>0</v>
      </c>
    </row>
    <row r="186" spans="1:3" x14ac:dyDescent="0.25">
      <c r="A186">
        <v>0.64225082335096795</v>
      </c>
      <c r="B186">
        <v>0.15</v>
      </c>
      <c r="C186">
        <v>0</v>
      </c>
    </row>
    <row r="187" spans="1:3" x14ac:dyDescent="0.25">
      <c r="A187">
        <v>0.64574156059159205</v>
      </c>
      <c r="B187">
        <v>0.14000000000000001</v>
      </c>
      <c r="C187">
        <v>0</v>
      </c>
    </row>
    <row r="188" spans="1:3" x14ac:dyDescent="0.25">
      <c r="A188">
        <v>0.64923204825984104</v>
      </c>
      <c r="B188">
        <v>0.14000000000000001</v>
      </c>
      <c r="C188">
        <v>0</v>
      </c>
    </row>
    <row r="189" spans="1:3" x14ac:dyDescent="0.25">
      <c r="A189">
        <v>0.65272245883941604</v>
      </c>
      <c r="B189">
        <v>0.15</v>
      </c>
      <c r="C189">
        <v>0</v>
      </c>
    </row>
    <row r="190" spans="1:3" x14ac:dyDescent="0.25">
      <c r="A190">
        <v>0.65621300376675795</v>
      </c>
      <c r="B190">
        <v>0.15</v>
      </c>
      <c r="C190">
        <v>0</v>
      </c>
    </row>
    <row r="191" spans="1:3" x14ac:dyDescent="0.25">
      <c r="A191">
        <v>0.65970361780237297</v>
      </c>
      <c r="B191">
        <v>0.16</v>
      </c>
      <c r="C191">
        <v>0</v>
      </c>
    </row>
    <row r="192" spans="1:3" x14ac:dyDescent="0.25">
      <c r="A192">
        <v>0.66319413809864602</v>
      </c>
      <c r="B192">
        <v>0.17</v>
      </c>
      <c r="C192">
        <v>0</v>
      </c>
    </row>
    <row r="193" spans="1:3" x14ac:dyDescent="0.25">
      <c r="A193">
        <v>0.66668474185245996</v>
      </c>
      <c r="B193">
        <v>0.14000000000000001</v>
      </c>
      <c r="C193">
        <v>0</v>
      </c>
    </row>
    <row r="194" spans="1:3" x14ac:dyDescent="0.25">
      <c r="A194">
        <v>0.67017525602821904</v>
      </c>
      <c r="B194">
        <v>0.17</v>
      </c>
      <c r="C194">
        <v>0</v>
      </c>
    </row>
    <row r="195" spans="1:3" x14ac:dyDescent="0.25">
      <c r="A195">
        <v>0.673665753442932</v>
      </c>
      <c r="B195">
        <v>0.16</v>
      </c>
      <c r="C195">
        <v>0</v>
      </c>
    </row>
    <row r="196" spans="1:3" x14ac:dyDescent="0.25">
      <c r="A196">
        <v>0.677156316488981</v>
      </c>
      <c r="B196">
        <v>0.17</v>
      </c>
      <c r="C196">
        <v>0</v>
      </c>
    </row>
    <row r="197" spans="1:3" x14ac:dyDescent="0.25">
      <c r="A197">
        <v>0.68064685539514902</v>
      </c>
      <c r="B197">
        <v>0.16</v>
      </c>
      <c r="C197">
        <v>0</v>
      </c>
    </row>
    <row r="198" spans="1:3" x14ac:dyDescent="0.25">
      <c r="A198">
        <v>0.68413738747989705</v>
      </c>
      <c r="B198">
        <v>0.15</v>
      </c>
      <c r="C198">
        <v>0</v>
      </c>
    </row>
    <row r="199" spans="1:3" x14ac:dyDescent="0.25">
      <c r="A199">
        <v>0.68762805106463298</v>
      </c>
      <c r="B199">
        <v>0.17</v>
      </c>
      <c r="C199">
        <v>0</v>
      </c>
    </row>
    <row r="200" spans="1:3" x14ac:dyDescent="0.25">
      <c r="A200">
        <v>0.69111833175023396</v>
      </c>
      <c r="B200">
        <v>0.17</v>
      </c>
      <c r="C200">
        <v>0</v>
      </c>
    </row>
    <row r="201" spans="1:3" x14ac:dyDescent="0.25">
      <c r="A201">
        <v>0.69460867556156902</v>
      </c>
      <c r="B201">
        <v>0.17</v>
      </c>
      <c r="C201">
        <v>0</v>
      </c>
    </row>
    <row r="202" spans="1:3" x14ac:dyDescent="0.25">
      <c r="A202">
        <v>0.69809939639435903</v>
      </c>
      <c r="B202">
        <v>0.19</v>
      </c>
      <c r="C202">
        <v>0</v>
      </c>
    </row>
    <row r="203" spans="1:3" x14ac:dyDescent="0.25">
      <c r="A203">
        <v>0.70159003178830504</v>
      </c>
      <c r="B203">
        <v>0.18</v>
      </c>
      <c r="C203">
        <v>0</v>
      </c>
    </row>
    <row r="204" spans="1:3" x14ac:dyDescent="0.25">
      <c r="A204">
        <v>0.70508060213592305</v>
      </c>
      <c r="B204">
        <v>0.2</v>
      </c>
      <c r="C204">
        <v>0</v>
      </c>
    </row>
    <row r="205" spans="1:3" x14ac:dyDescent="0.25">
      <c r="A205">
        <v>0.70857104846172903</v>
      </c>
      <c r="B205">
        <v>0.21</v>
      </c>
      <c r="C205">
        <v>0</v>
      </c>
    </row>
    <row r="206" spans="1:3" x14ac:dyDescent="0.25">
      <c r="A206">
        <v>0.71206161593397499</v>
      </c>
      <c r="B206">
        <v>0.2</v>
      </c>
      <c r="C206">
        <v>0</v>
      </c>
    </row>
    <row r="207" spans="1:3" x14ac:dyDescent="0.25">
      <c r="A207">
        <v>0.71555225776853404</v>
      </c>
      <c r="B207">
        <v>0.19</v>
      </c>
      <c r="C207">
        <v>0</v>
      </c>
    </row>
    <row r="208" spans="1:3" x14ac:dyDescent="0.25">
      <c r="A208">
        <v>0.71904284528560103</v>
      </c>
      <c r="B208">
        <v>0.21</v>
      </c>
      <c r="C208">
        <v>0</v>
      </c>
    </row>
    <row r="209" spans="1:3" x14ac:dyDescent="0.25">
      <c r="A209">
        <v>0.72253349715360904</v>
      </c>
      <c r="B209">
        <v>0.22</v>
      </c>
      <c r="C209">
        <v>0</v>
      </c>
    </row>
    <row r="210" spans="1:3" x14ac:dyDescent="0.25">
      <c r="A210">
        <v>0.72602419885220304</v>
      </c>
      <c r="B210">
        <v>0.23</v>
      </c>
      <c r="C210">
        <v>0</v>
      </c>
    </row>
    <row r="211" spans="1:3" x14ac:dyDescent="0.25">
      <c r="A211">
        <v>0.729514726284477</v>
      </c>
      <c r="B211">
        <v>0.22</v>
      </c>
      <c r="C211">
        <v>0</v>
      </c>
    </row>
    <row r="212" spans="1:3" x14ac:dyDescent="0.25">
      <c r="A212">
        <v>0.73300526291683898</v>
      </c>
      <c r="B212">
        <v>0.22</v>
      </c>
      <c r="C212">
        <v>0</v>
      </c>
    </row>
    <row r="213" spans="1:3" x14ac:dyDescent="0.25">
      <c r="A213">
        <v>0.73649573210764796</v>
      </c>
      <c r="B213">
        <v>0.23</v>
      </c>
      <c r="C213">
        <v>0</v>
      </c>
    </row>
    <row r="214" spans="1:3" x14ac:dyDescent="0.25">
      <c r="A214">
        <v>0.73998644303392502</v>
      </c>
      <c r="B214">
        <v>0.23</v>
      </c>
      <c r="C214">
        <v>0</v>
      </c>
    </row>
    <row r="215" spans="1:3" x14ac:dyDescent="0.25">
      <c r="A215">
        <v>0.74347701582091796</v>
      </c>
      <c r="B215">
        <v>0.24</v>
      </c>
      <c r="C215">
        <v>0</v>
      </c>
    </row>
    <row r="216" spans="1:3" x14ac:dyDescent="0.25">
      <c r="A216">
        <v>0.74696753344050204</v>
      </c>
      <c r="B216">
        <v>0.24</v>
      </c>
      <c r="C216">
        <v>0</v>
      </c>
    </row>
    <row r="217" spans="1:3" x14ac:dyDescent="0.25">
      <c r="A217">
        <v>0.75045825575788805</v>
      </c>
      <c r="B217">
        <v>0.26</v>
      </c>
      <c r="C217">
        <v>0</v>
      </c>
    </row>
    <row r="218" spans="1:3" x14ac:dyDescent="0.25">
      <c r="A218">
        <v>0.75394881973663996</v>
      </c>
      <c r="B218">
        <v>0.26</v>
      </c>
      <c r="C218">
        <v>0</v>
      </c>
    </row>
    <row r="219" spans="1:3" x14ac:dyDescent="0.25">
      <c r="A219">
        <v>0.75743928947934402</v>
      </c>
      <c r="B219">
        <v>0.25</v>
      </c>
      <c r="C219">
        <v>0</v>
      </c>
    </row>
    <row r="220" spans="1:3" x14ac:dyDescent="0.25">
      <c r="A220">
        <v>0.76093026285922105</v>
      </c>
      <c r="B220">
        <v>0.28000000000000003</v>
      </c>
      <c r="C220">
        <v>0</v>
      </c>
    </row>
    <row r="221" spans="1:3" x14ac:dyDescent="0.25">
      <c r="A221">
        <v>0.76442065288071304</v>
      </c>
      <c r="B221">
        <v>0.27</v>
      </c>
      <c r="C221">
        <v>0</v>
      </c>
    </row>
    <row r="222" spans="1:3" x14ac:dyDescent="0.25">
      <c r="A222">
        <v>0.76791124801944799</v>
      </c>
      <c r="B222">
        <v>0.28999999999999998</v>
      </c>
      <c r="C222">
        <v>0</v>
      </c>
    </row>
    <row r="223" spans="1:3" x14ac:dyDescent="0.25">
      <c r="A223">
        <v>0.77140189573168705</v>
      </c>
      <c r="B223">
        <v>0.26</v>
      </c>
      <c r="C223">
        <v>0</v>
      </c>
    </row>
    <row r="224" spans="1:3" x14ac:dyDescent="0.25">
      <c r="A224">
        <v>0.77489226370497999</v>
      </c>
      <c r="B224">
        <v>0.27</v>
      </c>
      <c r="C224">
        <v>0</v>
      </c>
    </row>
    <row r="225" spans="1:3" x14ac:dyDescent="0.25">
      <c r="A225">
        <v>0.77838277756064</v>
      </c>
      <c r="B225">
        <v>0.31</v>
      </c>
      <c r="C225">
        <v>0</v>
      </c>
    </row>
    <row r="226" spans="1:3" x14ac:dyDescent="0.25">
      <c r="A226">
        <v>0.78187350302382796</v>
      </c>
      <c r="B226">
        <v>0.32</v>
      </c>
      <c r="C226">
        <v>0</v>
      </c>
    </row>
    <row r="227" spans="1:3" x14ac:dyDescent="0.25">
      <c r="A227">
        <v>0.78536412109379405</v>
      </c>
      <c r="B227">
        <v>0.3</v>
      </c>
      <c r="C227">
        <v>0</v>
      </c>
    </row>
    <row r="228" spans="1:3" x14ac:dyDescent="0.25">
      <c r="A228">
        <v>0.78885455257914705</v>
      </c>
      <c r="B228">
        <v>0.33</v>
      </c>
      <c r="C228">
        <v>0</v>
      </c>
    </row>
    <row r="229" spans="1:3" x14ac:dyDescent="0.25">
      <c r="A229">
        <v>0.79234506959164597</v>
      </c>
      <c r="B229">
        <v>0.32</v>
      </c>
      <c r="C229">
        <v>0</v>
      </c>
    </row>
    <row r="230" spans="1:3" x14ac:dyDescent="0.25">
      <c r="A230">
        <v>0.79583564958086705</v>
      </c>
      <c r="B230">
        <v>0.34</v>
      </c>
      <c r="C230">
        <v>0</v>
      </c>
    </row>
    <row r="231" spans="1:3" x14ac:dyDescent="0.25">
      <c r="A231">
        <v>0.79932585023067604</v>
      </c>
      <c r="B231">
        <v>0.35</v>
      </c>
      <c r="C231">
        <v>0</v>
      </c>
    </row>
    <row r="232" spans="1:3" x14ac:dyDescent="0.25">
      <c r="A232">
        <v>0.80281660982304104</v>
      </c>
      <c r="B232">
        <v>0.34</v>
      </c>
      <c r="C232">
        <v>0</v>
      </c>
    </row>
    <row r="233" spans="1:3" x14ac:dyDescent="0.25">
      <c r="A233">
        <v>0.80630711627779195</v>
      </c>
      <c r="B233">
        <v>0.35</v>
      </c>
      <c r="C233">
        <v>0</v>
      </c>
    </row>
    <row r="234" spans="1:3" x14ac:dyDescent="0.25">
      <c r="A234">
        <v>0.80979787420895399</v>
      </c>
      <c r="B234">
        <v>0.37</v>
      </c>
      <c r="C234">
        <v>0</v>
      </c>
    </row>
    <row r="235" spans="1:3" x14ac:dyDescent="0.25">
      <c r="A235">
        <v>0.81328854069113699</v>
      </c>
      <c r="B235">
        <v>0.36</v>
      </c>
      <c r="C235">
        <v>0</v>
      </c>
    </row>
    <row r="236" spans="1:3" x14ac:dyDescent="0.25">
      <c r="A236">
        <v>0.81677928353349405</v>
      </c>
      <c r="B236">
        <v>0.35</v>
      </c>
      <c r="C236">
        <v>0</v>
      </c>
    </row>
    <row r="237" spans="1:3" x14ac:dyDescent="0.25">
      <c r="A237">
        <v>0.82026979920488796</v>
      </c>
      <c r="B237">
        <v>0.38</v>
      </c>
      <c r="C237">
        <v>0</v>
      </c>
    </row>
    <row r="238" spans="1:3" x14ac:dyDescent="0.25">
      <c r="A238">
        <v>0.82376026017246395</v>
      </c>
      <c r="B238">
        <v>0.38</v>
      </c>
      <c r="C238">
        <v>0</v>
      </c>
    </row>
    <row r="239" spans="1:3" x14ac:dyDescent="0.25">
      <c r="A239">
        <v>0.82725081838943304</v>
      </c>
      <c r="B239">
        <v>0.39</v>
      </c>
      <c r="C239">
        <v>0</v>
      </c>
    </row>
    <row r="240" spans="1:3" x14ac:dyDescent="0.25">
      <c r="A240">
        <v>0.83074142194456502</v>
      </c>
      <c r="B240">
        <v>0.42</v>
      </c>
      <c r="C240">
        <v>0</v>
      </c>
    </row>
    <row r="241" spans="1:3" x14ac:dyDescent="0.25">
      <c r="A241">
        <v>0.83423223709066696</v>
      </c>
      <c r="B241">
        <v>0.41</v>
      </c>
      <c r="C241">
        <v>0</v>
      </c>
    </row>
    <row r="242" spans="1:3" x14ac:dyDescent="0.25">
      <c r="A242">
        <v>0.83772280312798597</v>
      </c>
      <c r="B242">
        <v>0.42</v>
      </c>
      <c r="C242">
        <v>0</v>
      </c>
    </row>
    <row r="243" spans="1:3" x14ac:dyDescent="0.25">
      <c r="A243">
        <v>0.84121341992307597</v>
      </c>
      <c r="B243">
        <v>0.44</v>
      </c>
      <c r="C243">
        <v>0</v>
      </c>
    </row>
    <row r="244" spans="1:3" x14ac:dyDescent="0.25">
      <c r="A244">
        <v>0.84470418986898899</v>
      </c>
      <c r="B244">
        <v>0.45</v>
      </c>
      <c r="C244">
        <v>0</v>
      </c>
    </row>
    <row r="245" spans="1:3" x14ac:dyDescent="0.25">
      <c r="A245">
        <v>0.848194842851824</v>
      </c>
      <c r="B245">
        <v>0.47</v>
      </c>
      <c r="C245">
        <v>0</v>
      </c>
    </row>
    <row r="246" spans="1:3" x14ac:dyDescent="0.25">
      <c r="A246">
        <v>0.85168539514696195</v>
      </c>
      <c r="B246">
        <v>0.49</v>
      </c>
      <c r="C246">
        <v>0</v>
      </c>
    </row>
    <row r="247" spans="1:3" x14ac:dyDescent="0.25">
      <c r="A247">
        <v>0.85517614334821701</v>
      </c>
      <c r="B247">
        <v>0.47</v>
      </c>
      <c r="C247">
        <v>0</v>
      </c>
    </row>
    <row r="248" spans="1:3" x14ac:dyDescent="0.25">
      <c r="A248">
        <v>0.85866679917331101</v>
      </c>
      <c r="B248">
        <v>0.49</v>
      </c>
      <c r="C248">
        <v>0</v>
      </c>
    </row>
    <row r="249" spans="1:3" x14ac:dyDescent="0.25">
      <c r="A249">
        <v>0.86215750259381796</v>
      </c>
      <c r="B249">
        <v>0.5</v>
      </c>
      <c r="C249">
        <v>0</v>
      </c>
    </row>
    <row r="250" spans="1:3" x14ac:dyDescent="0.25">
      <c r="A250">
        <v>0.86564824303543098</v>
      </c>
      <c r="B250">
        <v>0.49</v>
      </c>
      <c r="C250">
        <v>0</v>
      </c>
    </row>
    <row r="251" spans="1:3" x14ac:dyDescent="0.25">
      <c r="A251">
        <v>0.869138789756431</v>
      </c>
      <c r="B251">
        <v>0.51</v>
      </c>
      <c r="C251">
        <v>0</v>
      </c>
    </row>
    <row r="252" spans="1:3" x14ac:dyDescent="0.25">
      <c r="A252">
        <v>0.87262944959379996</v>
      </c>
      <c r="B252">
        <v>0.53</v>
      </c>
      <c r="C252">
        <v>0</v>
      </c>
    </row>
    <row r="253" spans="1:3" x14ac:dyDescent="0.25">
      <c r="A253">
        <v>0.87612015873193705</v>
      </c>
      <c r="B253">
        <v>0.55000000000000004</v>
      </c>
      <c r="C253">
        <v>0</v>
      </c>
    </row>
    <row r="254" spans="1:3" x14ac:dyDescent="0.25">
      <c r="A254">
        <v>0.87961069613695098</v>
      </c>
      <c r="B254">
        <v>0.56000000000000005</v>
      </c>
      <c r="C254">
        <v>0</v>
      </c>
    </row>
    <row r="255" spans="1:3" x14ac:dyDescent="0.25">
      <c r="A255">
        <v>0.88310131681186199</v>
      </c>
      <c r="B255">
        <v>0.57999999999999996</v>
      </c>
      <c r="C255">
        <v>0</v>
      </c>
    </row>
    <row r="256" spans="1:3" x14ac:dyDescent="0.25">
      <c r="A256">
        <v>0.88659191780620195</v>
      </c>
      <c r="B256">
        <v>0.6</v>
      </c>
      <c r="C256">
        <v>0</v>
      </c>
    </row>
    <row r="257" spans="1:3" x14ac:dyDescent="0.25">
      <c r="A257">
        <v>0.89008246076879705</v>
      </c>
      <c r="B257">
        <v>0.61</v>
      </c>
      <c r="C257">
        <v>0</v>
      </c>
    </row>
    <row r="258" spans="1:3" x14ac:dyDescent="0.25">
      <c r="A258">
        <v>0.89357313178755604</v>
      </c>
      <c r="B258">
        <v>0.62</v>
      </c>
      <c r="C258">
        <v>0</v>
      </c>
    </row>
    <row r="259" spans="1:3" x14ac:dyDescent="0.25">
      <c r="A259">
        <v>0.89706379042179496</v>
      </c>
      <c r="B259">
        <v>0.62</v>
      </c>
      <c r="C259">
        <v>0</v>
      </c>
    </row>
    <row r="260" spans="1:3" x14ac:dyDescent="0.25">
      <c r="A260">
        <v>0.90055411635173699</v>
      </c>
      <c r="B260">
        <v>0.66</v>
      </c>
      <c r="C260">
        <v>0</v>
      </c>
    </row>
    <row r="261" spans="1:3" x14ac:dyDescent="0.25">
      <c r="A261">
        <v>0.90404481323228902</v>
      </c>
      <c r="B261">
        <v>0.69</v>
      </c>
      <c r="C261">
        <v>0</v>
      </c>
    </row>
    <row r="262" spans="1:3" x14ac:dyDescent="0.25">
      <c r="A262">
        <v>0.90753544827854205</v>
      </c>
      <c r="B262">
        <v>0.68</v>
      </c>
      <c r="C262">
        <v>0</v>
      </c>
    </row>
    <row r="263" spans="1:3" x14ac:dyDescent="0.25">
      <c r="A263">
        <v>0.91102609752504904</v>
      </c>
      <c r="B263">
        <v>0.72</v>
      </c>
      <c r="C263">
        <v>0</v>
      </c>
    </row>
    <row r="264" spans="1:3" x14ac:dyDescent="0.25">
      <c r="A264">
        <v>0.91451664295461399</v>
      </c>
      <c r="B264">
        <v>0.75</v>
      </c>
      <c r="C264">
        <v>0</v>
      </c>
    </row>
    <row r="265" spans="1:3" x14ac:dyDescent="0.25">
      <c r="A265">
        <v>0.91800748210262395</v>
      </c>
      <c r="B265">
        <v>0.77</v>
      </c>
      <c r="C265">
        <v>0</v>
      </c>
    </row>
    <row r="266" spans="1:3" x14ac:dyDescent="0.25">
      <c r="A266">
        <v>0.921498090536506</v>
      </c>
      <c r="B266">
        <v>0.77</v>
      </c>
      <c r="C266">
        <v>0</v>
      </c>
    </row>
    <row r="267" spans="1:3" x14ac:dyDescent="0.25">
      <c r="A267">
        <v>0.924988473284024</v>
      </c>
      <c r="B267">
        <v>0.8</v>
      </c>
      <c r="C267">
        <v>0</v>
      </c>
    </row>
    <row r="268" spans="1:3" x14ac:dyDescent="0.25">
      <c r="A268">
        <v>0.92847933271416905</v>
      </c>
      <c r="B268">
        <v>0.82</v>
      </c>
      <c r="C268">
        <v>0</v>
      </c>
    </row>
    <row r="269" spans="1:3" x14ac:dyDescent="0.25">
      <c r="A269">
        <v>0.93196990310042005</v>
      </c>
      <c r="B269">
        <v>0.82</v>
      </c>
      <c r="C269">
        <v>0</v>
      </c>
    </row>
    <row r="270" spans="1:3" x14ac:dyDescent="0.25">
      <c r="A270">
        <v>0.93546049347078397</v>
      </c>
      <c r="B270">
        <v>0.84</v>
      </c>
      <c r="C270">
        <v>0</v>
      </c>
    </row>
    <row r="271" spans="1:3" x14ac:dyDescent="0.25">
      <c r="A271">
        <v>0.93895121982252205</v>
      </c>
      <c r="B271">
        <v>0.86</v>
      </c>
      <c r="C271">
        <v>0</v>
      </c>
    </row>
    <row r="272" spans="1:3" x14ac:dyDescent="0.25">
      <c r="A272">
        <v>0.94244175693503096</v>
      </c>
      <c r="B272">
        <v>0.9</v>
      </c>
      <c r="C272">
        <v>0</v>
      </c>
    </row>
    <row r="273" spans="1:3" x14ac:dyDescent="0.25">
      <c r="A273">
        <v>0.94593218282968905</v>
      </c>
      <c r="B273">
        <v>0.9</v>
      </c>
      <c r="C273">
        <v>0</v>
      </c>
    </row>
    <row r="274" spans="1:3" x14ac:dyDescent="0.25">
      <c r="A274">
        <v>0.9494227161562</v>
      </c>
      <c r="B274">
        <v>0.92</v>
      </c>
      <c r="C274">
        <v>0</v>
      </c>
    </row>
    <row r="275" spans="1:3" x14ac:dyDescent="0.25">
      <c r="A275">
        <v>0.952913297304401</v>
      </c>
      <c r="B275">
        <v>0.95</v>
      </c>
      <c r="C275">
        <v>0</v>
      </c>
    </row>
    <row r="276" spans="1:3" x14ac:dyDescent="0.25">
      <c r="A276">
        <v>0.95640407233326497</v>
      </c>
      <c r="B276">
        <v>0.99</v>
      </c>
      <c r="C276">
        <v>0</v>
      </c>
    </row>
    <row r="277" spans="1:3" x14ac:dyDescent="0.25">
      <c r="A277">
        <v>0.95989475458308504</v>
      </c>
      <c r="B277">
        <v>0.98</v>
      </c>
      <c r="C277">
        <v>0</v>
      </c>
    </row>
    <row r="278" spans="1:3" x14ac:dyDescent="0.25">
      <c r="A278">
        <v>0.96338524201953901</v>
      </c>
      <c r="B278">
        <v>1.05</v>
      </c>
      <c r="C278">
        <v>0</v>
      </c>
    </row>
    <row r="279" spans="1:3" x14ac:dyDescent="0.25">
      <c r="A279">
        <v>0.96687581884088303</v>
      </c>
      <c r="B279">
        <v>1.07</v>
      </c>
      <c r="C279">
        <v>0</v>
      </c>
    </row>
    <row r="280" spans="1:3" x14ac:dyDescent="0.25">
      <c r="A280">
        <v>0.97036627243514395</v>
      </c>
      <c r="B280">
        <v>1.1200000000000001</v>
      </c>
      <c r="C280">
        <v>0</v>
      </c>
    </row>
    <row r="281" spans="1:3" x14ac:dyDescent="0.25">
      <c r="A281">
        <v>0.97385674734358396</v>
      </c>
      <c r="B281">
        <v>1.1599999999999999</v>
      </c>
      <c r="C281">
        <v>0</v>
      </c>
    </row>
    <row r="282" spans="1:3" x14ac:dyDescent="0.25">
      <c r="A282">
        <v>0.97734715409300899</v>
      </c>
      <c r="B282">
        <v>1.1399999999999999</v>
      </c>
      <c r="C282">
        <v>0</v>
      </c>
    </row>
    <row r="283" spans="1:3" x14ac:dyDescent="0.25">
      <c r="A283">
        <v>0.98083772062151497</v>
      </c>
      <c r="B283">
        <v>1.1100000000000001</v>
      </c>
      <c r="C283">
        <v>0</v>
      </c>
    </row>
    <row r="284" spans="1:3" x14ac:dyDescent="0.25">
      <c r="A284">
        <v>0.98432833785260199</v>
      </c>
      <c r="B284">
        <v>1.1399999999999999</v>
      </c>
      <c r="C284">
        <v>0</v>
      </c>
    </row>
    <row r="285" spans="1:3" x14ac:dyDescent="0.25">
      <c r="A285">
        <v>0.98781895217520199</v>
      </c>
      <c r="B285">
        <v>1.2</v>
      </c>
      <c r="C285">
        <v>0</v>
      </c>
    </row>
    <row r="286" spans="1:3" x14ac:dyDescent="0.25">
      <c r="A286">
        <v>0.99130972339599199</v>
      </c>
      <c r="B286">
        <v>1.25</v>
      </c>
      <c r="C286">
        <v>0</v>
      </c>
    </row>
    <row r="287" spans="1:3" x14ac:dyDescent="0.25">
      <c r="A287">
        <v>0.99480028310859603</v>
      </c>
      <c r="B287">
        <v>1.26</v>
      </c>
      <c r="C287">
        <v>0</v>
      </c>
    </row>
    <row r="288" spans="1:3" x14ac:dyDescent="0.25">
      <c r="A288">
        <v>0.99829089298844298</v>
      </c>
      <c r="B288">
        <v>1.3</v>
      </c>
      <c r="C288">
        <v>0</v>
      </c>
    </row>
    <row r="289" spans="1:3" x14ac:dyDescent="0.25">
      <c r="A289" s="98">
        <v>1001781507769110</v>
      </c>
      <c r="B289">
        <v>1.31</v>
      </c>
      <c r="C289">
        <v>0</v>
      </c>
    </row>
    <row r="290" spans="1:3" x14ac:dyDescent="0.25">
      <c r="A290" s="98">
        <v>1005272051498840</v>
      </c>
      <c r="B290">
        <v>1.37</v>
      </c>
      <c r="C290">
        <v>0</v>
      </c>
    </row>
    <row r="291" spans="1:3" x14ac:dyDescent="0.25">
      <c r="A291" s="98">
        <v>1008762714377150</v>
      </c>
      <c r="B291">
        <v>1.37</v>
      </c>
      <c r="C291">
        <v>0</v>
      </c>
    </row>
    <row r="292" spans="1:3" x14ac:dyDescent="0.25">
      <c r="A292" s="98">
        <v>1012253258675330</v>
      </c>
      <c r="B292">
        <v>1.42</v>
      </c>
      <c r="C292">
        <v>0</v>
      </c>
    </row>
    <row r="293" spans="1:3" x14ac:dyDescent="0.25">
      <c r="A293" s="98">
        <v>1015743850232270</v>
      </c>
      <c r="B293">
        <v>1.49</v>
      </c>
      <c r="C293">
        <v>0</v>
      </c>
    </row>
    <row r="294" spans="1:3" x14ac:dyDescent="0.25">
      <c r="A294" s="98">
        <v>1019234372211820</v>
      </c>
      <c r="B294">
        <v>1.49</v>
      </c>
      <c r="C294">
        <v>0</v>
      </c>
    </row>
    <row r="295" spans="1:3" x14ac:dyDescent="0.25">
      <c r="A295" s="98">
        <v>1022724727767480</v>
      </c>
      <c r="B295">
        <v>1.54</v>
      </c>
      <c r="C295">
        <v>0</v>
      </c>
    </row>
    <row r="296" spans="1:3" x14ac:dyDescent="0.25">
      <c r="A296" s="98">
        <v>1026215321620300</v>
      </c>
      <c r="B296">
        <v>1.55</v>
      </c>
      <c r="C296">
        <v>0</v>
      </c>
    </row>
    <row r="297" spans="1:3" x14ac:dyDescent="0.25">
      <c r="A297" s="98">
        <v>1029705836601830</v>
      </c>
      <c r="B297">
        <v>1.6</v>
      </c>
      <c r="C297">
        <v>0</v>
      </c>
    </row>
    <row r="298" spans="1:3" x14ac:dyDescent="0.25">
      <c r="A298" s="98">
        <v>1033196603981430</v>
      </c>
      <c r="B298">
        <v>1.62</v>
      </c>
      <c r="C298">
        <v>0</v>
      </c>
    </row>
    <row r="299" spans="1:3" x14ac:dyDescent="0.25">
      <c r="A299" s="98">
        <v>1036687197072630</v>
      </c>
      <c r="B299">
        <v>1.71</v>
      </c>
      <c r="C299">
        <v>0</v>
      </c>
    </row>
    <row r="300" spans="1:3" x14ac:dyDescent="0.25">
      <c r="A300" s="98">
        <v>1040177699183970</v>
      </c>
      <c r="B300">
        <v>1.65</v>
      </c>
      <c r="C300">
        <v>0</v>
      </c>
    </row>
    <row r="301" spans="1:3" x14ac:dyDescent="0.25">
      <c r="A301" s="98">
        <v>1043668355616150</v>
      </c>
      <c r="B301">
        <v>1.71</v>
      </c>
      <c r="C301">
        <v>0</v>
      </c>
    </row>
    <row r="302" spans="1:3" x14ac:dyDescent="0.25">
      <c r="A302" s="98">
        <v>1047158873450970</v>
      </c>
      <c r="B302">
        <v>1.72</v>
      </c>
      <c r="C302">
        <v>0</v>
      </c>
    </row>
    <row r="303" spans="1:3" x14ac:dyDescent="0.25">
      <c r="A303" s="98">
        <v>1050649402897660</v>
      </c>
      <c r="B303">
        <v>1.77</v>
      </c>
      <c r="C303">
        <v>0</v>
      </c>
    </row>
    <row r="304" spans="1:3" x14ac:dyDescent="0.25">
      <c r="A304" s="98">
        <v>1054140115899060</v>
      </c>
      <c r="B304">
        <v>1.8</v>
      </c>
      <c r="C304">
        <v>0</v>
      </c>
    </row>
    <row r="305" spans="1:3" x14ac:dyDescent="0.25">
      <c r="A305" s="98">
        <v>1057630630759170</v>
      </c>
      <c r="B305">
        <v>1.87</v>
      </c>
      <c r="C305">
        <v>0</v>
      </c>
    </row>
    <row r="306" spans="1:3" x14ac:dyDescent="0.25">
      <c r="A306" s="98">
        <v>1061121159990620</v>
      </c>
      <c r="B306">
        <v>1.89</v>
      </c>
      <c r="C306">
        <v>0</v>
      </c>
    </row>
    <row r="307" spans="1:3" x14ac:dyDescent="0.25">
      <c r="A307" s="98">
        <v>1064611850220840</v>
      </c>
      <c r="B307">
        <v>1.92</v>
      </c>
      <c r="C307">
        <v>0</v>
      </c>
    </row>
    <row r="308" spans="1:3" x14ac:dyDescent="0.25">
      <c r="A308" s="98">
        <v>1068102487756140</v>
      </c>
      <c r="B308">
        <v>2.0099999999999998</v>
      </c>
      <c r="C308">
        <v>0</v>
      </c>
    </row>
    <row r="309" spans="1:3" x14ac:dyDescent="0.25">
      <c r="A309" s="98">
        <v>1071592961080640</v>
      </c>
      <c r="B309">
        <v>2.02</v>
      </c>
      <c r="C309">
        <v>0</v>
      </c>
    </row>
    <row r="310" spans="1:3" x14ac:dyDescent="0.25">
      <c r="A310" s="98">
        <v>1075083425850780</v>
      </c>
      <c r="B310">
        <v>2.0299999999999998</v>
      </c>
      <c r="C310">
        <v>0.01</v>
      </c>
    </row>
    <row r="311" spans="1:3" x14ac:dyDescent="0.25">
      <c r="A311" s="98">
        <v>1078573932432460</v>
      </c>
      <c r="B311">
        <v>2.04</v>
      </c>
      <c r="C311">
        <v>0.01</v>
      </c>
    </row>
    <row r="312" spans="1:3" x14ac:dyDescent="0.25">
      <c r="A312" s="98">
        <v>1082064536638830</v>
      </c>
      <c r="B312">
        <v>2.08</v>
      </c>
      <c r="C312">
        <v>0.01</v>
      </c>
    </row>
    <row r="313" spans="1:3" x14ac:dyDescent="0.25">
      <c r="A313" s="98">
        <v>1085555245412720</v>
      </c>
      <c r="B313">
        <v>2.13</v>
      </c>
      <c r="C313">
        <v>0.01</v>
      </c>
    </row>
    <row r="314" spans="1:3" x14ac:dyDescent="0.25">
      <c r="A314" s="98">
        <v>1089045561916290</v>
      </c>
      <c r="B314">
        <v>2.0699999999999998</v>
      </c>
      <c r="C314">
        <v>0.01</v>
      </c>
    </row>
    <row r="315" spans="1:3" x14ac:dyDescent="0.25">
      <c r="A315" s="98">
        <v>1092535845129570</v>
      </c>
      <c r="B315">
        <v>2.17</v>
      </c>
      <c r="C315">
        <v>0.01</v>
      </c>
    </row>
    <row r="316" spans="1:3" x14ac:dyDescent="0.25">
      <c r="A316" s="98">
        <v>1096026285505950</v>
      </c>
      <c r="B316">
        <v>2.23</v>
      </c>
      <c r="C316">
        <v>0.01</v>
      </c>
    </row>
    <row r="317" spans="1:3" x14ac:dyDescent="0.25">
      <c r="A317" s="98">
        <v>1099516898470890</v>
      </c>
      <c r="B317">
        <v>2.23</v>
      </c>
      <c r="C317">
        <v>0.01</v>
      </c>
    </row>
    <row r="318" spans="1:3" x14ac:dyDescent="0.25">
      <c r="A318" s="98">
        <v>1103007404053650</v>
      </c>
      <c r="B318">
        <v>2.31</v>
      </c>
      <c r="C318">
        <v>0.01</v>
      </c>
    </row>
    <row r="319" spans="1:3" x14ac:dyDescent="0.25">
      <c r="A319" s="98">
        <v>1106498115570450</v>
      </c>
      <c r="B319">
        <v>2.2999999999999998</v>
      </c>
      <c r="C319">
        <v>0.01</v>
      </c>
    </row>
    <row r="320" spans="1:3" x14ac:dyDescent="0.25">
      <c r="A320" s="98">
        <v>1109988539997070</v>
      </c>
      <c r="B320">
        <v>2.35</v>
      </c>
      <c r="C320">
        <v>0.01</v>
      </c>
    </row>
    <row r="321" spans="1:3" x14ac:dyDescent="0.25">
      <c r="A321" s="98">
        <v>1113479001924940</v>
      </c>
      <c r="B321">
        <v>2.65</v>
      </c>
      <c r="C321">
        <v>0.01</v>
      </c>
    </row>
    <row r="322" spans="1:3" x14ac:dyDescent="0.25">
      <c r="A322" s="98">
        <v>1116969509709760</v>
      </c>
      <c r="B322">
        <v>2.58</v>
      </c>
      <c r="C322">
        <v>0.01</v>
      </c>
    </row>
    <row r="323" spans="1:3" x14ac:dyDescent="0.25">
      <c r="A323" s="98">
        <v>1120460010579330</v>
      </c>
      <c r="B323">
        <v>2.65</v>
      </c>
      <c r="C323">
        <v>0.01</v>
      </c>
    </row>
    <row r="324" spans="1:3" x14ac:dyDescent="0.25">
      <c r="A324" s="98">
        <v>1123950450276880</v>
      </c>
      <c r="B324">
        <v>2.67</v>
      </c>
      <c r="C324">
        <v>0.01</v>
      </c>
    </row>
    <row r="325" spans="1:3" x14ac:dyDescent="0.25">
      <c r="A325" s="98">
        <v>1127440954684100</v>
      </c>
      <c r="B325">
        <v>2.62</v>
      </c>
      <c r="C325">
        <v>0.01</v>
      </c>
    </row>
    <row r="326" spans="1:3" x14ac:dyDescent="0.25">
      <c r="A326" s="98">
        <v>1130931547515920</v>
      </c>
      <c r="B326">
        <v>2.7</v>
      </c>
      <c r="C326">
        <v>0.01</v>
      </c>
    </row>
    <row r="327" spans="1:3" x14ac:dyDescent="0.25">
      <c r="A327" s="98">
        <v>1134422208098350</v>
      </c>
      <c r="B327">
        <v>2.72</v>
      </c>
      <c r="C327">
        <v>0.01</v>
      </c>
    </row>
    <row r="328" spans="1:3" x14ac:dyDescent="0.25">
      <c r="A328" s="98">
        <v>1137912565960920</v>
      </c>
      <c r="B328">
        <v>2.76</v>
      </c>
      <c r="C328">
        <v>0.02</v>
      </c>
    </row>
    <row r="329" spans="1:3" x14ac:dyDescent="0.25">
      <c r="A329" s="98">
        <v>1141402927118310</v>
      </c>
      <c r="B329">
        <v>2.83</v>
      </c>
      <c r="C329">
        <v>0.02</v>
      </c>
    </row>
    <row r="330" spans="1:3" x14ac:dyDescent="0.25">
      <c r="A330" s="98">
        <v>1144893469722180</v>
      </c>
      <c r="B330">
        <v>2.77</v>
      </c>
      <c r="C330">
        <v>0.02</v>
      </c>
    </row>
    <row r="331" spans="1:3" x14ac:dyDescent="0.25">
      <c r="A331" s="98">
        <v>1148384200665680</v>
      </c>
      <c r="B331">
        <v>2.85</v>
      </c>
      <c r="C331">
        <v>0.02</v>
      </c>
    </row>
    <row r="332" spans="1:3" x14ac:dyDescent="0.25">
      <c r="A332" s="98">
        <v>1151874783138430</v>
      </c>
      <c r="B332">
        <v>2.88</v>
      </c>
      <c r="C332">
        <v>0.02</v>
      </c>
    </row>
    <row r="333" spans="1:3" x14ac:dyDescent="0.25">
      <c r="A333" s="98">
        <v>1155365295090050</v>
      </c>
      <c r="B333">
        <v>2.94</v>
      </c>
      <c r="C333">
        <v>0.02</v>
      </c>
    </row>
    <row r="334" spans="1:3" x14ac:dyDescent="0.25">
      <c r="A334" s="98">
        <v>1158855551144590</v>
      </c>
      <c r="B334">
        <v>2.86</v>
      </c>
      <c r="C334">
        <v>0.02</v>
      </c>
    </row>
    <row r="335" spans="1:3" x14ac:dyDescent="0.25">
      <c r="A335" s="98">
        <v>1162346096082970</v>
      </c>
      <c r="B335">
        <v>3</v>
      </c>
      <c r="C335">
        <v>0.02</v>
      </c>
    </row>
    <row r="336" spans="1:3" x14ac:dyDescent="0.25">
      <c r="A336" s="98">
        <v>1165836698341140</v>
      </c>
      <c r="B336">
        <v>2.98</v>
      </c>
      <c r="C336">
        <v>0.02</v>
      </c>
    </row>
    <row r="337" spans="1:3" x14ac:dyDescent="0.25">
      <c r="A337" s="98">
        <v>1169327358879420</v>
      </c>
      <c r="B337">
        <v>3.04</v>
      </c>
      <c r="C337">
        <v>0.02</v>
      </c>
    </row>
    <row r="338" spans="1:3" x14ac:dyDescent="0.25">
      <c r="A338" s="98">
        <v>1172817825741230</v>
      </c>
      <c r="B338">
        <v>3.13</v>
      </c>
      <c r="C338">
        <v>0.02</v>
      </c>
    </row>
    <row r="339" spans="1:3" x14ac:dyDescent="0.25">
      <c r="A339" s="98">
        <v>1176308309551740</v>
      </c>
      <c r="B339">
        <v>3.08</v>
      </c>
      <c r="C339">
        <v>0.02</v>
      </c>
    </row>
    <row r="340" spans="1:3" x14ac:dyDescent="0.25">
      <c r="A340" s="98">
        <v>1179798966833830</v>
      </c>
      <c r="B340">
        <v>3.15</v>
      </c>
      <c r="C340">
        <v>0.02</v>
      </c>
    </row>
    <row r="341" spans="1:3" x14ac:dyDescent="0.25">
      <c r="A341" s="98">
        <v>1183289412988550</v>
      </c>
      <c r="B341">
        <v>3.18</v>
      </c>
      <c r="C341">
        <v>0.02</v>
      </c>
    </row>
    <row r="342" spans="1:3" x14ac:dyDescent="0.25">
      <c r="A342" s="98">
        <v>1186779873740890</v>
      </c>
      <c r="B342">
        <v>3.22</v>
      </c>
      <c r="C342">
        <v>0.02</v>
      </c>
    </row>
    <row r="343" spans="1:3" x14ac:dyDescent="0.25">
      <c r="A343" s="98">
        <v>1190270462477640</v>
      </c>
      <c r="B343">
        <v>3.17</v>
      </c>
      <c r="C343">
        <v>0.03</v>
      </c>
    </row>
    <row r="344" spans="1:3" x14ac:dyDescent="0.25">
      <c r="A344" s="98">
        <v>1193761013663470</v>
      </c>
      <c r="B344">
        <v>3.03</v>
      </c>
      <c r="C344">
        <v>0.03</v>
      </c>
    </row>
    <row r="345" spans="1:3" x14ac:dyDescent="0.25">
      <c r="A345" s="98">
        <v>1197251768945540</v>
      </c>
      <c r="B345">
        <v>3.25</v>
      </c>
      <c r="C345">
        <v>0.03</v>
      </c>
    </row>
    <row r="346" spans="1:3" x14ac:dyDescent="0.25">
      <c r="A346" s="98">
        <v>1200742429163720</v>
      </c>
      <c r="B346">
        <v>3.24</v>
      </c>
      <c r="C346">
        <v>0.03</v>
      </c>
    </row>
    <row r="347" spans="1:3" x14ac:dyDescent="0.25">
      <c r="A347" s="98">
        <v>1204233090927200</v>
      </c>
      <c r="B347">
        <v>3.34</v>
      </c>
      <c r="C347">
        <v>0.03</v>
      </c>
    </row>
    <row r="348" spans="1:3" x14ac:dyDescent="0.25">
      <c r="A348" s="98">
        <v>1207723528367500</v>
      </c>
      <c r="B348">
        <v>3.27</v>
      </c>
      <c r="C348">
        <v>0.03</v>
      </c>
    </row>
    <row r="349" spans="1:3" x14ac:dyDescent="0.25">
      <c r="A349" s="98">
        <v>1211214098367420</v>
      </c>
      <c r="B349">
        <v>3.29</v>
      </c>
      <c r="C349">
        <v>0.03</v>
      </c>
    </row>
    <row r="350" spans="1:3" x14ac:dyDescent="0.25">
      <c r="A350" s="98">
        <v>1214704735792340</v>
      </c>
      <c r="B350">
        <v>3.33</v>
      </c>
      <c r="C350">
        <v>0.03</v>
      </c>
    </row>
    <row r="351" spans="1:3" x14ac:dyDescent="0.25">
      <c r="A351" s="98">
        <v>1218195455824880</v>
      </c>
      <c r="B351">
        <v>3.46</v>
      </c>
      <c r="C351">
        <v>0.03</v>
      </c>
    </row>
    <row r="352" spans="1:3" x14ac:dyDescent="0.25">
      <c r="A352" s="98">
        <v>1221686323268540</v>
      </c>
      <c r="B352">
        <v>3.46</v>
      </c>
      <c r="C352">
        <v>0.03</v>
      </c>
    </row>
    <row r="353" spans="1:3" x14ac:dyDescent="0.25">
      <c r="A353" s="98">
        <v>1225176887285930</v>
      </c>
      <c r="B353">
        <v>3.48</v>
      </c>
      <c r="C353">
        <v>0.03</v>
      </c>
    </row>
    <row r="354" spans="1:3" x14ac:dyDescent="0.25">
      <c r="A354" s="98">
        <v>1228667535897750</v>
      </c>
      <c r="B354">
        <v>3.46</v>
      </c>
      <c r="C354">
        <v>0.03</v>
      </c>
    </row>
    <row r="355" spans="1:3" x14ac:dyDescent="0.25">
      <c r="A355" s="98">
        <v>1232158268701140</v>
      </c>
      <c r="B355">
        <v>3.45</v>
      </c>
      <c r="C355">
        <v>0.03</v>
      </c>
    </row>
    <row r="356" spans="1:3" x14ac:dyDescent="0.25">
      <c r="A356" s="98">
        <v>1235648907478200</v>
      </c>
      <c r="B356">
        <v>3.52</v>
      </c>
      <c r="C356">
        <v>0.03</v>
      </c>
    </row>
    <row r="357" spans="1:3" x14ac:dyDescent="0.25">
      <c r="A357" s="98">
        <v>1239139371453610</v>
      </c>
      <c r="B357">
        <v>3.66</v>
      </c>
      <c r="C357">
        <v>0.03</v>
      </c>
    </row>
    <row r="358" spans="1:3" x14ac:dyDescent="0.25">
      <c r="A358" s="98">
        <v>1242630131283290</v>
      </c>
      <c r="B358">
        <v>3.58</v>
      </c>
      <c r="C358">
        <v>0.03</v>
      </c>
    </row>
    <row r="359" spans="1:3" x14ac:dyDescent="0.25">
      <c r="A359" s="98">
        <v>1246120788377740</v>
      </c>
      <c r="B359">
        <v>3.57</v>
      </c>
      <c r="C359">
        <v>0.03</v>
      </c>
    </row>
    <row r="360" spans="1:3" x14ac:dyDescent="0.25">
      <c r="A360" s="98">
        <v>1249611328801620</v>
      </c>
      <c r="B360">
        <v>3.68</v>
      </c>
      <c r="C360">
        <v>0.03</v>
      </c>
    </row>
    <row r="361" spans="1:3" x14ac:dyDescent="0.25">
      <c r="A361" s="98">
        <v>1253102126618220</v>
      </c>
      <c r="B361">
        <v>3.48</v>
      </c>
      <c r="C361">
        <v>0.03</v>
      </c>
    </row>
    <row r="362" spans="1:3" x14ac:dyDescent="0.25">
      <c r="A362" s="98">
        <v>1256592772663740</v>
      </c>
      <c r="B362">
        <v>3.55</v>
      </c>
      <c r="C362">
        <v>0.04</v>
      </c>
    </row>
    <row r="363" spans="1:3" x14ac:dyDescent="0.25">
      <c r="A363" s="98">
        <v>1260083268119220</v>
      </c>
      <c r="B363">
        <v>3.66</v>
      </c>
      <c r="C363">
        <v>0.03</v>
      </c>
    </row>
    <row r="364" spans="1:3" x14ac:dyDescent="0.25">
      <c r="A364" s="98">
        <v>1263573706414960</v>
      </c>
      <c r="B364">
        <v>3.74</v>
      </c>
      <c r="C364">
        <v>0.04</v>
      </c>
    </row>
    <row r="365" spans="1:3" x14ac:dyDescent="0.25">
      <c r="A365" s="98">
        <v>1267064061970620</v>
      </c>
      <c r="B365">
        <v>3.73</v>
      </c>
      <c r="C365">
        <v>0.03</v>
      </c>
    </row>
    <row r="366" spans="1:3" x14ac:dyDescent="0.25">
      <c r="A366" s="98">
        <v>1270554630701180</v>
      </c>
      <c r="B366">
        <v>3.79</v>
      </c>
      <c r="C366">
        <v>0.04</v>
      </c>
    </row>
    <row r="367" spans="1:3" x14ac:dyDescent="0.25">
      <c r="A367" s="98">
        <v>1274045134324710</v>
      </c>
      <c r="B367">
        <v>3.74</v>
      </c>
      <c r="C367">
        <v>0.03</v>
      </c>
    </row>
    <row r="368" spans="1:3" x14ac:dyDescent="0.25">
      <c r="A368" s="98">
        <v>1277535680675940</v>
      </c>
      <c r="B368">
        <v>3.71</v>
      </c>
      <c r="C368">
        <v>0.04</v>
      </c>
    </row>
    <row r="369" spans="1:3" x14ac:dyDescent="0.25">
      <c r="A369" s="98">
        <v>1281026209797020</v>
      </c>
      <c r="B369">
        <v>3.79</v>
      </c>
      <c r="C369">
        <v>0.04</v>
      </c>
    </row>
    <row r="370" spans="1:3" x14ac:dyDescent="0.25">
      <c r="A370" s="98">
        <v>1284516900352850</v>
      </c>
      <c r="B370">
        <v>3.93</v>
      </c>
      <c r="C370">
        <v>0.04</v>
      </c>
    </row>
    <row r="371" spans="1:3" x14ac:dyDescent="0.25">
      <c r="A371" s="98">
        <v>1288007422360000</v>
      </c>
      <c r="B371">
        <v>3.87</v>
      </c>
      <c r="C371">
        <v>0.04</v>
      </c>
    </row>
    <row r="372" spans="1:3" x14ac:dyDescent="0.25">
      <c r="A372" s="98">
        <v>1291497911998510</v>
      </c>
      <c r="B372">
        <v>3.95</v>
      </c>
      <c r="C372">
        <v>0.04</v>
      </c>
    </row>
    <row r="373" spans="1:3" x14ac:dyDescent="0.25">
      <c r="A373" s="98">
        <v>1294988473637230</v>
      </c>
      <c r="B373">
        <v>3.98</v>
      </c>
      <c r="C373">
        <v>0.04</v>
      </c>
    </row>
    <row r="374" spans="1:3" x14ac:dyDescent="0.25">
      <c r="A374" s="98">
        <v>1298478906618220</v>
      </c>
      <c r="B374">
        <v>3.97</v>
      </c>
      <c r="C374">
        <v>0.04</v>
      </c>
    </row>
    <row r="375" spans="1:3" x14ac:dyDescent="0.25">
      <c r="A375" s="98">
        <v>1301969405302290</v>
      </c>
      <c r="B375">
        <v>4.05</v>
      </c>
      <c r="C375">
        <v>0.04</v>
      </c>
    </row>
    <row r="376" spans="1:3" x14ac:dyDescent="0.25">
      <c r="A376" s="98">
        <v>1305459936211500</v>
      </c>
      <c r="B376">
        <v>4.0999999999999996</v>
      </c>
      <c r="C376">
        <v>0.04</v>
      </c>
    </row>
    <row r="377" spans="1:3" x14ac:dyDescent="0.25">
      <c r="A377" s="98">
        <v>1308950371940930</v>
      </c>
      <c r="B377">
        <v>4.1100000000000003</v>
      </c>
      <c r="C377">
        <v>0.04</v>
      </c>
    </row>
    <row r="378" spans="1:3" x14ac:dyDescent="0.25">
      <c r="A378" s="98">
        <v>1312440881193780</v>
      </c>
      <c r="B378">
        <v>4.0999999999999996</v>
      </c>
      <c r="C378">
        <v>0.05</v>
      </c>
    </row>
    <row r="379" spans="1:3" x14ac:dyDescent="0.25">
      <c r="A379" s="98">
        <v>1315931437285960</v>
      </c>
      <c r="B379">
        <v>4.12</v>
      </c>
      <c r="C379">
        <v>0.04</v>
      </c>
    </row>
    <row r="380" spans="1:3" x14ac:dyDescent="0.25">
      <c r="A380" s="98">
        <v>1319421855961830</v>
      </c>
      <c r="B380">
        <v>4.0999999999999996</v>
      </c>
      <c r="C380">
        <v>0.04</v>
      </c>
    </row>
    <row r="381" spans="1:3" x14ac:dyDescent="0.25">
      <c r="A381" s="98">
        <v>1322912425785150</v>
      </c>
      <c r="B381">
        <v>4.07</v>
      </c>
      <c r="C381">
        <v>0.05</v>
      </c>
    </row>
    <row r="382" spans="1:3" x14ac:dyDescent="0.25">
      <c r="A382" s="98">
        <v>1326403137329550</v>
      </c>
      <c r="B382">
        <v>4.09</v>
      </c>
      <c r="C382">
        <v>0.05</v>
      </c>
    </row>
    <row r="383" spans="1:3" x14ac:dyDescent="0.25">
      <c r="A383" s="98">
        <v>1329893704685900</v>
      </c>
      <c r="B383">
        <v>4.04</v>
      </c>
      <c r="C383">
        <v>0.05</v>
      </c>
    </row>
    <row r="384" spans="1:3" x14ac:dyDescent="0.25">
      <c r="A384" s="98">
        <v>1333384305514670</v>
      </c>
      <c r="B384">
        <v>4.16</v>
      </c>
      <c r="C384">
        <v>0.05</v>
      </c>
    </row>
    <row r="385" spans="1:3" x14ac:dyDescent="0.25">
      <c r="A385" s="98">
        <v>1336874955765620</v>
      </c>
      <c r="B385">
        <v>4.1900000000000004</v>
      </c>
      <c r="C385">
        <v>0.05</v>
      </c>
    </row>
    <row r="386" spans="1:3" x14ac:dyDescent="0.25">
      <c r="A386" s="98">
        <v>1340365474362060</v>
      </c>
      <c r="B386">
        <v>4.22</v>
      </c>
      <c r="C386">
        <v>0.05</v>
      </c>
    </row>
    <row r="387" spans="1:3" x14ac:dyDescent="0.25">
      <c r="A387" s="98">
        <v>1343856109093730</v>
      </c>
      <c r="B387">
        <v>4.18</v>
      </c>
      <c r="C387">
        <v>0.05</v>
      </c>
    </row>
    <row r="388" spans="1:3" x14ac:dyDescent="0.25">
      <c r="A388" s="98">
        <v>1347346697962940</v>
      </c>
      <c r="B388">
        <v>4.1900000000000004</v>
      </c>
      <c r="C388">
        <v>0.05</v>
      </c>
    </row>
    <row r="389" spans="1:3" x14ac:dyDescent="0.25">
      <c r="A389" s="98">
        <v>1350837186431440</v>
      </c>
      <c r="B389">
        <v>4.3099999999999996</v>
      </c>
      <c r="C389">
        <v>0.05</v>
      </c>
    </row>
    <row r="390" spans="1:3" x14ac:dyDescent="0.25">
      <c r="A390" s="98">
        <v>1354327711749960</v>
      </c>
      <c r="B390">
        <v>4.3</v>
      </c>
      <c r="C390">
        <v>0.05</v>
      </c>
    </row>
    <row r="391" spans="1:3" x14ac:dyDescent="0.25">
      <c r="A391" s="98">
        <v>1357818461943550</v>
      </c>
      <c r="B391">
        <v>4.3099999999999996</v>
      </c>
      <c r="C391">
        <v>0.05</v>
      </c>
    </row>
    <row r="392" spans="1:3" x14ac:dyDescent="0.25">
      <c r="A392" s="98">
        <v>1361309048434090</v>
      </c>
      <c r="B392">
        <v>4.4000000000000004</v>
      </c>
      <c r="C392">
        <v>0.05</v>
      </c>
    </row>
    <row r="393" spans="1:3" x14ac:dyDescent="0.25">
      <c r="A393" s="98">
        <v>1364799564480780</v>
      </c>
      <c r="B393">
        <v>4.38</v>
      </c>
      <c r="C393">
        <v>0.05</v>
      </c>
    </row>
    <row r="394" spans="1:3" x14ac:dyDescent="0.25">
      <c r="A394" s="98">
        <v>1368290076079190</v>
      </c>
      <c r="B394">
        <v>4.45</v>
      </c>
      <c r="C394">
        <v>0.05</v>
      </c>
    </row>
    <row r="395" spans="1:3" x14ac:dyDescent="0.25">
      <c r="A395" s="98">
        <v>1371780727146950</v>
      </c>
      <c r="B395">
        <v>4.49</v>
      </c>
      <c r="C395">
        <v>0.05</v>
      </c>
    </row>
    <row r="396" spans="1:3" x14ac:dyDescent="0.25">
      <c r="A396" s="98">
        <v>1375271282433360</v>
      </c>
      <c r="B396">
        <v>4.49</v>
      </c>
      <c r="C396">
        <v>0.05</v>
      </c>
    </row>
    <row r="397" spans="1:3" x14ac:dyDescent="0.25">
      <c r="A397" s="98">
        <v>1378761955665210</v>
      </c>
      <c r="B397">
        <v>4.51</v>
      </c>
      <c r="C397">
        <v>0.05</v>
      </c>
    </row>
    <row r="398" spans="1:3" x14ac:dyDescent="0.25">
      <c r="A398" s="98">
        <v>1382252578740870</v>
      </c>
      <c r="B398">
        <v>4.6900000000000004</v>
      </c>
      <c r="C398">
        <v>0.05</v>
      </c>
    </row>
    <row r="399" spans="1:3" x14ac:dyDescent="0.25">
      <c r="A399" s="98">
        <v>1385743219421960</v>
      </c>
      <c r="B399">
        <v>4.55</v>
      </c>
      <c r="C399">
        <v>0.05</v>
      </c>
    </row>
    <row r="400" spans="1:3" x14ac:dyDescent="0.25">
      <c r="A400" s="98">
        <v>1389233778544040</v>
      </c>
      <c r="B400">
        <v>4.75</v>
      </c>
      <c r="C400">
        <v>0.06</v>
      </c>
    </row>
    <row r="401" spans="1:3" x14ac:dyDescent="0.25">
      <c r="A401" s="98">
        <v>1392724398656020</v>
      </c>
      <c r="B401">
        <v>4.8</v>
      </c>
      <c r="C401">
        <v>0.06</v>
      </c>
    </row>
    <row r="402" spans="1:3" x14ac:dyDescent="0.25">
      <c r="A402" s="98">
        <v>1396215110829580</v>
      </c>
      <c r="B402">
        <v>4.6399999999999997</v>
      </c>
      <c r="C402">
        <v>0.06</v>
      </c>
    </row>
    <row r="403" spans="1:3" x14ac:dyDescent="0.25">
      <c r="A403" s="98">
        <v>1399705721046080</v>
      </c>
      <c r="B403">
        <v>4.66</v>
      </c>
      <c r="C403">
        <v>0.06</v>
      </c>
    </row>
    <row r="404" spans="1:3" x14ac:dyDescent="0.25">
      <c r="A404" s="98">
        <v>1403196392600180</v>
      </c>
      <c r="B404">
        <v>4.67</v>
      </c>
      <c r="C404">
        <v>0.06</v>
      </c>
    </row>
    <row r="405" spans="1:3" x14ac:dyDescent="0.25">
      <c r="A405" s="98">
        <v>1406686958218060</v>
      </c>
      <c r="B405">
        <v>4.63</v>
      </c>
      <c r="C405">
        <v>0.06</v>
      </c>
    </row>
    <row r="406" spans="1:3" x14ac:dyDescent="0.25">
      <c r="A406" s="98">
        <v>1410177650479250</v>
      </c>
      <c r="B406">
        <v>4.5999999999999996</v>
      </c>
      <c r="C406">
        <v>0.06</v>
      </c>
    </row>
    <row r="407" spans="1:3" x14ac:dyDescent="0.25">
      <c r="A407" s="98">
        <v>1413668348016560</v>
      </c>
      <c r="B407">
        <v>4.68</v>
      </c>
      <c r="C407">
        <v>0.06</v>
      </c>
    </row>
    <row r="408" spans="1:3" x14ac:dyDescent="0.25">
      <c r="A408" s="98">
        <v>1417158772426620</v>
      </c>
      <c r="B408">
        <v>4.78</v>
      </c>
      <c r="C408">
        <v>0.06</v>
      </c>
    </row>
    <row r="409" spans="1:3" x14ac:dyDescent="0.25">
      <c r="A409" s="98">
        <v>1420649586093640</v>
      </c>
      <c r="B409">
        <v>4.75</v>
      </c>
      <c r="C409">
        <v>7.0000000000000007E-2</v>
      </c>
    </row>
    <row r="410" spans="1:3" x14ac:dyDescent="0.25">
      <c r="A410" s="98">
        <v>1424140100545350</v>
      </c>
      <c r="B410">
        <v>4.6399999999999997</v>
      </c>
      <c r="C410">
        <v>7.0000000000000007E-2</v>
      </c>
    </row>
    <row r="411" spans="1:3" x14ac:dyDescent="0.25">
      <c r="A411" s="98">
        <v>1427630696147680</v>
      </c>
      <c r="B411">
        <v>4.82</v>
      </c>
      <c r="C411">
        <v>7.0000000000000007E-2</v>
      </c>
    </row>
    <row r="412" spans="1:3" x14ac:dyDescent="0.25">
      <c r="A412" s="98">
        <v>1431121525990740</v>
      </c>
      <c r="B412">
        <v>4.83</v>
      </c>
      <c r="C412">
        <v>7.0000000000000007E-2</v>
      </c>
    </row>
    <row r="413" spans="1:3" x14ac:dyDescent="0.25">
      <c r="A413" s="98">
        <v>1434612000441110</v>
      </c>
      <c r="B413">
        <v>5.0199999999999996</v>
      </c>
      <c r="C413">
        <v>7.0000000000000007E-2</v>
      </c>
    </row>
    <row r="414" spans="1:3" x14ac:dyDescent="0.25">
      <c r="A414" s="98">
        <v>1438102591208830</v>
      </c>
      <c r="B414">
        <v>4.9400000000000004</v>
      </c>
      <c r="C414">
        <v>7.0000000000000007E-2</v>
      </c>
    </row>
    <row r="415" spans="1:3" x14ac:dyDescent="0.25">
      <c r="A415" s="98">
        <v>1441593165149290</v>
      </c>
      <c r="B415">
        <v>5</v>
      </c>
      <c r="C415">
        <v>7.0000000000000007E-2</v>
      </c>
    </row>
    <row r="416" spans="1:3" x14ac:dyDescent="0.25">
      <c r="A416" s="98">
        <v>1445083742009260</v>
      </c>
      <c r="B416">
        <v>5.07</v>
      </c>
      <c r="C416">
        <v>7.0000000000000007E-2</v>
      </c>
    </row>
    <row r="417" spans="1:3" x14ac:dyDescent="0.25">
      <c r="A417" s="98">
        <v>1448574048711190</v>
      </c>
      <c r="B417">
        <v>4.97</v>
      </c>
      <c r="C417">
        <v>0.09</v>
      </c>
    </row>
    <row r="418" spans="1:3" x14ac:dyDescent="0.25">
      <c r="A418" s="98">
        <v>1452064570469980</v>
      </c>
      <c r="B418">
        <v>4.95</v>
      </c>
      <c r="C418">
        <v>0.08</v>
      </c>
    </row>
    <row r="419" spans="1:3" x14ac:dyDescent="0.25">
      <c r="A419" s="98">
        <v>1455555055389800</v>
      </c>
      <c r="B419">
        <v>5.08</v>
      </c>
      <c r="C419">
        <v>0.08</v>
      </c>
    </row>
    <row r="420" spans="1:3" x14ac:dyDescent="0.25">
      <c r="A420" s="98">
        <v>1459045538129630</v>
      </c>
      <c r="B420">
        <v>5.13</v>
      </c>
      <c r="C420">
        <v>0.08</v>
      </c>
    </row>
    <row r="421" spans="1:3" x14ac:dyDescent="0.25">
      <c r="A421" s="98">
        <v>1462536221163140</v>
      </c>
      <c r="B421">
        <v>5.16</v>
      </c>
      <c r="C421">
        <v>0.08</v>
      </c>
    </row>
    <row r="422" spans="1:3" x14ac:dyDescent="0.25">
      <c r="A422" s="98">
        <v>1466026754379270</v>
      </c>
      <c r="B422">
        <v>5.36</v>
      </c>
      <c r="C422">
        <v>0.08</v>
      </c>
    </row>
    <row r="423" spans="1:3" x14ac:dyDescent="0.25">
      <c r="A423" s="98">
        <v>1469517386930960</v>
      </c>
      <c r="B423">
        <v>5.23</v>
      </c>
      <c r="C423">
        <v>0.08</v>
      </c>
    </row>
    <row r="424" spans="1:3" x14ac:dyDescent="0.25">
      <c r="A424" s="98">
        <v>1473007927167190</v>
      </c>
      <c r="B424">
        <v>5.27</v>
      </c>
      <c r="C424">
        <v>0.08</v>
      </c>
    </row>
    <row r="425" spans="1:3" x14ac:dyDescent="0.25">
      <c r="A425" s="98">
        <v>1476498620935060</v>
      </c>
      <c r="B425">
        <v>5.3</v>
      </c>
      <c r="C425">
        <v>0.09</v>
      </c>
    </row>
    <row r="426" spans="1:3" x14ac:dyDescent="0.25">
      <c r="A426" s="98">
        <v>1479989075042580</v>
      </c>
      <c r="B426">
        <v>5.23</v>
      </c>
      <c r="C426">
        <v>0.08</v>
      </c>
    </row>
    <row r="427" spans="1:3" x14ac:dyDescent="0.25">
      <c r="A427" s="98">
        <v>1483479511859240</v>
      </c>
      <c r="B427">
        <v>5.22</v>
      </c>
      <c r="C427">
        <v>0.08</v>
      </c>
    </row>
    <row r="428" spans="1:3" x14ac:dyDescent="0.25">
      <c r="A428" s="98">
        <v>1486969983980610</v>
      </c>
      <c r="B428">
        <v>5.25</v>
      </c>
      <c r="C428">
        <v>0.09</v>
      </c>
    </row>
    <row r="429" spans="1:3" x14ac:dyDescent="0.25">
      <c r="A429" s="98">
        <v>1490460415421810</v>
      </c>
      <c r="B429">
        <v>5.35</v>
      </c>
      <c r="C429">
        <v>0.08</v>
      </c>
    </row>
    <row r="430" spans="1:3" x14ac:dyDescent="0.25">
      <c r="A430" s="98">
        <v>1493951137148670</v>
      </c>
      <c r="B430">
        <v>5.28</v>
      </c>
      <c r="C430">
        <v>0.08</v>
      </c>
    </row>
    <row r="431" spans="1:3" x14ac:dyDescent="0.25">
      <c r="A431" s="98">
        <v>1497441698423130</v>
      </c>
      <c r="B431">
        <v>5.47</v>
      </c>
      <c r="C431">
        <v>0.09</v>
      </c>
    </row>
    <row r="432" spans="1:3" x14ac:dyDescent="0.25">
      <c r="A432" s="98">
        <v>1500932403499320</v>
      </c>
      <c r="B432">
        <v>5.55</v>
      </c>
      <c r="C432">
        <v>0.09</v>
      </c>
    </row>
    <row r="433" spans="1:3" x14ac:dyDescent="0.25">
      <c r="A433" s="98">
        <v>1504423081858290</v>
      </c>
      <c r="B433">
        <v>5.46</v>
      </c>
      <c r="C433">
        <v>0.09</v>
      </c>
    </row>
    <row r="434" spans="1:3" x14ac:dyDescent="0.25">
      <c r="A434" s="98">
        <v>1507913519740100</v>
      </c>
      <c r="B434">
        <v>5.53</v>
      </c>
      <c r="C434">
        <v>0.09</v>
      </c>
    </row>
    <row r="435" spans="1:3" x14ac:dyDescent="0.25">
      <c r="A435" s="98">
        <v>1511404154107520</v>
      </c>
      <c r="B435">
        <v>5.62</v>
      </c>
      <c r="C435">
        <v>0.09</v>
      </c>
    </row>
    <row r="436" spans="1:3" x14ac:dyDescent="0.25">
      <c r="A436" s="98">
        <v>1514894680480160</v>
      </c>
      <c r="B436">
        <v>5.62</v>
      </c>
      <c r="C436">
        <v>0.09</v>
      </c>
    </row>
    <row r="437" spans="1:3" x14ac:dyDescent="0.25">
      <c r="A437" s="98">
        <v>1518385419978030</v>
      </c>
      <c r="B437">
        <v>5.49</v>
      </c>
      <c r="C437">
        <v>0.1</v>
      </c>
    </row>
    <row r="438" spans="1:3" x14ac:dyDescent="0.25">
      <c r="A438" s="98">
        <v>1521875961936180</v>
      </c>
      <c r="B438">
        <v>5.55</v>
      </c>
      <c r="C438">
        <v>0.1</v>
      </c>
    </row>
    <row r="439" spans="1:3" x14ac:dyDescent="0.25">
      <c r="A439" s="98">
        <v>1525366383255630</v>
      </c>
      <c r="B439">
        <v>5.61</v>
      </c>
      <c r="C439">
        <v>0.1</v>
      </c>
    </row>
    <row r="440" spans="1:3" x14ac:dyDescent="0.25">
      <c r="A440" s="98">
        <v>1528856972952680</v>
      </c>
      <c r="B440">
        <v>5.73</v>
      </c>
      <c r="C440">
        <v>0.1</v>
      </c>
    </row>
    <row r="441" spans="1:3" x14ac:dyDescent="0.25">
      <c r="A441" s="98">
        <v>1532347186191210</v>
      </c>
      <c r="B441">
        <v>5.72</v>
      </c>
      <c r="C441">
        <v>0.1</v>
      </c>
    </row>
    <row r="442" spans="1:3" x14ac:dyDescent="0.25">
      <c r="A442" s="98">
        <v>1535837683385160</v>
      </c>
      <c r="B442">
        <v>5.85</v>
      </c>
      <c r="C442">
        <v>0.1</v>
      </c>
    </row>
    <row r="443" spans="1:3" x14ac:dyDescent="0.25">
      <c r="A443" s="98">
        <v>1539328244880390</v>
      </c>
      <c r="B443">
        <v>5.8</v>
      </c>
      <c r="C443">
        <v>0.1</v>
      </c>
    </row>
    <row r="444" spans="1:3" x14ac:dyDescent="0.25">
      <c r="A444" s="98">
        <v>1542818677784110</v>
      </c>
      <c r="B444">
        <v>5.83</v>
      </c>
      <c r="C444">
        <v>0.1</v>
      </c>
    </row>
    <row r="445" spans="1:3" x14ac:dyDescent="0.25">
      <c r="A445" s="98">
        <v>1546309403600510</v>
      </c>
      <c r="B445">
        <v>5.86</v>
      </c>
      <c r="C445">
        <v>0.11</v>
      </c>
    </row>
    <row r="446" spans="1:3" x14ac:dyDescent="0.25">
      <c r="A446" s="98">
        <v>1549799911407400</v>
      </c>
      <c r="B446">
        <v>5.91</v>
      </c>
      <c r="C446">
        <v>0.11</v>
      </c>
    </row>
    <row r="447" spans="1:3" x14ac:dyDescent="0.25">
      <c r="A447" s="98">
        <v>1553290472433520</v>
      </c>
      <c r="B447">
        <v>5.85</v>
      </c>
      <c r="C447">
        <v>0.11</v>
      </c>
    </row>
    <row r="448" spans="1:3" x14ac:dyDescent="0.25">
      <c r="A448" s="98">
        <v>1556780921193180</v>
      </c>
      <c r="B448">
        <v>5.84</v>
      </c>
      <c r="C448">
        <v>0.11</v>
      </c>
    </row>
    <row r="449" spans="1:3" x14ac:dyDescent="0.25">
      <c r="A449" s="98">
        <v>1560271325321100</v>
      </c>
      <c r="B449">
        <v>5.92</v>
      </c>
      <c r="C449">
        <v>0.11</v>
      </c>
    </row>
    <row r="450" spans="1:3" x14ac:dyDescent="0.25">
      <c r="A450" s="98">
        <v>1563761587954230</v>
      </c>
      <c r="B450">
        <v>5.81</v>
      </c>
      <c r="C450">
        <v>0.11</v>
      </c>
    </row>
    <row r="451" spans="1:3" x14ac:dyDescent="0.25">
      <c r="A451" s="98">
        <v>1567252121589800</v>
      </c>
      <c r="B451">
        <v>5.6</v>
      </c>
      <c r="C451">
        <v>0.12</v>
      </c>
    </row>
    <row r="452" spans="1:3" x14ac:dyDescent="0.25">
      <c r="A452" s="98">
        <v>1570742769787700</v>
      </c>
      <c r="B452">
        <v>5.67</v>
      </c>
      <c r="C452">
        <v>0.12</v>
      </c>
    </row>
    <row r="453" spans="1:3" x14ac:dyDescent="0.25">
      <c r="A453" s="98">
        <v>1574233400783050</v>
      </c>
      <c r="B453">
        <v>5.84</v>
      </c>
      <c r="C453">
        <v>0.11</v>
      </c>
    </row>
    <row r="454" spans="1:3" x14ac:dyDescent="0.25">
      <c r="A454" s="98">
        <v>1577724235907740</v>
      </c>
      <c r="B454">
        <v>5.93</v>
      </c>
      <c r="C454">
        <v>0.12</v>
      </c>
    </row>
    <row r="455" spans="1:3" x14ac:dyDescent="0.25">
      <c r="A455" s="98">
        <v>1581214763378650</v>
      </c>
      <c r="B455">
        <v>5.87</v>
      </c>
      <c r="C455">
        <v>0.12</v>
      </c>
    </row>
    <row r="456" spans="1:3" x14ac:dyDescent="0.25">
      <c r="A456" s="98">
        <v>1584705262377300</v>
      </c>
      <c r="B456">
        <v>5.99</v>
      </c>
      <c r="C456">
        <v>0.12</v>
      </c>
    </row>
    <row r="457" spans="1:3" x14ac:dyDescent="0.25">
      <c r="A457" s="98">
        <v>1588195743709800</v>
      </c>
      <c r="B457">
        <v>6.09</v>
      </c>
      <c r="C457">
        <v>0.13</v>
      </c>
    </row>
    <row r="458" spans="1:3" x14ac:dyDescent="0.25">
      <c r="A458" s="98">
        <v>1591686286379890</v>
      </c>
      <c r="B458">
        <v>5.92</v>
      </c>
      <c r="C458">
        <v>0.13</v>
      </c>
    </row>
    <row r="459" spans="1:3" x14ac:dyDescent="0.25">
      <c r="A459" s="98">
        <v>1595176888163440</v>
      </c>
      <c r="B459">
        <v>5.85</v>
      </c>
      <c r="C459">
        <v>0.12</v>
      </c>
    </row>
    <row r="460" spans="1:3" x14ac:dyDescent="0.25">
      <c r="A460" s="98">
        <v>1598667467793930</v>
      </c>
      <c r="B460">
        <v>5.96</v>
      </c>
      <c r="C460">
        <v>0.13</v>
      </c>
    </row>
    <row r="461" spans="1:3" x14ac:dyDescent="0.25">
      <c r="A461" s="98">
        <v>1602157949424450</v>
      </c>
      <c r="B461">
        <v>6.11</v>
      </c>
      <c r="C461">
        <v>0.13</v>
      </c>
    </row>
    <row r="462" spans="1:3" x14ac:dyDescent="0.25">
      <c r="A462" s="98">
        <v>1605648239933780</v>
      </c>
      <c r="B462">
        <v>6.04</v>
      </c>
      <c r="C462">
        <v>0.14000000000000001</v>
      </c>
    </row>
    <row r="463" spans="1:3" x14ac:dyDescent="0.25">
      <c r="A463" s="98">
        <v>1609138721172450</v>
      </c>
      <c r="B463">
        <v>6.15</v>
      </c>
      <c r="C463">
        <v>0.14000000000000001</v>
      </c>
    </row>
    <row r="464" spans="1:3" x14ac:dyDescent="0.25">
      <c r="A464" s="98">
        <v>1612629317850970</v>
      </c>
      <c r="B464">
        <v>6.12</v>
      </c>
      <c r="C464">
        <v>0.14000000000000001</v>
      </c>
    </row>
    <row r="465" spans="1:3" x14ac:dyDescent="0.25">
      <c r="A465" s="98">
        <v>1616120016183010</v>
      </c>
      <c r="B465">
        <v>6.13</v>
      </c>
      <c r="C465">
        <v>0.14000000000000001</v>
      </c>
    </row>
    <row r="466" spans="1:3" x14ac:dyDescent="0.25">
      <c r="A466" s="98">
        <v>1619610666759580</v>
      </c>
      <c r="B466">
        <v>6.08</v>
      </c>
      <c r="C466">
        <v>0.14000000000000001</v>
      </c>
    </row>
    <row r="467" spans="1:3" x14ac:dyDescent="0.25">
      <c r="A467" s="98">
        <v>1623101247924340</v>
      </c>
      <c r="B467">
        <v>6.04</v>
      </c>
      <c r="C467">
        <v>0.14000000000000001</v>
      </c>
    </row>
    <row r="468" spans="1:3" x14ac:dyDescent="0.25">
      <c r="A468" s="98">
        <v>1626591881000330</v>
      </c>
      <c r="B468">
        <v>5.98</v>
      </c>
      <c r="C468">
        <v>0.14000000000000001</v>
      </c>
    </row>
    <row r="469" spans="1:3" x14ac:dyDescent="0.25">
      <c r="A469" s="98">
        <v>1630082286071990</v>
      </c>
      <c r="B469">
        <v>6.12</v>
      </c>
      <c r="C469">
        <v>0.14000000000000001</v>
      </c>
    </row>
    <row r="470" spans="1:3" x14ac:dyDescent="0.25">
      <c r="A470" s="98">
        <v>1633572665850320</v>
      </c>
      <c r="B470">
        <v>6.03</v>
      </c>
      <c r="C470">
        <v>0.15</v>
      </c>
    </row>
    <row r="471" spans="1:3" x14ac:dyDescent="0.25">
      <c r="A471" s="98">
        <v>1637063204375680</v>
      </c>
      <c r="B471">
        <v>6.07</v>
      </c>
      <c r="C471">
        <v>0.15</v>
      </c>
    </row>
    <row r="472" spans="1:3" x14ac:dyDescent="0.25">
      <c r="A472" s="98">
        <v>1640553735996830</v>
      </c>
      <c r="B472">
        <v>6.24</v>
      </c>
      <c r="C472">
        <v>0.15</v>
      </c>
    </row>
    <row r="473" spans="1:3" x14ac:dyDescent="0.25">
      <c r="A473" s="98">
        <v>1644044330500890</v>
      </c>
      <c r="B473">
        <v>6.17</v>
      </c>
      <c r="C473">
        <v>0.15</v>
      </c>
    </row>
    <row r="474" spans="1:3" x14ac:dyDescent="0.25">
      <c r="A474" s="98">
        <v>1647534929348360</v>
      </c>
      <c r="B474">
        <v>6.25</v>
      </c>
      <c r="C474">
        <v>0.15</v>
      </c>
    </row>
    <row r="475" spans="1:3" x14ac:dyDescent="0.25">
      <c r="A475" s="98">
        <v>1651025551414040</v>
      </c>
      <c r="B475">
        <v>6.21</v>
      </c>
      <c r="C475">
        <v>0.15</v>
      </c>
    </row>
    <row r="476" spans="1:3" x14ac:dyDescent="0.25">
      <c r="A476" s="98">
        <v>1654516140194950</v>
      </c>
      <c r="B476">
        <v>6.17</v>
      </c>
      <c r="C476">
        <v>0.15</v>
      </c>
    </row>
    <row r="477" spans="1:3" x14ac:dyDescent="0.25">
      <c r="A477" s="98">
        <v>1658006558451380</v>
      </c>
      <c r="B477">
        <v>6.36</v>
      </c>
      <c r="C477">
        <v>0.15</v>
      </c>
    </row>
    <row r="478" spans="1:3" x14ac:dyDescent="0.25">
      <c r="A478" s="98">
        <v>1661497256192890</v>
      </c>
      <c r="B478">
        <v>6.38</v>
      </c>
      <c r="C478">
        <v>0.16</v>
      </c>
    </row>
    <row r="479" spans="1:3" x14ac:dyDescent="0.25">
      <c r="A479" s="98">
        <v>1664987727933460</v>
      </c>
      <c r="B479">
        <v>6.43</v>
      </c>
      <c r="C479">
        <v>0.16</v>
      </c>
    </row>
    <row r="480" spans="1:3" x14ac:dyDescent="0.25">
      <c r="A480" s="98">
        <v>1668478281249600</v>
      </c>
      <c r="B480">
        <v>6.52</v>
      </c>
      <c r="C480">
        <v>0.15</v>
      </c>
    </row>
    <row r="481" spans="1:3" x14ac:dyDescent="0.25">
      <c r="A481" s="98">
        <v>1671969089176920</v>
      </c>
      <c r="B481">
        <v>6.82</v>
      </c>
      <c r="C481">
        <v>0.16</v>
      </c>
    </row>
    <row r="482" spans="1:3" x14ac:dyDescent="0.25">
      <c r="A482" s="98">
        <v>1675459664944140</v>
      </c>
      <c r="B482">
        <v>6.7</v>
      </c>
      <c r="C482">
        <v>0.16</v>
      </c>
    </row>
    <row r="483" spans="1:3" x14ac:dyDescent="0.25">
      <c r="A483" s="98">
        <v>1678950093979080</v>
      </c>
      <c r="B483">
        <v>6.66</v>
      </c>
      <c r="C483">
        <v>0.17</v>
      </c>
    </row>
    <row r="484" spans="1:3" x14ac:dyDescent="0.25">
      <c r="A484" s="98">
        <v>1682440880525990</v>
      </c>
      <c r="B484">
        <v>6.78</v>
      </c>
      <c r="C484">
        <v>0.17</v>
      </c>
    </row>
    <row r="485" spans="1:3" x14ac:dyDescent="0.25">
      <c r="A485" s="98">
        <v>1685931483584420</v>
      </c>
      <c r="B485">
        <v>6.75</v>
      </c>
      <c r="C485">
        <v>0.16</v>
      </c>
    </row>
    <row r="486" spans="1:3" x14ac:dyDescent="0.25">
      <c r="A486" s="98">
        <v>1689421930931230</v>
      </c>
      <c r="B486">
        <v>6.69</v>
      </c>
      <c r="C486">
        <v>0.17</v>
      </c>
    </row>
    <row r="487" spans="1:3" x14ac:dyDescent="0.25">
      <c r="A487" s="98">
        <v>1692912341952320</v>
      </c>
      <c r="B487">
        <v>6.64</v>
      </c>
      <c r="C487">
        <v>0.17</v>
      </c>
    </row>
    <row r="488" spans="1:3" x14ac:dyDescent="0.25">
      <c r="A488" s="98">
        <v>1696402906952080</v>
      </c>
      <c r="B488">
        <v>6.69</v>
      </c>
      <c r="C488">
        <v>0.16</v>
      </c>
    </row>
    <row r="489" spans="1:3" x14ac:dyDescent="0.25">
      <c r="A489" s="98">
        <v>1699893425250490</v>
      </c>
      <c r="B489">
        <v>6.63</v>
      </c>
      <c r="C489">
        <v>0.17</v>
      </c>
    </row>
    <row r="490" spans="1:3" x14ac:dyDescent="0.25">
      <c r="A490" s="98">
        <v>1703383680267460</v>
      </c>
      <c r="B490">
        <v>7.03</v>
      </c>
      <c r="C490">
        <v>0.17</v>
      </c>
    </row>
    <row r="491" spans="1:3" x14ac:dyDescent="0.25">
      <c r="A491" s="98">
        <v>1706874321025830</v>
      </c>
      <c r="B491">
        <v>7.06</v>
      </c>
      <c r="C491">
        <v>0.17</v>
      </c>
    </row>
    <row r="492" spans="1:3" x14ac:dyDescent="0.25">
      <c r="A492" s="98">
        <v>1710364956524630</v>
      </c>
      <c r="B492">
        <v>7.1</v>
      </c>
      <c r="C492">
        <v>0.17</v>
      </c>
    </row>
    <row r="493" spans="1:3" x14ac:dyDescent="0.25">
      <c r="A493" s="98">
        <v>1713855504454280</v>
      </c>
      <c r="B493">
        <v>7.16</v>
      </c>
      <c r="C493">
        <v>0.17</v>
      </c>
    </row>
    <row r="494" spans="1:3" x14ac:dyDescent="0.25">
      <c r="A494" s="98">
        <v>1717346114450030</v>
      </c>
      <c r="B494">
        <v>6.85</v>
      </c>
      <c r="C494">
        <v>0.17</v>
      </c>
    </row>
    <row r="495" spans="1:3" x14ac:dyDescent="0.25">
      <c r="A495" s="98">
        <v>1720836621070350</v>
      </c>
      <c r="B495">
        <v>6.97</v>
      </c>
      <c r="C495">
        <v>0.17</v>
      </c>
    </row>
    <row r="496" spans="1:3" x14ac:dyDescent="0.25">
      <c r="A496" s="98">
        <v>1724327192190620</v>
      </c>
      <c r="B496">
        <v>6.89</v>
      </c>
      <c r="C496">
        <v>0.17</v>
      </c>
    </row>
    <row r="497" spans="1:3" x14ac:dyDescent="0.25">
      <c r="A497" s="98">
        <v>1727817609045240</v>
      </c>
      <c r="B497">
        <v>7.02</v>
      </c>
      <c r="C497">
        <v>0.17</v>
      </c>
    </row>
    <row r="498" spans="1:3" x14ac:dyDescent="0.25">
      <c r="A498" s="98">
        <v>1731308185127040</v>
      </c>
      <c r="B498">
        <v>6.94</v>
      </c>
      <c r="C498">
        <v>0.17</v>
      </c>
    </row>
    <row r="499" spans="1:3" x14ac:dyDescent="0.25">
      <c r="A499" s="98">
        <v>1734798545887070</v>
      </c>
      <c r="B499">
        <v>6.95</v>
      </c>
      <c r="C499">
        <v>0.17</v>
      </c>
    </row>
    <row r="500" spans="1:3" x14ac:dyDescent="0.25">
      <c r="A500" s="98">
        <v>1738289038610670</v>
      </c>
      <c r="B500">
        <v>6.98</v>
      </c>
      <c r="C500">
        <v>0.17</v>
      </c>
    </row>
    <row r="501" spans="1:3" x14ac:dyDescent="0.25">
      <c r="A501" s="98">
        <v>1741779551174900</v>
      </c>
      <c r="B501">
        <v>6.97</v>
      </c>
      <c r="C501">
        <v>0.17</v>
      </c>
    </row>
    <row r="502" spans="1:3" x14ac:dyDescent="0.25">
      <c r="A502" s="98">
        <v>1745270252636180</v>
      </c>
      <c r="B502">
        <v>6.95</v>
      </c>
      <c r="C502">
        <v>0.17</v>
      </c>
    </row>
    <row r="503" spans="1:3" x14ac:dyDescent="0.25">
      <c r="A503" s="98">
        <v>1748760785857830</v>
      </c>
      <c r="B503">
        <v>7.11</v>
      </c>
      <c r="C503">
        <v>0.18</v>
      </c>
    </row>
    <row r="504" spans="1:3" x14ac:dyDescent="0.25">
      <c r="A504" s="98">
        <v>1752251293184580</v>
      </c>
      <c r="B504">
        <v>7.16</v>
      </c>
      <c r="C504">
        <v>0.18</v>
      </c>
    </row>
    <row r="505" spans="1:3" x14ac:dyDescent="0.25">
      <c r="A505" s="98">
        <v>1755742041231300</v>
      </c>
      <c r="B505">
        <v>7.15</v>
      </c>
      <c r="C505">
        <v>0.18</v>
      </c>
    </row>
    <row r="506" spans="1:3" x14ac:dyDescent="0.25">
      <c r="A506" s="98">
        <v>1759232770949600</v>
      </c>
      <c r="B506">
        <v>7.13</v>
      </c>
      <c r="C506">
        <v>0.18</v>
      </c>
    </row>
    <row r="507" spans="1:3" x14ac:dyDescent="0.25">
      <c r="A507" s="98">
        <v>1762723352070200</v>
      </c>
      <c r="B507">
        <v>7</v>
      </c>
      <c r="C507">
        <v>0.18</v>
      </c>
    </row>
    <row r="508" spans="1:3" x14ac:dyDescent="0.25">
      <c r="A508" s="98">
        <v>1766213956718090</v>
      </c>
      <c r="B508">
        <v>7.01</v>
      </c>
      <c r="C508">
        <v>0.18</v>
      </c>
    </row>
    <row r="509" spans="1:3" x14ac:dyDescent="0.25">
      <c r="A509" s="98">
        <v>1769704547016700</v>
      </c>
      <c r="B509">
        <v>7.3</v>
      </c>
      <c r="C509">
        <v>0.18</v>
      </c>
    </row>
    <row r="510" spans="1:3" x14ac:dyDescent="0.25">
      <c r="A510" s="98">
        <v>1773195112099250</v>
      </c>
      <c r="B510">
        <v>7.52</v>
      </c>
      <c r="C510">
        <v>0.19</v>
      </c>
    </row>
    <row r="511" spans="1:3" x14ac:dyDescent="0.25">
      <c r="A511" s="98">
        <v>1776685608470880</v>
      </c>
      <c r="B511">
        <v>7.38</v>
      </c>
      <c r="C511">
        <v>0.19</v>
      </c>
    </row>
    <row r="512" spans="1:3" x14ac:dyDescent="0.25">
      <c r="A512" s="98">
        <v>1780176136736510</v>
      </c>
      <c r="B512">
        <v>7.48</v>
      </c>
      <c r="C512">
        <v>0.18</v>
      </c>
    </row>
    <row r="513" spans="1:3" x14ac:dyDescent="0.25">
      <c r="A513" s="98">
        <v>1783666749607630</v>
      </c>
      <c r="B513">
        <v>7.28</v>
      </c>
      <c r="C513">
        <v>0.18</v>
      </c>
    </row>
    <row r="514" spans="1:3" x14ac:dyDescent="0.25">
      <c r="A514" s="98">
        <v>1787157500971240</v>
      </c>
      <c r="B514">
        <v>7.42</v>
      </c>
      <c r="C514">
        <v>0.18</v>
      </c>
    </row>
    <row r="515" spans="1:3" x14ac:dyDescent="0.25">
      <c r="A515" s="98">
        <v>1790648069701810</v>
      </c>
      <c r="B515">
        <v>7.24</v>
      </c>
      <c r="C515">
        <v>0.19</v>
      </c>
    </row>
    <row r="516" spans="1:3" x14ac:dyDescent="0.25">
      <c r="A516" s="98">
        <v>1794138546552920</v>
      </c>
      <c r="B516">
        <v>7.42</v>
      </c>
      <c r="C516">
        <v>0.19</v>
      </c>
    </row>
    <row r="517" spans="1:3" x14ac:dyDescent="0.25">
      <c r="A517" s="98">
        <v>1797629287998980</v>
      </c>
      <c r="B517">
        <v>7.4</v>
      </c>
      <c r="C517">
        <v>0.19</v>
      </c>
    </row>
    <row r="518" spans="1:3" x14ac:dyDescent="0.25">
      <c r="A518" s="98">
        <v>1801119869423130</v>
      </c>
      <c r="B518">
        <v>7.32</v>
      </c>
      <c r="C518">
        <v>0.19</v>
      </c>
    </row>
    <row r="519" spans="1:3" x14ac:dyDescent="0.25">
      <c r="A519" s="98">
        <v>1804610431691010</v>
      </c>
      <c r="B519">
        <v>7.45</v>
      </c>
      <c r="C519">
        <v>0.19</v>
      </c>
    </row>
    <row r="520" spans="1:3" x14ac:dyDescent="0.25">
      <c r="A520" s="98">
        <v>1808100929933560</v>
      </c>
      <c r="B520">
        <v>7.41</v>
      </c>
      <c r="C520">
        <v>0.19</v>
      </c>
    </row>
    <row r="521" spans="1:3" x14ac:dyDescent="0.25">
      <c r="A521" s="98">
        <v>1811591387192400</v>
      </c>
      <c r="B521">
        <v>7.24</v>
      </c>
      <c r="C521">
        <v>0.19</v>
      </c>
    </row>
    <row r="522" spans="1:3" x14ac:dyDescent="0.25">
      <c r="A522" s="98">
        <v>1815081948323380</v>
      </c>
      <c r="B522">
        <v>7.45</v>
      </c>
      <c r="C522">
        <v>0.19</v>
      </c>
    </row>
    <row r="523" spans="1:3" x14ac:dyDescent="0.25">
      <c r="A523" s="98">
        <v>1818572706740210</v>
      </c>
      <c r="B523">
        <v>7.43</v>
      </c>
      <c r="C523">
        <v>0.2</v>
      </c>
    </row>
    <row r="524" spans="1:3" x14ac:dyDescent="0.25">
      <c r="A524" s="98">
        <v>1822063425072910</v>
      </c>
      <c r="B524">
        <v>7.52</v>
      </c>
      <c r="C524">
        <v>0.19</v>
      </c>
    </row>
    <row r="525" spans="1:3" x14ac:dyDescent="0.25">
      <c r="A525" s="98">
        <v>1825554034284970</v>
      </c>
      <c r="B525">
        <v>7.47</v>
      </c>
      <c r="C525">
        <v>0.21</v>
      </c>
    </row>
    <row r="526" spans="1:3" x14ac:dyDescent="0.25">
      <c r="A526" s="98">
        <v>1829044430989910</v>
      </c>
      <c r="B526">
        <v>7.5</v>
      </c>
      <c r="C526">
        <v>0.21</v>
      </c>
    </row>
    <row r="527" spans="1:3" x14ac:dyDescent="0.25">
      <c r="A527" s="98">
        <v>1832534997551520</v>
      </c>
      <c r="B527">
        <v>7.62</v>
      </c>
      <c r="C527">
        <v>0.21</v>
      </c>
    </row>
    <row r="528" spans="1:3" x14ac:dyDescent="0.25">
      <c r="A528" s="98">
        <v>1836025618165730</v>
      </c>
      <c r="B528">
        <v>7.49</v>
      </c>
      <c r="C528">
        <v>0.21</v>
      </c>
    </row>
    <row r="529" spans="1:3" x14ac:dyDescent="0.25">
      <c r="A529" s="98">
        <v>1839515987987870</v>
      </c>
      <c r="B529">
        <v>7.48</v>
      </c>
      <c r="C529">
        <v>0.21</v>
      </c>
    </row>
    <row r="530" spans="1:3" x14ac:dyDescent="0.25">
      <c r="A530" s="98">
        <v>1843006573026930</v>
      </c>
      <c r="B530">
        <v>7.53</v>
      </c>
      <c r="C530">
        <v>0.2</v>
      </c>
    </row>
    <row r="531" spans="1:3" x14ac:dyDescent="0.25">
      <c r="A531" s="98">
        <v>1846497155543830</v>
      </c>
      <c r="B531">
        <v>7.45</v>
      </c>
      <c r="C531">
        <v>0.21</v>
      </c>
    </row>
    <row r="532" spans="1:3" x14ac:dyDescent="0.25">
      <c r="A532" s="98">
        <v>1849987759236930</v>
      </c>
      <c r="B532">
        <v>7.39</v>
      </c>
      <c r="C532">
        <v>0.21</v>
      </c>
    </row>
    <row r="533" spans="1:3" x14ac:dyDescent="0.25">
      <c r="A533" s="98">
        <v>1853478291283050</v>
      </c>
      <c r="B533">
        <v>7.42</v>
      </c>
      <c r="C533">
        <v>0.21</v>
      </c>
    </row>
    <row r="534" spans="1:3" x14ac:dyDescent="0.25">
      <c r="A534" s="98">
        <v>1856968845553970</v>
      </c>
      <c r="B534">
        <v>7.38</v>
      </c>
      <c r="C534">
        <v>0.22</v>
      </c>
    </row>
    <row r="535" spans="1:3" x14ac:dyDescent="0.25">
      <c r="A535" s="98">
        <v>1860459361192250</v>
      </c>
      <c r="B535">
        <v>7.48</v>
      </c>
      <c r="C535">
        <v>0.21</v>
      </c>
    </row>
    <row r="536" spans="1:3" x14ac:dyDescent="0.25">
      <c r="A536" s="98">
        <v>1863949738961670</v>
      </c>
      <c r="B536">
        <v>7.68</v>
      </c>
      <c r="C536">
        <v>0.22</v>
      </c>
    </row>
    <row r="537" spans="1:3" x14ac:dyDescent="0.25">
      <c r="A537" s="98">
        <v>1867440423926820</v>
      </c>
      <c r="B537">
        <v>7.75</v>
      </c>
      <c r="C537">
        <v>0.22</v>
      </c>
    </row>
    <row r="538" spans="1:3" x14ac:dyDescent="0.25">
      <c r="A538" s="98">
        <v>1870930909933860</v>
      </c>
      <c r="B538">
        <v>7.78</v>
      </c>
      <c r="C538">
        <v>0.22</v>
      </c>
    </row>
    <row r="539" spans="1:3" x14ac:dyDescent="0.25">
      <c r="A539" s="98">
        <v>1874421473073730</v>
      </c>
      <c r="B539">
        <v>7.83</v>
      </c>
      <c r="C539">
        <v>0.22</v>
      </c>
    </row>
    <row r="540" spans="1:3" x14ac:dyDescent="0.25">
      <c r="A540" s="98">
        <v>1877911991195540</v>
      </c>
      <c r="B540">
        <v>7.65</v>
      </c>
      <c r="C540">
        <v>0.22</v>
      </c>
    </row>
    <row r="541" spans="1:3" x14ac:dyDescent="0.25">
      <c r="A541" s="98">
        <v>1881402646860590</v>
      </c>
      <c r="B541">
        <v>7.6</v>
      </c>
      <c r="C541">
        <v>0.22</v>
      </c>
    </row>
    <row r="542" spans="1:3" x14ac:dyDescent="0.25">
      <c r="A542" s="98">
        <v>1884893002107180</v>
      </c>
      <c r="B542">
        <v>7.69</v>
      </c>
      <c r="C542">
        <v>0.22</v>
      </c>
    </row>
    <row r="543" spans="1:3" x14ac:dyDescent="0.25">
      <c r="A543" s="98">
        <v>1888383558834040</v>
      </c>
      <c r="B543">
        <v>7.77</v>
      </c>
      <c r="C543">
        <v>0.22</v>
      </c>
    </row>
    <row r="544" spans="1:3" x14ac:dyDescent="0.25">
      <c r="A544" s="98">
        <v>1891874041579380</v>
      </c>
      <c r="B544">
        <v>7.74</v>
      </c>
      <c r="C544">
        <v>0.22</v>
      </c>
    </row>
    <row r="545" spans="1:3" x14ac:dyDescent="0.25">
      <c r="A545" s="98">
        <v>1895364428008040</v>
      </c>
      <c r="B545">
        <v>7.57</v>
      </c>
      <c r="C545">
        <v>0.23</v>
      </c>
    </row>
    <row r="546" spans="1:3" x14ac:dyDescent="0.25">
      <c r="A546" s="98">
        <v>1898854929931730</v>
      </c>
      <c r="B546">
        <v>7.81</v>
      </c>
      <c r="C546">
        <v>0.23</v>
      </c>
    </row>
    <row r="547" spans="1:3" x14ac:dyDescent="0.25">
      <c r="A547" s="98">
        <v>1902345221147490</v>
      </c>
      <c r="B547">
        <v>7.87</v>
      </c>
      <c r="C547">
        <v>0.22</v>
      </c>
    </row>
    <row r="548" spans="1:3" x14ac:dyDescent="0.25">
      <c r="A548" s="98">
        <v>1905835750572100</v>
      </c>
      <c r="B548">
        <v>7.84</v>
      </c>
      <c r="C548">
        <v>0.23</v>
      </c>
    </row>
    <row r="549" spans="1:3" x14ac:dyDescent="0.25">
      <c r="A549" s="98">
        <v>1909326238091340</v>
      </c>
      <c r="B549">
        <v>7.8</v>
      </c>
      <c r="C549">
        <v>0.21</v>
      </c>
    </row>
    <row r="550" spans="1:3" x14ac:dyDescent="0.25">
      <c r="A550" s="98">
        <v>1912816944332030</v>
      </c>
      <c r="B550">
        <v>7.88</v>
      </c>
      <c r="C550">
        <v>0.21</v>
      </c>
    </row>
    <row r="551" spans="1:3" x14ac:dyDescent="0.25">
      <c r="A551" s="98">
        <v>1916307615571550</v>
      </c>
      <c r="B551">
        <v>7.77</v>
      </c>
      <c r="C551">
        <v>0.21</v>
      </c>
    </row>
    <row r="552" spans="1:3" x14ac:dyDescent="0.25">
      <c r="A552" s="98">
        <v>1919797989472190</v>
      </c>
      <c r="B552">
        <v>7.75</v>
      </c>
      <c r="C552">
        <v>0.22</v>
      </c>
    </row>
    <row r="553" spans="1:3" x14ac:dyDescent="0.25">
      <c r="A553" s="98">
        <v>1923288720117670</v>
      </c>
      <c r="B553">
        <v>7.82</v>
      </c>
      <c r="C553">
        <v>0.22</v>
      </c>
    </row>
    <row r="554" spans="1:3" x14ac:dyDescent="0.25">
      <c r="A554" s="98">
        <v>1926779043497860</v>
      </c>
      <c r="B554">
        <v>7.72</v>
      </c>
      <c r="C554">
        <v>0.22</v>
      </c>
    </row>
    <row r="555" spans="1:3" x14ac:dyDescent="0.25">
      <c r="A555" s="98">
        <v>1930269465380240</v>
      </c>
      <c r="B555">
        <v>7.8</v>
      </c>
      <c r="C555">
        <v>0.22</v>
      </c>
    </row>
    <row r="556" spans="1:3" x14ac:dyDescent="0.25">
      <c r="A556" s="98">
        <v>1933760049906040</v>
      </c>
      <c r="B556">
        <v>8</v>
      </c>
      <c r="C556">
        <v>0.21</v>
      </c>
    </row>
    <row r="557" spans="1:3" x14ac:dyDescent="0.25">
      <c r="A557" s="98">
        <v>1937250653146590</v>
      </c>
      <c r="B557">
        <v>7.82</v>
      </c>
      <c r="C557">
        <v>0.21</v>
      </c>
    </row>
    <row r="558" spans="1:3" x14ac:dyDescent="0.25">
      <c r="A558" s="98">
        <v>1940741069714220</v>
      </c>
      <c r="B558">
        <v>7.82</v>
      </c>
      <c r="C558">
        <v>0.22</v>
      </c>
    </row>
    <row r="559" spans="1:3" x14ac:dyDescent="0.25">
      <c r="A559" s="98">
        <v>1944231542795890</v>
      </c>
      <c r="B559">
        <v>7.85</v>
      </c>
      <c r="C559">
        <v>0.21</v>
      </c>
    </row>
    <row r="560" spans="1:3" x14ac:dyDescent="0.25">
      <c r="A560" s="98">
        <v>1947722326423280</v>
      </c>
      <c r="B560">
        <v>7.72</v>
      </c>
      <c r="C560">
        <v>0.21</v>
      </c>
    </row>
    <row r="561" spans="1:3" x14ac:dyDescent="0.25">
      <c r="A561" s="98">
        <v>1951212734000550</v>
      </c>
      <c r="B561">
        <v>7.84</v>
      </c>
      <c r="C561">
        <v>0.21</v>
      </c>
    </row>
    <row r="562" spans="1:3" x14ac:dyDescent="0.25">
      <c r="A562" s="98">
        <v>1954703519349840</v>
      </c>
      <c r="B562">
        <v>8.0500000000000007</v>
      </c>
      <c r="C562">
        <v>0.22</v>
      </c>
    </row>
    <row r="563" spans="1:3" x14ac:dyDescent="0.25">
      <c r="A563" s="98">
        <v>1958194198376600</v>
      </c>
      <c r="B563">
        <v>7.9</v>
      </c>
      <c r="C563">
        <v>0.21</v>
      </c>
    </row>
    <row r="564" spans="1:3" x14ac:dyDescent="0.25">
      <c r="A564" s="98">
        <v>1961684739065390</v>
      </c>
      <c r="B564">
        <v>7.75</v>
      </c>
      <c r="C564">
        <v>0.22</v>
      </c>
    </row>
    <row r="565" spans="1:3" x14ac:dyDescent="0.25">
      <c r="A565" s="98">
        <v>1965175430399400</v>
      </c>
      <c r="B565">
        <v>7.71</v>
      </c>
      <c r="C565">
        <v>0.22</v>
      </c>
    </row>
    <row r="566" spans="1:3" x14ac:dyDescent="0.25">
      <c r="A566" s="98">
        <v>1968665995619910</v>
      </c>
      <c r="B566">
        <v>7.98</v>
      </c>
      <c r="C566">
        <v>0.22</v>
      </c>
    </row>
    <row r="567" spans="1:3" x14ac:dyDescent="0.25">
      <c r="A567" s="98">
        <v>1972156648006700</v>
      </c>
      <c r="B567">
        <v>7.92</v>
      </c>
      <c r="C567">
        <v>0.23</v>
      </c>
    </row>
    <row r="568" spans="1:3" x14ac:dyDescent="0.25">
      <c r="A568" s="98">
        <v>1975647335841700</v>
      </c>
      <c r="B568">
        <v>8.0500000000000007</v>
      </c>
      <c r="C568">
        <v>0.22</v>
      </c>
    </row>
    <row r="569" spans="1:3" x14ac:dyDescent="0.25">
      <c r="A569" s="98">
        <v>1979137836749900</v>
      </c>
      <c r="B569">
        <v>8.27</v>
      </c>
      <c r="C569">
        <v>0.23</v>
      </c>
    </row>
    <row r="570" spans="1:3" x14ac:dyDescent="0.25">
      <c r="A570" s="98">
        <v>1982628536875600</v>
      </c>
      <c r="B570">
        <v>7.98</v>
      </c>
      <c r="C570">
        <v>0.22</v>
      </c>
    </row>
    <row r="571" spans="1:3" x14ac:dyDescent="0.25">
      <c r="A571" s="98">
        <v>1986119203915190</v>
      </c>
      <c r="B571">
        <v>8.1</v>
      </c>
      <c r="C571">
        <v>0.23</v>
      </c>
    </row>
    <row r="572" spans="1:3" x14ac:dyDescent="0.25">
      <c r="A572" s="98">
        <v>1989609717246550</v>
      </c>
      <c r="B572">
        <v>8.02</v>
      </c>
      <c r="C572">
        <v>0.24</v>
      </c>
    </row>
    <row r="573" spans="1:3" x14ac:dyDescent="0.25">
      <c r="A573" s="98">
        <v>1993100325305150</v>
      </c>
      <c r="B573">
        <v>8.1300000000000008</v>
      </c>
      <c r="C573">
        <v>0.23</v>
      </c>
    </row>
    <row r="574" spans="1:3" x14ac:dyDescent="0.25">
      <c r="A574" s="98">
        <v>1996590849288080</v>
      </c>
      <c r="B574">
        <v>7.91</v>
      </c>
      <c r="C574">
        <v>0.23</v>
      </c>
    </row>
    <row r="575" spans="1:3" x14ac:dyDescent="0.25">
      <c r="A575" s="98">
        <v>2000081429674660</v>
      </c>
      <c r="B575">
        <v>7.83</v>
      </c>
      <c r="C575">
        <v>0.23</v>
      </c>
    </row>
    <row r="576" spans="1:3" x14ac:dyDescent="0.25">
      <c r="A576" s="98">
        <v>2003572142814040</v>
      </c>
      <c r="B576">
        <v>7.78</v>
      </c>
      <c r="C576">
        <v>0.23</v>
      </c>
    </row>
    <row r="577" spans="1:3" x14ac:dyDescent="0.25">
      <c r="A577" s="98">
        <v>2007062860666600</v>
      </c>
      <c r="B577">
        <v>7.76</v>
      </c>
      <c r="C577">
        <v>0.22</v>
      </c>
    </row>
    <row r="578" spans="1:3" x14ac:dyDescent="0.25">
      <c r="A578" s="98">
        <v>2010553337683280</v>
      </c>
      <c r="B578">
        <v>8.09</v>
      </c>
      <c r="C578">
        <v>0.23</v>
      </c>
    </row>
    <row r="579" spans="1:3" x14ac:dyDescent="0.25">
      <c r="A579" s="98">
        <v>2014043849237530</v>
      </c>
      <c r="B579">
        <v>8.01</v>
      </c>
      <c r="C579">
        <v>0.23</v>
      </c>
    </row>
    <row r="580" spans="1:3" x14ac:dyDescent="0.25">
      <c r="A580" s="98">
        <v>2017534482164510</v>
      </c>
      <c r="B580">
        <v>8.1300000000000008</v>
      </c>
      <c r="C580">
        <v>0.23</v>
      </c>
    </row>
    <row r="581" spans="1:3" x14ac:dyDescent="0.25">
      <c r="A581" s="98">
        <v>2021025164033520</v>
      </c>
      <c r="B581">
        <v>7.99</v>
      </c>
      <c r="C581">
        <v>0.24</v>
      </c>
    </row>
    <row r="582" spans="1:3" x14ac:dyDescent="0.25">
      <c r="A582" s="98">
        <v>2024515749552730</v>
      </c>
      <c r="B582">
        <v>8.16</v>
      </c>
      <c r="C582">
        <v>0.23</v>
      </c>
    </row>
    <row r="583" spans="1:3" x14ac:dyDescent="0.25">
      <c r="A583" s="98">
        <v>2028006322786760</v>
      </c>
      <c r="B583">
        <v>8.15</v>
      </c>
      <c r="C583">
        <v>0.23</v>
      </c>
    </row>
    <row r="584" spans="1:3" x14ac:dyDescent="0.25">
      <c r="A584" s="98">
        <v>2031496750292950</v>
      </c>
      <c r="B584">
        <v>8.1</v>
      </c>
      <c r="C584">
        <v>0.23</v>
      </c>
    </row>
    <row r="585" spans="1:3" x14ac:dyDescent="0.25">
      <c r="A585" s="98">
        <v>2034987346331270</v>
      </c>
      <c r="B585">
        <v>8.17</v>
      </c>
      <c r="C585">
        <v>0.24</v>
      </c>
    </row>
    <row r="586" spans="1:3" x14ac:dyDescent="0.25">
      <c r="A586" s="98">
        <v>2038478108876280</v>
      </c>
      <c r="B586">
        <v>8.2200000000000006</v>
      </c>
      <c r="C586">
        <v>0.24</v>
      </c>
    </row>
    <row r="587" spans="1:3" x14ac:dyDescent="0.25">
      <c r="A587" s="98">
        <v>2041968787776090</v>
      </c>
      <c r="B587">
        <v>8.35</v>
      </c>
      <c r="C587">
        <v>0.24</v>
      </c>
    </row>
    <row r="588" spans="1:3" x14ac:dyDescent="0.25">
      <c r="A588" s="98">
        <v>2045459370083270</v>
      </c>
      <c r="B588">
        <v>8.19</v>
      </c>
      <c r="C588">
        <v>0.24</v>
      </c>
    </row>
    <row r="589" spans="1:3" x14ac:dyDescent="0.25">
      <c r="A589" s="98">
        <v>2048949886025100</v>
      </c>
      <c r="B589">
        <v>8.31</v>
      </c>
      <c r="C589">
        <v>0.24</v>
      </c>
    </row>
    <row r="590" spans="1:3" x14ac:dyDescent="0.25">
      <c r="A590" s="98">
        <v>2052440350579990</v>
      </c>
      <c r="B590">
        <v>8.1999999999999993</v>
      </c>
      <c r="C590">
        <v>0.24</v>
      </c>
    </row>
    <row r="591" spans="1:3" x14ac:dyDescent="0.25">
      <c r="A591" s="98">
        <v>2055930800266840</v>
      </c>
      <c r="B591">
        <v>8.66</v>
      </c>
      <c r="C591">
        <v>0.24</v>
      </c>
    </row>
    <row r="592" spans="1:3" x14ac:dyDescent="0.25">
      <c r="A592" s="98">
        <v>2059421592840440</v>
      </c>
      <c r="B592">
        <v>8.57</v>
      </c>
      <c r="C592">
        <v>0.24</v>
      </c>
    </row>
    <row r="593" spans="1:3" x14ac:dyDescent="0.25">
      <c r="A593" s="98">
        <v>2062912210695170</v>
      </c>
      <c r="B593">
        <v>8.33</v>
      </c>
      <c r="C593">
        <v>0.23</v>
      </c>
    </row>
    <row r="594" spans="1:3" x14ac:dyDescent="0.25">
      <c r="A594" s="98">
        <v>2066402835023620</v>
      </c>
      <c r="B594">
        <v>8.56</v>
      </c>
      <c r="C594">
        <v>0.24</v>
      </c>
    </row>
    <row r="595" spans="1:3" x14ac:dyDescent="0.25">
      <c r="A595" s="98">
        <v>2069893379255570</v>
      </c>
      <c r="B595">
        <v>8.56</v>
      </c>
      <c r="C595">
        <v>0.25</v>
      </c>
    </row>
    <row r="596" spans="1:3" x14ac:dyDescent="0.25">
      <c r="A596" s="98">
        <v>2073383826729320</v>
      </c>
      <c r="B596">
        <v>8.5</v>
      </c>
      <c r="C596">
        <v>0.24</v>
      </c>
    </row>
    <row r="597" spans="1:3" x14ac:dyDescent="0.25">
      <c r="A597" s="98">
        <v>2076874265505200</v>
      </c>
      <c r="B597">
        <v>8.31</v>
      </c>
      <c r="C597">
        <v>0.24</v>
      </c>
    </row>
    <row r="598" spans="1:3" x14ac:dyDescent="0.25">
      <c r="A598" s="98">
        <v>2080365101248020</v>
      </c>
      <c r="B598">
        <v>8.2899999999999991</v>
      </c>
      <c r="C598">
        <v>0.25</v>
      </c>
    </row>
    <row r="599" spans="1:3" x14ac:dyDescent="0.25">
      <c r="A599" s="98">
        <v>2083855771748000</v>
      </c>
      <c r="B599">
        <v>8.44</v>
      </c>
      <c r="C599">
        <v>0.25</v>
      </c>
    </row>
    <row r="600" spans="1:3" x14ac:dyDescent="0.25">
      <c r="A600" s="98">
        <v>2087346517537470</v>
      </c>
      <c r="B600">
        <v>8.39</v>
      </c>
      <c r="C600">
        <v>0.25</v>
      </c>
    </row>
    <row r="601" spans="1:3" x14ac:dyDescent="0.25">
      <c r="A601" s="98">
        <v>2090836811137420</v>
      </c>
      <c r="B601">
        <v>8.4700000000000006</v>
      </c>
      <c r="C601">
        <v>0.24</v>
      </c>
    </row>
    <row r="602" spans="1:3" x14ac:dyDescent="0.25">
      <c r="A602" s="98">
        <v>2094327328519680</v>
      </c>
      <c r="B602">
        <v>8.3699999999999992</v>
      </c>
      <c r="C602">
        <v>0.24</v>
      </c>
    </row>
    <row r="603" spans="1:3" x14ac:dyDescent="0.25">
      <c r="A603" s="98">
        <v>2097817743635840</v>
      </c>
      <c r="B603">
        <v>8.52</v>
      </c>
      <c r="C603">
        <v>0.24</v>
      </c>
    </row>
    <row r="604" spans="1:3" x14ac:dyDescent="0.25">
      <c r="A604" s="98">
        <v>2101308485037750</v>
      </c>
      <c r="B604">
        <v>8.3000000000000007</v>
      </c>
      <c r="C604">
        <v>0.24</v>
      </c>
    </row>
    <row r="605" spans="1:3" x14ac:dyDescent="0.25">
      <c r="A605" s="98">
        <v>2104799124239770</v>
      </c>
      <c r="B605">
        <v>8.48</v>
      </c>
      <c r="C605">
        <v>0.25</v>
      </c>
    </row>
    <row r="606" spans="1:3" x14ac:dyDescent="0.25">
      <c r="A606" s="98">
        <v>2108289556602630</v>
      </c>
      <c r="B606">
        <v>8.2799999999999994</v>
      </c>
      <c r="C606">
        <v>0.24</v>
      </c>
    </row>
    <row r="607" spans="1:3" x14ac:dyDescent="0.25">
      <c r="A607" s="98">
        <v>2111779962275860</v>
      </c>
      <c r="B607">
        <v>8.5399999999999991</v>
      </c>
      <c r="C607">
        <v>0.25</v>
      </c>
    </row>
    <row r="608" spans="1:3" x14ac:dyDescent="0.25">
      <c r="A608" s="98">
        <v>2115270278509010</v>
      </c>
      <c r="B608">
        <v>8.4600000000000009</v>
      </c>
      <c r="C608">
        <v>0.25</v>
      </c>
    </row>
    <row r="609" spans="1:3" x14ac:dyDescent="0.25">
      <c r="A609" s="98">
        <v>2118760611795710</v>
      </c>
      <c r="B609">
        <v>8.51</v>
      </c>
      <c r="C609">
        <v>0.25</v>
      </c>
    </row>
    <row r="610" spans="1:3" x14ac:dyDescent="0.25">
      <c r="A610" s="98">
        <v>2122251281981110</v>
      </c>
      <c r="B610">
        <v>8.4600000000000009</v>
      </c>
      <c r="C610">
        <v>0.25</v>
      </c>
    </row>
    <row r="611" spans="1:3" x14ac:dyDescent="0.25">
      <c r="A611" s="98">
        <v>2125741868135000</v>
      </c>
      <c r="B611">
        <v>8.26</v>
      </c>
      <c r="C611">
        <v>0.25</v>
      </c>
    </row>
    <row r="612" spans="1:3" x14ac:dyDescent="0.25">
      <c r="A612" s="98">
        <v>2129232139747450</v>
      </c>
      <c r="B612">
        <v>8.4</v>
      </c>
      <c r="C612">
        <v>0.25</v>
      </c>
    </row>
    <row r="613" spans="1:3" x14ac:dyDescent="0.25">
      <c r="A613" s="98">
        <v>2132722941377640</v>
      </c>
      <c r="B613">
        <v>8.32</v>
      </c>
      <c r="C613">
        <v>0.24</v>
      </c>
    </row>
    <row r="614" spans="1:3" x14ac:dyDescent="0.25">
      <c r="A614" s="98">
        <v>2136213485593040</v>
      </c>
      <c r="B614">
        <v>8.5399999999999991</v>
      </c>
      <c r="C614">
        <v>0.25</v>
      </c>
    </row>
    <row r="615" spans="1:3" x14ac:dyDescent="0.25">
      <c r="A615" s="98">
        <v>2139703946406090</v>
      </c>
      <c r="B615">
        <v>8.31</v>
      </c>
      <c r="C615">
        <v>0.25</v>
      </c>
    </row>
    <row r="616" spans="1:3" x14ac:dyDescent="0.25">
      <c r="A616" s="98">
        <v>2143194543824150</v>
      </c>
      <c r="B616">
        <v>8.49</v>
      </c>
      <c r="C616">
        <v>0.25</v>
      </c>
    </row>
    <row r="617" spans="1:3" x14ac:dyDescent="0.25">
      <c r="A617" s="98">
        <v>2146684948266650</v>
      </c>
      <c r="B617">
        <v>8.41</v>
      </c>
      <c r="C617">
        <v>0.25</v>
      </c>
    </row>
    <row r="618" spans="1:3" x14ac:dyDescent="0.25">
      <c r="A618" s="98">
        <v>2150175498100340</v>
      </c>
      <c r="B618">
        <v>8.4600000000000009</v>
      </c>
      <c r="C618">
        <v>0.25</v>
      </c>
    </row>
    <row r="619" spans="1:3" x14ac:dyDescent="0.25">
      <c r="A619" s="98">
        <v>2153666179329150</v>
      </c>
      <c r="B619">
        <v>8.9700000000000006</v>
      </c>
      <c r="C619">
        <v>0.25</v>
      </c>
    </row>
    <row r="620" spans="1:3" x14ac:dyDescent="0.25">
      <c r="A620" s="98">
        <v>2157156675573850</v>
      </c>
      <c r="B620">
        <v>8.84</v>
      </c>
      <c r="C620">
        <v>0.26</v>
      </c>
    </row>
    <row r="621" spans="1:3" x14ac:dyDescent="0.25">
      <c r="A621" s="98">
        <v>2160647259702280</v>
      </c>
      <c r="B621">
        <v>8.82</v>
      </c>
      <c r="C621">
        <v>0.26</v>
      </c>
    </row>
    <row r="622" spans="1:3" x14ac:dyDescent="0.25">
      <c r="A622" s="98">
        <v>2164138016413750</v>
      </c>
      <c r="B622">
        <v>8.8000000000000007</v>
      </c>
      <c r="C622">
        <v>0.25</v>
      </c>
    </row>
    <row r="623" spans="1:3" x14ac:dyDescent="0.25">
      <c r="A623" s="98">
        <v>2167628448147460</v>
      </c>
      <c r="B623">
        <v>8.84</v>
      </c>
      <c r="C623">
        <v>0.25</v>
      </c>
    </row>
    <row r="624" spans="1:3" x14ac:dyDescent="0.25">
      <c r="A624" s="98">
        <v>2171118963454600</v>
      </c>
      <c r="B624">
        <v>8.64</v>
      </c>
      <c r="C624">
        <v>0.28000000000000003</v>
      </c>
    </row>
    <row r="625" spans="1:3" x14ac:dyDescent="0.25">
      <c r="A625" s="98">
        <v>2174609545127100</v>
      </c>
      <c r="B625">
        <v>8.82</v>
      </c>
      <c r="C625">
        <v>0.27</v>
      </c>
    </row>
    <row r="626" spans="1:3" x14ac:dyDescent="0.25">
      <c r="A626" s="98">
        <v>2178100171320960</v>
      </c>
      <c r="B626">
        <v>8.5</v>
      </c>
      <c r="C626">
        <v>0.28000000000000003</v>
      </c>
    </row>
    <row r="627" spans="1:3" x14ac:dyDescent="0.25">
      <c r="A627" s="98">
        <v>2181590687941620</v>
      </c>
      <c r="B627">
        <v>8.3800000000000008</v>
      </c>
      <c r="C627">
        <v>0.27</v>
      </c>
    </row>
    <row r="628" spans="1:3" x14ac:dyDescent="0.25">
      <c r="A628" s="98">
        <v>2185081357801400</v>
      </c>
      <c r="B628">
        <v>8.23</v>
      </c>
      <c r="C628">
        <v>0.28000000000000003</v>
      </c>
    </row>
    <row r="629" spans="1:3" x14ac:dyDescent="0.25">
      <c r="A629" s="98">
        <v>2188571894422720</v>
      </c>
      <c r="B629">
        <v>8.33</v>
      </c>
      <c r="C629">
        <v>0.28000000000000003</v>
      </c>
    </row>
    <row r="630" spans="1:3" x14ac:dyDescent="0.25">
      <c r="A630" s="98">
        <v>2192062595547340</v>
      </c>
      <c r="B630">
        <v>8.49</v>
      </c>
      <c r="C630">
        <v>0.27</v>
      </c>
    </row>
    <row r="631" spans="1:3" x14ac:dyDescent="0.25">
      <c r="A631" s="98">
        <v>2195553108172280</v>
      </c>
      <c r="B631">
        <v>8.5399999999999991</v>
      </c>
      <c r="C631">
        <v>0.27</v>
      </c>
    </row>
    <row r="632" spans="1:3" x14ac:dyDescent="0.25">
      <c r="A632" s="98">
        <v>2199043614952650</v>
      </c>
      <c r="B632">
        <v>8.31</v>
      </c>
      <c r="C632">
        <v>0.27</v>
      </c>
    </row>
    <row r="633" spans="1:3" x14ac:dyDescent="0.25">
      <c r="A633" s="98">
        <v>2202534011138810</v>
      </c>
      <c r="B633">
        <v>8.1999999999999993</v>
      </c>
      <c r="C633">
        <v>0.27</v>
      </c>
    </row>
    <row r="634" spans="1:3" x14ac:dyDescent="0.25">
      <c r="A634" s="98">
        <v>2206024477023760</v>
      </c>
      <c r="B634">
        <v>8.4499999999999993</v>
      </c>
      <c r="C634">
        <v>0.26</v>
      </c>
    </row>
    <row r="635" spans="1:3" x14ac:dyDescent="0.25">
      <c r="A635" s="98">
        <v>2209514896819980</v>
      </c>
      <c r="B635">
        <v>8.41</v>
      </c>
      <c r="C635">
        <v>0.26</v>
      </c>
    </row>
    <row r="636" spans="1:3" x14ac:dyDescent="0.25">
      <c r="A636" s="98">
        <v>2213005229869370</v>
      </c>
      <c r="B636">
        <v>8.42</v>
      </c>
      <c r="C636">
        <v>0.27</v>
      </c>
    </row>
    <row r="637" spans="1:3" x14ac:dyDescent="0.25">
      <c r="A637" s="98">
        <v>2216495835460990</v>
      </c>
      <c r="B637">
        <v>8.4</v>
      </c>
      <c r="C637">
        <v>0.27</v>
      </c>
    </row>
    <row r="638" spans="1:3" x14ac:dyDescent="0.25">
      <c r="A638" s="98">
        <v>2219986405681680</v>
      </c>
      <c r="B638">
        <v>8.41</v>
      </c>
      <c r="C638">
        <v>0.26</v>
      </c>
    </row>
    <row r="639" spans="1:3" x14ac:dyDescent="0.25">
      <c r="A639" s="98">
        <v>2223476862741840</v>
      </c>
      <c r="B639">
        <v>8.57</v>
      </c>
      <c r="C639">
        <v>0.27</v>
      </c>
    </row>
    <row r="640" spans="1:3" x14ac:dyDescent="0.25">
      <c r="A640" s="98">
        <v>2226967416035900</v>
      </c>
      <c r="B640">
        <v>8.66</v>
      </c>
      <c r="C640">
        <v>0.28000000000000003</v>
      </c>
    </row>
    <row r="641" spans="1:3" x14ac:dyDescent="0.25">
      <c r="A641" s="98">
        <v>2230457777496840</v>
      </c>
      <c r="B641">
        <v>8.59</v>
      </c>
      <c r="C641">
        <v>0.27</v>
      </c>
    </row>
    <row r="642" spans="1:3" x14ac:dyDescent="0.25">
      <c r="A642" s="98">
        <v>2233948387685740</v>
      </c>
      <c r="B642">
        <v>8.7100000000000009</v>
      </c>
      <c r="C642">
        <v>0.28000000000000003</v>
      </c>
    </row>
    <row r="643" spans="1:3" x14ac:dyDescent="0.25">
      <c r="A643" s="98">
        <v>2237439111173150</v>
      </c>
      <c r="B643">
        <v>8.64</v>
      </c>
      <c r="C643">
        <v>0.28000000000000003</v>
      </c>
    </row>
    <row r="644" spans="1:3" x14ac:dyDescent="0.25">
      <c r="A644" s="98">
        <v>2240929606794200</v>
      </c>
      <c r="B644">
        <v>8.6199999999999992</v>
      </c>
      <c r="C644">
        <v>0.28000000000000003</v>
      </c>
    </row>
    <row r="645" spans="1:3" x14ac:dyDescent="0.25">
      <c r="A645" s="98">
        <v>2244420053230390</v>
      </c>
      <c r="B645">
        <v>8.68</v>
      </c>
      <c r="C645">
        <v>0.27</v>
      </c>
    </row>
    <row r="646" spans="1:3" x14ac:dyDescent="0.25">
      <c r="A646" s="98">
        <v>2247910324213680</v>
      </c>
      <c r="B646">
        <v>8.66</v>
      </c>
      <c r="C646">
        <v>0.28000000000000003</v>
      </c>
    </row>
    <row r="647" spans="1:3" x14ac:dyDescent="0.25">
      <c r="A647" s="98">
        <v>2251400845895210</v>
      </c>
      <c r="B647">
        <v>8.61</v>
      </c>
      <c r="C647">
        <v>0.26</v>
      </c>
    </row>
    <row r="648" spans="1:3" x14ac:dyDescent="0.25">
      <c r="A648" s="98">
        <v>2254891449665580</v>
      </c>
      <c r="B648">
        <v>8.69</v>
      </c>
      <c r="C648">
        <v>0.28000000000000003</v>
      </c>
    </row>
    <row r="649" spans="1:3" x14ac:dyDescent="0.25">
      <c r="A649" s="98">
        <v>2258382186922760</v>
      </c>
      <c r="B649">
        <v>8.59</v>
      </c>
      <c r="C649">
        <v>0.28000000000000003</v>
      </c>
    </row>
    <row r="650" spans="1:3" x14ac:dyDescent="0.25">
      <c r="A650" s="98">
        <v>2261872777574590</v>
      </c>
      <c r="B650">
        <v>8.67</v>
      </c>
      <c r="C650">
        <v>0.27</v>
      </c>
    </row>
    <row r="651" spans="1:3" x14ac:dyDescent="0.25">
      <c r="A651" s="98">
        <v>2265363178380110</v>
      </c>
      <c r="B651">
        <v>8.76</v>
      </c>
      <c r="C651">
        <v>0.28000000000000003</v>
      </c>
    </row>
    <row r="652" spans="1:3" x14ac:dyDescent="0.25">
      <c r="A652" s="98">
        <v>2268853926686220</v>
      </c>
      <c r="B652">
        <v>8.73</v>
      </c>
      <c r="C652">
        <v>0.27</v>
      </c>
    </row>
    <row r="653" spans="1:3" x14ac:dyDescent="0.25">
      <c r="A653" s="98">
        <v>2272344507977910</v>
      </c>
      <c r="B653">
        <v>8.6999999999999993</v>
      </c>
      <c r="C653">
        <v>0.28999999999999998</v>
      </c>
    </row>
    <row r="654" spans="1:3" x14ac:dyDescent="0.25">
      <c r="A654" s="98">
        <v>2275835119894250</v>
      </c>
      <c r="B654">
        <v>8.81</v>
      </c>
      <c r="C654">
        <v>0.28999999999999998</v>
      </c>
    </row>
    <row r="655" spans="1:3" x14ac:dyDescent="0.25">
      <c r="A655" s="98">
        <v>2279325656592840</v>
      </c>
      <c r="B655">
        <v>8.64</v>
      </c>
      <c r="C655">
        <v>0.28000000000000003</v>
      </c>
    </row>
    <row r="656" spans="1:3" x14ac:dyDescent="0.25">
      <c r="A656" s="98">
        <v>2282816225334450</v>
      </c>
      <c r="B656">
        <v>8.66</v>
      </c>
      <c r="C656">
        <v>0.28000000000000003</v>
      </c>
    </row>
    <row r="657" spans="1:3" x14ac:dyDescent="0.25">
      <c r="A657" s="98">
        <v>2286306653574660</v>
      </c>
      <c r="B657">
        <v>8.74</v>
      </c>
      <c r="C657">
        <v>0.27</v>
      </c>
    </row>
    <row r="658" spans="1:3" x14ac:dyDescent="0.25">
      <c r="A658" s="98">
        <v>2289797034081480</v>
      </c>
      <c r="B658">
        <v>8.6</v>
      </c>
      <c r="C658">
        <v>0.28000000000000003</v>
      </c>
    </row>
    <row r="659" spans="1:3" x14ac:dyDescent="0.25">
      <c r="A659" s="98">
        <v>2293287519536630</v>
      </c>
      <c r="B659">
        <v>8.69</v>
      </c>
      <c r="C659">
        <v>0.27</v>
      </c>
    </row>
    <row r="660" spans="1:3" x14ac:dyDescent="0.25">
      <c r="A660" s="98">
        <v>2296778187359920</v>
      </c>
      <c r="B660">
        <v>8.73</v>
      </c>
      <c r="C660">
        <v>0.27</v>
      </c>
    </row>
    <row r="661" spans="1:3" x14ac:dyDescent="0.25">
      <c r="A661" s="98">
        <v>2300268747618900</v>
      </c>
      <c r="B661">
        <v>8.66</v>
      </c>
      <c r="C661">
        <v>0.28000000000000003</v>
      </c>
    </row>
    <row r="662" spans="1:3" x14ac:dyDescent="0.25">
      <c r="A662" s="98">
        <v>2303759098748360</v>
      </c>
      <c r="B662">
        <v>8.73</v>
      </c>
      <c r="C662">
        <v>0.27</v>
      </c>
    </row>
    <row r="663" spans="1:3" x14ac:dyDescent="0.25">
      <c r="A663" s="98">
        <v>2307249453796280</v>
      </c>
      <c r="B663">
        <v>8.77</v>
      </c>
      <c r="C663">
        <v>0.28000000000000003</v>
      </c>
    </row>
    <row r="664" spans="1:3" x14ac:dyDescent="0.25">
      <c r="A664" s="98">
        <v>2310739885005680</v>
      </c>
      <c r="B664">
        <v>8.6300000000000008</v>
      </c>
      <c r="C664">
        <v>0.28000000000000003</v>
      </c>
    </row>
    <row r="665" spans="1:3" x14ac:dyDescent="0.25">
      <c r="A665" s="98">
        <v>2314230503517160</v>
      </c>
      <c r="B665">
        <v>8.59</v>
      </c>
      <c r="C665">
        <v>0.27</v>
      </c>
    </row>
    <row r="666" spans="1:3" x14ac:dyDescent="0.25">
      <c r="A666" s="98">
        <v>2317721082154240</v>
      </c>
      <c r="B666">
        <v>8.69</v>
      </c>
      <c r="C666">
        <v>0.27</v>
      </c>
    </row>
    <row r="667" spans="1:3" x14ac:dyDescent="0.25">
      <c r="A667" s="98">
        <v>2321211655139920</v>
      </c>
      <c r="B667">
        <v>8.59</v>
      </c>
      <c r="C667">
        <v>0.27</v>
      </c>
    </row>
    <row r="668" spans="1:3" x14ac:dyDescent="0.25">
      <c r="A668" s="98">
        <v>2324702245537880</v>
      </c>
      <c r="B668">
        <v>8.81</v>
      </c>
      <c r="C668">
        <v>0.28000000000000003</v>
      </c>
    </row>
    <row r="669" spans="1:3" x14ac:dyDescent="0.25">
      <c r="A669" s="98">
        <v>2328192632810930</v>
      </c>
      <c r="B669">
        <v>8.73</v>
      </c>
      <c r="C669">
        <v>0.28000000000000003</v>
      </c>
    </row>
    <row r="670" spans="1:3" x14ac:dyDescent="0.25">
      <c r="A670" s="98">
        <v>2331683220592910</v>
      </c>
      <c r="B670">
        <v>8.77</v>
      </c>
      <c r="C670">
        <v>0.28000000000000003</v>
      </c>
    </row>
    <row r="671" spans="1:3" x14ac:dyDescent="0.25">
      <c r="A671" s="98">
        <v>2335173913450150</v>
      </c>
      <c r="B671">
        <v>8.82</v>
      </c>
      <c r="C671">
        <v>0.28000000000000003</v>
      </c>
    </row>
    <row r="672" spans="1:3" x14ac:dyDescent="0.25">
      <c r="A672" s="98">
        <v>2338664223408250</v>
      </c>
      <c r="B672">
        <v>8.98</v>
      </c>
      <c r="C672">
        <v>0.28000000000000003</v>
      </c>
    </row>
    <row r="673" spans="1:3" x14ac:dyDescent="0.25">
      <c r="A673" s="98">
        <v>2342154821621040</v>
      </c>
      <c r="B673">
        <v>8.58</v>
      </c>
      <c r="C673">
        <v>0.28000000000000003</v>
      </c>
    </row>
    <row r="674" spans="1:3" x14ac:dyDescent="0.25">
      <c r="A674" s="98">
        <v>2345645342259490</v>
      </c>
      <c r="B674">
        <v>8.73</v>
      </c>
      <c r="C674">
        <v>0.28999999999999998</v>
      </c>
    </row>
    <row r="675" spans="1:3" x14ac:dyDescent="0.25">
      <c r="A675" s="98">
        <v>2349135760880170</v>
      </c>
      <c r="B675">
        <v>8.7899999999999991</v>
      </c>
      <c r="C675">
        <v>0.28999999999999998</v>
      </c>
    </row>
    <row r="676" spans="1:3" x14ac:dyDescent="0.25">
      <c r="A676" s="98">
        <v>2352626338794270</v>
      </c>
      <c r="B676">
        <v>8.89</v>
      </c>
      <c r="C676">
        <v>0.28999999999999998</v>
      </c>
    </row>
    <row r="677" spans="1:3" x14ac:dyDescent="0.25">
      <c r="A677" s="98">
        <v>2356116695293670</v>
      </c>
      <c r="B677">
        <v>8.65</v>
      </c>
      <c r="C677">
        <v>0.28000000000000003</v>
      </c>
    </row>
    <row r="678" spans="1:3" x14ac:dyDescent="0.25">
      <c r="A678" s="98">
        <v>2359607349954270</v>
      </c>
      <c r="B678">
        <v>8.7100000000000009</v>
      </c>
      <c r="C678">
        <v>0.28000000000000003</v>
      </c>
    </row>
    <row r="679" spans="1:3" x14ac:dyDescent="0.25">
      <c r="A679" s="98">
        <v>2363097967814510</v>
      </c>
      <c r="B679">
        <v>8.7799999999999994</v>
      </c>
      <c r="C679">
        <v>0.28000000000000003</v>
      </c>
    </row>
    <row r="680" spans="1:3" x14ac:dyDescent="0.25">
      <c r="A680" s="98">
        <v>2366588497675120</v>
      </c>
      <c r="B680">
        <v>8.75</v>
      </c>
      <c r="C680">
        <v>0.27</v>
      </c>
    </row>
    <row r="681" spans="1:3" x14ac:dyDescent="0.25">
      <c r="A681" s="98">
        <v>2370079128311740</v>
      </c>
      <c r="B681">
        <v>8.84</v>
      </c>
      <c r="C681">
        <v>0.28000000000000003</v>
      </c>
    </row>
    <row r="682" spans="1:3" x14ac:dyDescent="0.25">
      <c r="A682" s="98">
        <v>2373569911100240</v>
      </c>
      <c r="B682">
        <v>8.89</v>
      </c>
      <c r="C682">
        <v>0.28000000000000003</v>
      </c>
    </row>
    <row r="683" spans="1:3" x14ac:dyDescent="0.25">
      <c r="A683" s="98">
        <v>2377060364203320</v>
      </c>
      <c r="B683">
        <v>8.85</v>
      </c>
      <c r="C683">
        <v>0.28000000000000003</v>
      </c>
    </row>
    <row r="684" spans="1:3" x14ac:dyDescent="0.25">
      <c r="A684" s="98">
        <v>2380550934109420</v>
      </c>
      <c r="B684">
        <v>8.85</v>
      </c>
      <c r="C684">
        <v>0.27</v>
      </c>
    </row>
    <row r="685" spans="1:3" x14ac:dyDescent="0.25">
      <c r="A685" s="98">
        <v>2384041418306250</v>
      </c>
      <c r="B685">
        <v>8.7100000000000009</v>
      </c>
      <c r="C685">
        <v>0.28000000000000003</v>
      </c>
    </row>
    <row r="686" spans="1:3" x14ac:dyDescent="0.25">
      <c r="A686" s="98">
        <v>2387532025211380</v>
      </c>
      <c r="B686">
        <v>8.7799999999999994</v>
      </c>
      <c r="C686">
        <v>0.28000000000000003</v>
      </c>
    </row>
    <row r="687" spans="1:3" x14ac:dyDescent="0.25">
      <c r="A687" s="98">
        <v>2391022311079280</v>
      </c>
      <c r="B687">
        <v>8.83</v>
      </c>
      <c r="C687">
        <v>0.27</v>
      </c>
    </row>
    <row r="688" spans="1:3" x14ac:dyDescent="0.25">
      <c r="A688" s="98">
        <v>2394512906543630</v>
      </c>
      <c r="B688">
        <v>8.7899999999999991</v>
      </c>
      <c r="C688">
        <v>0.28000000000000003</v>
      </c>
    </row>
    <row r="689" spans="1:3" x14ac:dyDescent="0.25">
      <c r="A689" s="98">
        <v>2398003278843780</v>
      </c>
      <c r="B689">
        <v>8.75</v>
      </c>
      <c r="C689">
        <v>0.28000000000000003</v>
      </c>
    </row>
    <row r="690" spans="1:3" x14ac:dyDescent="0.25">
      <c r="A690" s="98">
        <v>2401493882283010</v>
      </c>
      <c r="B690">
        <v>8.75</v>
      </c>
      <c r="C690">
        <v>0.25</v>
      </c>
    </row>
    <row r="691" spans="1:3" x14ac:dyDescent="0.25">
      <c r="A691" s="98">
        <v>2404984551574340</v>
      </c>
      <c r="B691">
        <v>8.76</v>
      </c>
      <c r="C691">
        <v>0.25</v>
      </c>
    </row>
    <row r="692" spans="1:3" x14ac:dyDescent="0.25">
      <c r="A692" s="98">
        <v>2408474971171880</v>
      </c>
      <c r="B692">
        <v>8.74</v>
      </c>
      <c r="C692">
        <v>0.25</v>
      </c>
    </row>
    <row r="693" spans="1:3" x14ac:dyDescent="0.25">
      <c r="A693" s="98">
        <v>2411965401917690</v>
      </c>
      <c r="B693">
        <v>9.26</v>
      </c>
      <c r="C693">
        <v>0.26</v>
      </c>
    </row>
    <row r="694" spans="1:3" x14ac:dyDescent="0.25">
      <c r="A694" s="98">
        <v>2415456045027130</v>
      </c>
      <c r="B694">
        <v>9.25</v>
      </c>
      <c r="C694">
        <v>0.26</v>
      </c>
    </row>
    <row r="695" spans="1:3" x14ac:dyDescent="0.25">
      <c r="A695" s="98">
        <v>2418946486452110</v>
      </c>
      <c r="B695">
        <v>9.14</v>
      </c>
      <c r="C695">
        <v>0.26</v>
      </c>
    </row>
    <row r="696" spans="1:3" x14ac:dyDescent="0.25">
      <c r="A696" s="98">
        <v>2422436865264610</v>
      </c>
      <c r="B696">
        <v>9.16</v>
      </c>
      <c r="C696">
        <v>0.25</v>
      </c>
    </row>
    <row r="697" spans="1:3" x14ac:dyDescent="0.25">
      <c r="A697" s="98">
        <v>2425927349053040</v>
      </c>
      <c r="B697">
        <v>8.82</v>
      </c>
      <c r="C697">
        <v>0.26</v>
      </c>
    </row>
    <row r="698" spans="1:3" x14ac:dyDescent="0.25">
      <c r="A698" s="98">
        <v>2429417676616590</v>
      </c>
      <c r="B698">
        <v>8.98</v>
      </c>
      <c r="C698">
        <v>0.27</v>
      </c>
    </row>
    <row r="699" spans="1:3" x14ac:dyDescent="0.25">
      <c r="A699" s="98">
        <v>2432908149035990</v>
      </c>
      <c r="B699">
        <v>9.1300000000000008</v>
      </c>
      <c r="C699">
        <v>0.26</v>
      </c>
    </row>
    <row r="700" spans="1:3" x14ac:dyDescent="0.25">
      <c r="A700" s="98">
        <v>2436398742949520</v>
      </c>
      <c r="B700">
        <v>8.89</v>
      </c>
      <c r="C700">
        <v>0.27</v>
      </c>
    </row>
    <row r="701" spans="1:3" x14ac:dyDescent="0.25">
      <c r="A701" s="98">
        <v>2439889112534340</v>
      </c>
      <c r="B701">
        <v>8.82</v>
      </c>
      <c r="C701">
        <v>0.26</v>
      </c>
    </row>
    <row r="702" spans="1:3" x14ac:dyDescent="0.25">
      <c r="A702" s="98">
        <v>2443379661093150</v>
      </c>
      <c r="B702">
        <v>8.94</v>
      </c>
      <c r="C702">
        <v>0.27</v>
      </c>
    </row>
    <row r="703" spans="1:3" x14ac:dyDescent="0.25">
      <c r="A703" s="98">
        <v>2446870285184290</v>
      </c>
      <c r="B703">
        <v>8.93</v>
      </c>
      <c r="C703">
        <v>0.27</v>
      </c>
    </row>
    <row r="704" spans="1:3" x14ac:dyDescent="0.25">
      <c r="A704" s="98">
        <v>2450360794387480</v>
      </c>
      <c r="B704">
        <v>8.8800000000000008</v>
      </c>
      <c r="C704">
        <v>0.26</v>
      </c>
    </row>
    <row r="705" spans="1:3" x14ac:dyDescent="0.25">
      <c r="A705" s="98">
        <v>2453851271166840</v>
      </c>
      <c r="B705">
        <v>9.08</v>
      </c>
      <c r="C705">
        <v>0.27</v>
      </c>
    </row>
    <row r="706" spans="1:3" x14ac:dyDescent="0.25">
      <c r="A706" s="98">
        <v>2457341949525800</v>
      </c>
      <c r="B706">
        <v>8.81</v>
      </c>
      <c r="C706">
        <v>0.27</v>
      </c>
    </row>
    <row r="707" spans="1:3" x14ac:dyDescent="0.25">
      <c r="A707" s="98">
        <v>2460832457343730</v>
      </c>
      <c r="B707">
        <v>8.89</v>
      </c>
      <c r="C707">
        <v>0.28000000000000003</v>
      </c>
    </row>
    <row r="708" spans="1:3" x14ac:dyDescent="0.25">
      <c r="A708" s="98">
        <v>2464322865870260</v>
      </c>
      <c r="B708">
        <v>8.64</v>
      </c>
      <c r="C708">
        <v>0.28999999999999998</v>
      </c>
    </row>
    <row r="709" spans="1:3" x14ac:dyDescent="0.25">
      <c r="A709" s="98">
        <v>2467813634436430</v>
      </c>
      <c r="B709">
        <v>9.1</v>
      </c>
      <c r="C709">
        <v>0.27</v>
      </c>
    </row>
    <row r="710" spans="1:3" x14ac:dyDescent="0.25">
      <c r="A710" s="98">
        <v>2471304180092280</v>
      </c>
      <c r="B710">
        <v>9.06</v>
      </c>
      <c r="C710">
        <v>0.27</v>
      </c>
    </row>
    <row r="711" spans="1:3" x14ac:dyDescent="0.25">
      <c r="A711" s="98">
        <v>2474794643880040</v>
      </c>
      <c r="B711">
        <v>9.06</v>
      </c>
      <c r="C711">
        <v>0.28000000000000003</v>
      </c>
    </row>
    <row r="712" spans="1:3" x14ac:dyDescent="0.25">
      <c r="A712" s="98">
        <v>2478285230712750</v>
      </c>
      <c r="B712">
        <v>9.02</v>
      </c>
      <c r="C712">
        <v>0.28000000000000003</v>
      </c>
    </row>
    <row r="713" spans="1:3" x14ac:dyDescent="0.25">
      <c r="A713" s="98">
        <v>2481775875406130</v>
      </c>
      <c r="B713">
        <v>8.92</v>
      </c>
      <c r="C713">
        <v>0.28000000000000003</v>
      </c>
    </row>
    <row r="714" spans="1:3" x14ac:dyDescent="0.25">
      <c r="A714" s="98">
        <v>2485266365000490</v>
      </c>
      <c r="B714">
        <v>8.9</v>
      </c>
      <c r="C714">
        <v>0.27</v>
      </c>
    </row>
    <row r="715" spans="1:3" x14ac:dyDescent="0.25">
      <c r="A715" s="98">
        <v>2488756976359420</v>
      </c>
      <c r="B715">
        <v>8.83</v>
      </c>
      <c r="C715">
        <v>0.28999999999999998</v>
      </c>
    </row>
    <row r="716" spans="1:3" x14ac:dyDescent="0.25">
      <c r="A716" s="98">
        <v>2492247574202440</v>
      </c>
      <c r="B716">
        <v>8.8000000000000007</v>
      </c>
      <c r="C716">
        <v>0.28000000000000003</v>
      </c>
    </row>
    <row r="717" spans="1:3" x14ac:dyDescent="0.25">
      <c r="A717" s="98">
        <v>2495737985024850</v>
      </c>
      <c r="B717">
        <v>8.84</v>
      </c>
      <c r="C717">
        <v>0.27</v>
      </c>
    </row>
    <row r="718" spans="1:3" x14ac:dyDescent="0.25">
      <c r="A718" s="98">
        <v>2499228680006880</v>
      </c>
      <c r="B718">
        <v>8.83</v>
      </c>
      <c r="C718">
        <v>0.28000000000000003</v>
      </c>
    </row>
    <row r="719" spans="1:3" x14ac:dyDescent="0.25">
      <c r="A719" s="98">
        <v>2502719250989180</v>
      </c>
      <c r="B719">
        <v>8.6999999999999993</v>
      </c>
      <c r="C719">
        <v>0.28000000000000003</v>
      </c>
    </row>
    <row r="720" spans="1:3" x14ac:dyDescent="0.25">
      <c r="A720" s="98">
        <v>2506209594574230</v>
      </c>
      <c r="B720">
        <v>9.02</v>
      </c>
      <c r="C720">
        <v>0.28000000000000003</v>
      </c>
    </row>
    <row r="721" spans="1:3" x14ac:dyDescent="0.25">
      <c r="A721" s="98">
        <v>2509700049564790</v>
      </c>
      <c r="B721">
        <v>8.92</v>
      </c>
      <c r="C721">
        <v>0.28999999999999998</v>
      </c>
    </row>
    <row r="722" spans="1:3" x14ac:dyDescent="0.25">
      <c r="A722" s="98">
        <v>2513190536940530</v>
      </c>
      <c r="B722">
        <v>8.6999999999999993</v>
      </c>
      <c r="C722">
        <v>0.28000000000000003</v>
      </c>
    </row>
    <row r="723" spans="1:3" x14ac:dyDescent="0.25">
      <c r="A723" s="98">
        <v>2516681241944980</v>
      </c>
      <c r="B723">
        <v>8.61</v>
      </c>
      <c r="C723">
        <v>0.28999999999999998</v>
      </c>
    </row>
    <row r="724" spans="1:3" x14ac:dyDescent="0.25">
      <c r="A724" s="98">
        <v>2520172108268290</v>
      </c>
      <c r="B724">
        <v>8.75</v>
      </c>
      <c r="C724">
        <v>0.28999999999999998</v>
      </c>
    </row>
    <row r="725" spans="1:3" x14ac:dyDescent="0.25">
      <c r="A725" s="98">
        <v>2523662843102650</v>
      </c>
      <c r="B725">
        <v>8.69</v>
      </c>
      <c r="C725">
        <v>0.3</v>
      </c>
    </row>
    <row r="726" spans="1:3" x14ac:dyDescent="0.25">
      <c r="A726" s="98">
        <v>2527153510175360</v>
      </c>
      <c r="B726">
        <v>8.6999999999999993</v>
      </c>
      <c r="C726">
        <v>0.28999999999999998</v>
      </c>
    </row>
    <row r="727" spans="1:3" x14ac:dyDescent="0.25">
      <c r="A727" s="98">
        <v>2530644236720270</v>
      </c>
      <c r="B727">
        <v>8.59</v>
      </c>
      <c r="C727">
        <v>0.3</v>
      </c>
    </row>
    <row r="728" spans="1:3" x14ac:dyDescent="0.25">
      <c r="A728" s="98">
        <v>2534134903323870</v>
      </c>
      <c r="B728">
        <v>8.82</v>
      </c>
      <c r="C728">
        <v>0.3</v>
      </c>
    </row>
    <row r="729" spans="1:3" x14ac:dyDescent="0.25">
      <c r="A729" s="98">
        <v>2537625608935400</v>
      </c>
      <c r="B729">
        <v>8.75</v>
      </c>
      <c r="C729">
        <v>0.28000000000000003</v>
      </c>
    </row>
    <row r="730" spans="1:3" x14ac:dyDescent="0.25">
      <c r="A730" s="98">
        <v>2541116307377810</v>
      </c>
      <c r="B730">
        <v>8.89</v>
      </c>
      <c r="C730">
        <v>0.28000000000000003</v>
      </c>
    </row>
    <row r="731" spans="1:3" x14ac:dyDescent="0.25">
      <c r="A731" s="98">
        <v>2544606927241440</v>
      </c>
      <c r="B731">
        <v>8.6999999999999993</v>
      </c>
      <c r="C731">
        <v>0.28999999999999998</v>
      </c>
    </row>
    <row r="732" spans="1:3" x14ac:dyDescent="0.25">
      <c r="A732" s="98">
        <v>2548097666110150</v>
      </c>
      <c r="B732">
        <v>8.6999999999999993</v>
      </c>
      <c r="C732">
        <v>0.28999999999999998</v>
      </c>
    </row>
    <row r="733" spans="1:3" x14ac:dyDescent="0.25">
      <c r="A733" s="98">
        <v>2551588436056060</v>
      </c>
      <c r="B733">
        <v>8.68</v>
      </c>
      <c r="C733">
        <v>0.28999999999999998</v>
      </c>
    </row>
    <row r="734" spans="1:3" x14ac:dyDescent="0.25">
      <c r="A734" s="98">
        <v>2555079167755660</v>
      </c>
      <c r="B734">
        <v>8.9600000000000009</v>
      </c>
      <c r="C734">
        <v>0.28999999999999998</v>
      </c>
    </row>
    <row r="735" spans="1:3" x14ac:dyDescent="0.25">
      <c r="A735" s="98">
        <v>2558569632470600</v>
      </c>
      <c r="B735">
        <v>8.82</v>
      </c>
      <c r="C735">
        <v>0.28999999999999998</v>
      </c>
    </row>
    <row r="736" spans="1:3" x14ac:dyDescent="0.25">
      <c r="A736" s="98">
        <v>2562060048999610</v>
      </c>
      <c r="B736">
        <v>8.77</v>
      </c>
      <c r="C736">
        <v>0.28999999999999998</v>
      </c>
    </row>
    <row r="737" spans="1:3" x14ac:dyDescent="0.25">
      <c r="A737" s="98">
        <v>2565550520397990</v>
      </c>
      <c r="B737">
        <v>8.7899999999999991</v>
      </c>
      <c r="C737">
        <v>0.28999999999999998</v>
      </c>
    </row>
    <row r="738" spans="1:3" x14ac:dyDescent="0.25">
      <c r="A738" s="98">
        <v>2569041111535490</v>
      </c>
      <c r="B738">
        <v>8.9600000000000009</v>
      </c>
      <c r="C738">
        <v>0.3</v>
      </c>
    </row>
    <row r="739" spans="1:3" x14ac:dyDescent="0.25">
      <c r="A739" s="98">
        <v>2572531924479530</v>
      </c>
      <c r="B739">
        <v>8.89</v>
      </c>
      <c r="C739">
        <v>0.28999999999999998</v>
      </c>
    </row>
    <row r="740" spans="1:3" x14ac:dyDescent="0.25">
      <c r="A740" s="98">
        <v>2576022662305170</v>
      </c>
      <c r="B740">
        <v>8.83</v>
      </c>
      <c r="C740">
        <v>0.3</v>
      </c>
    </row>
    <row r="741" spans="1:3" x14ac:dyDescent="0.25">
      <c r="A741" s="98">
        <v>2579513415534180</v>
      </c>
      <c r="B741">
        <v>8.84</v>
      </c>
      <c r="C741">
        <v>0.28999999999999998</v>
      </c>
    </row>
    <row r="742" spans="1:3" x14ac:dyDescent="0.25">
      <c r="A742" s="98">
        <v>2583004174331820</v>
      </c>
      <c r="B742">
        <v>8.93</v>
      </c>
      <c r="C742">
        <v>0.28999999999999998</v>
      </c>
    </row>
    <row r="743" spans="1:3" x14ac:dyDescent="0.25">
      <c r="A743" s="98">
        <v>2586494797208790</v>
      </c>
      <c r="B743">
        <v>9.02</v>
      </c>
      <c r="C743">
        <v>0.28999999999999998</v>
      </c>
    </row>
    <row r="744" spans="1:3" x14ac:dyDescent="0.25">
      <c r="A744" s="98">
        <v>2589985464562970</v>
      </c>
      <c r="B744">
        <v>8.77</v>
      </c>
      <c r="C744">
        <v>0.28000000000000003</v>
      </c>
    </row>
    <row r="745" spans="1:3" x14ac:dyDescent="0.25">
      <c r="A745" s="98">
        <v>2593475969858740</v>
      </c>
      <c r="B745">
        <v>8.74</v>
      </c>
      <c r="C745">
        <v>0.3</v>
      </c>
    </row>
    <row r="746" spans="1:3" x14ac:dyDescent="0.25">
      <c r="A746" s="98">
        <v>2596966393137420</v>
      </c>
      <c r="B746">
        <v>8.7200000000000006</v>
      </c>
      <c r="C746">
        <v>0.28000000000000003</v>
      </c>
    </row>
    <row r="747" spans="1:3" x14ac:dyDescent="0.25">
      <c r="A747" s="98">
        <v>2600457102672920</v>
      </c>
      <c r="B747">
        <v>8.7899999999999991</v>
      </c>
      <c r="C747">
        <v>0.28999999999999998</v>
      </c>
    </row>
    <row r="748" spans="1:3" x14ac:dyDescent="0.25">
      <c r="A748" s="98">
        <v>2603947947533040</v>
      </c>
      <c r="B748">
        <v>8.59</v>
      </c>
      <c r="C748">
        <v>0.28000000000000003</v>
      </c>
    </row>
    <row r="749" spans="1:3" x14ac:dyDescent="0.25">
      <c r="A749" s="98">
        <v>2607438332024540</v>
      </c>
      <c r="B749">
        <v>8.59</v>
      </c>
      <c r="C749">
        <v>0.28999999999999998</v>
      </c>
    </row>
    <row r="750" spans="1:3" x14ac:dyDescent="0.25">
      <c r="A750" s="98">
        <v>2610928893525290</v>
      </c>
      <c r="B750">
        <v>8.6300000000000008</v>
      </c>
      <c r="C750">
        <v>0.28000000000000003</v>
      </c>
    </row>
    <row r="751" spans="1:3" x14ac:dyDescent="0.25">
      <c r="A751" s="98">
        <v>2614419627167560</v>
      </c>
      <c r="B751">
        <v>8.73</v>
      </c>
      <c r="C751">
        <v>0.28999999999999998</v>
      </c>
    </row>
    <row r="752" spans="1:3" x14ac:dyDescent="0.25">
      <c r="A752" s="98">
        <v>2617910318832700</v>
      </c>
      <c r="B752">
        <v>8.8000000000000007</v>
      </c>
      <c r="C752">
        <v>0.28999999999999998</v>
      </c>
    </row>
    <row r="753" spans="1:3" x14ac:dyDescent="0.25">
      <c r="A753" s="98">
        <v>2621400813868750</v>
      </c>
      <c r="B753">
        <v>8.8000000000000007</v>
      </c>
      <c r="C753">
        <v>0.28000000000000003</v>
      </c>
    </row>
    <row r="754" spans="1:3" x14ac:dyDescent="0.25">
      <c r="A754" s="98">
        <v>2624891386341160</v>
      </c>
      <c r="B754">
        <v>8.66</v>
      </c>
      <c r="C754">
        <v>0.28000000000000003</v>
      </c>
    </row>
    <row r="755" spans="1:3" x14ac:dyDescent="0.25">
      <c r="A755" s="98">
        <v>2628382051675400</v>
      </c>
      <c r="B755">
        <v>8.8699999999999992</v>
      </c>
      <c r="C755">
        <v>0.28000000000000003</v>
      </c>
    </row>
    <row r="756" spans="1:3" x14ac:dyDescent="0.25">
      <c r="A756" s="98">
        <v>2631872684315390</v>
      </c>
      <c r="B756">
        <v>8.9499999999999993</v>
      </c>
      <c r="C756">
        <v>0.28999999999999998</v>
      </c>
    </row>
    <row r="757" spans="1:3" x14ac:dyDescent="0.25">
      <c r="A757" s="98">
        <v>2635363253084590</v>
      </c>
      <c r="B757">
        <v>9.17</v>
      </c>
      <c r="C757">
        <v>0.28999999999999998</v>
      </c>
    </row>
    <row r="758" spans="1:3" x14ac:dyDescent="0.25">
      <c r="A758" s="98">
        <v>2638853668675370</v>
      </c>
      <c r="B758">
        <v>9.11</v>
      </c>
      <c r="C758">
        <v>0.28999999999999998</v>
      </c>
    </row>
    <row r="759" spans="1:3" x14ac:dyDescent="0.25">
      <c r="A759" s="98">
        <v>2642344098565750</v>
      </c>
      <c r="B759">
        <v>8.94</v>
      </c>
      <c r="C759">
        <v>0.28999999999999998</v>
      </c>
    </row>
    <row r="760" spans="1:3" x14ac:dyDescent="0.25">
      <c r="A760" s="98">
        <v>2645834396332500</v>
      </c>
      <c r="B760">
        <v>8.7799999999999994</v>
      </c>
      <c r="C760">
        <v>0.28999999999999998</v>
      </c>
    </row>
    <row r="761" spans="1:3" x14ac:dyDescent="0.25">
      <c r="A761" s="98">
        <v>2649325143545860</v>
      </c>
      <c r="B761">
        <v>8.68</v>
      </c>
      <c r="C761">
        <v>0.28999999999999998</v>
      </c>
    </row>
    <row r="762" spans="1:3" x14ac:dyDescent="0.25">
      <c r="A762" s="98">
        <v>2652815808046740</v>
      </c>
      <c r="B762">
        <v>8.6</v>
      </c>
      <c r="C762">
        <v>0.27</v>
      </c>
    </row>
    <row r="763" spans="1:3" x14ac:dyDescent="0.25">
      <c r="A763" s="98">
        <v>2656306434969100</v>
      </c>
      <c r="B763">
        <v>8.61</v>
      </c>
      <c r="C763">
        <v>0.28999999999999998</v>
      </c>
    </row>
    <row r="764" spans="1:3" x14ac:dyDescent="0.25">
      <c r="A764" s="98">
        <v>2659797177110550</v>
      </c>
      <c r="B764">
        <v>8.56</v>
      </c>
      <c r="C764">
        <v>0.3</v>
      </c>
    </row>
    <row r="765" spans="1:3" x14ac:dyDescent="0.25">
      <c r="A765" s="98">
        <v>2663287785042210</v>
      </c>
      <c r="B765">
        <v>8.61</v>
      </c>
      <c r="C765">
        <v>0.3</v>
      </c>
    </row>
    <row r="766" spans="1:3" x14ac:dyDescent="0.25">
      <c r="A766" s="98">
        <v>2666778568283270</v>
      </c>
      <c r="B766">
        <v>8.6300000000000008</v>
      </c>
      <c r="C766">
        <v>0.28000000000000003</v>
      </c>
    </row>
    <row r="767" spans="1:3" x14ac:dyDescent="0.25">
      <c r="A767" s="98">
        <v>2670269140490770</v>
      </c>
      <c r="B767">
        <v>8.6300000000000008</v>
      </c>
      <c r="C767">
        <v>0.3</v>
      </c>
    </row>
    <row r="768" spans="1:3" x14ac:dyDescent="0.25">
      <c r="A768" s="98">
        <v>2673759737323830</v>
      </c>
      <c r="B768">
        <v>8.67</v>
      </c>
      <c r="C768">
        <v>0.3</v>
      </c>
    </row>
    <row r="769" spans="1:3" x14ac:dyDescent="0.25">
      <c r="A769" s="98">
        <v>2677250478786450</v>
      </c>
      <c r="B769">
        <v>8.64</v>
      </c>
      <c r="C769">
        <v>0.28999999999999998</v>
      </c>
    </row>
    <row r="770" spans="1:3" x14ac:dyDescent="0.25">
      <c r="A770" s="98">
        <v>2680741060431350</v>
      </c>
      <c r="B770">
        <v>8.89</v>
      </c>
      <c r="C770">
        <v>0.28999999999999998</v>
      </c>
    </row>
    <row r="771" spans="1:3" x14ac:dyDescent="0.25">
      <c r="A771" s="98">
        <v>2684231556797460</v>
      </c>
      <c r="B771">
        <v>8.9700000000000006</v>
      </c>
      <c r="C771">
        <v>0.28999999999999998</v>
      </c>
    </row>
    <row r="772" spans="1:3" x14ac:dyDescent="0.25">
      <c r="A772" s="98">
        <v>2687722023786210</v>
      </c>
      <c r="B772">
        <v>8.6999999999999993</v>
      </c>
      <c r="C772">
        <v>0.28000000000000003</v>
      </c>
    </row>
    <row r="773" spans="1:3" x14ac:dyDescent="0.25">
      <c r="A773" s="98">
        <v>2691212530997060</v>
      </c>
      <c r="B773">
        <v>8.6199999999999992</v>
      </c>
      <c r="C773">
        <v>0.28999999999999998</v>
      </c>
    </row>
    <row r="774" spans="1:3" x14ac:dyDescent="0.25">
      <c r="A774" s="98">
        <v>2694703076906770</v>
      </c>
      <c r="B774">
        <v>8.7100000000000009</v>
      </c>
      <c r="C774">
        <v>0.3</v>
      </c>
    </row>
    <row r="775" spans="1:3" x14ac:dyDescent="0.25">
      <c r="A775" s="98">
        <v>2698193566804680</v>
      </c>
      <c r="B775">
        <v>8.6999999999999993</v>
      </c>
      <c r="C775">
        <v>0.28000000000000003</v>
      </c>
    </row>
    <row r="776" spans="1:3" x14ac:dyDescent="0.25">
      <c r="A776" s="98">
        <v>2701684207425070</v>
      </c>
      <c r="B776">
        <v>8.9700000000000006</v>
      </c>
      <c r="C776">
        <v>0.3</v>
      </c>
    </row>
    <row r="777" spans="1:3" x14ac:dyDescent="0.25">
      <c r="A777" s="98">
        <v>2705174670396020</v>
      </c>
      <c r="B777">
        <v>8.8800000000000008</v>
      </c>
      <c r="C777">
        <v>0.28000000000000003</v>
      </c>
    </row>
    <row r="778" spans="1:3" x14ac:dyDescent="0.25">
      <c r="A778" s="98">
        <v>2708665454415260</v>
      </c>
      <c r="B778">
        <v>8.4700000000000006</v>
      </c>
      <c r="C778">
        <v>0.28999999999999998</v>
      </c>
    </row>
    <row r="779" spans="1:3" x14ac:dyDescent="0.25">
      <c r="A779" s="98">
        <v>2712156070227970</v>
      </c>
      <c r="B779">
        <v>8.35</v>
      </c>
      <c r="C779">
        <v>0.28000000000000003</v>
      </c>
    </row>
    <row r="780" spans="1:3" x14ac:dyDescent="0.25">
      <c r="A780" s="98">
        <v>2715646506111930</v>
      </c>
      <c r="B780">
        <v>8.3800000000000008</v>
      </c>
      <c r="C780">
        <v>0.28000000000000003</v>
      </c>
    </row>
    <row r="781" spans="1:3" x14ac:dyDescent="0.25">
      <c r="A781" s="98">
        <v>2719136908407560</v>
      </c>
      <c r="B781">
        <v>8.34</v>
      </c>
      <c r="C781">
        <v>0.28999999999999998</v>
      </c>
    </row>
    <row r="782" spans="1:3" x14ac:dyDescent="0.25">
      <c r="A782" s="98">
        <v>2722627243432730</v>
      </c>
      <c r="B782">
        <v>8.52</v>
      </c>
      <c r="C782">
        <v>0.28999999999999998</v>
      </c>
    </row>
    <row r="783" spans="1:3" x14ac:dyDescent="0.25">
      <c r="A783" s="98">
        <v>2726117749887480</v>
      </c>
      <c r="B783">
        <v>8.4</v>
      </c>
      <c r="C783">
        <v>0.28999999999999998</v>
      </c>
    </row>
    <row r="784" spans="1:3" x14ac:dyDescent="0.25">
      <c r="A784" s="98">
        <v>2729608245961090</v>
      </c>
      <c r="B784">
        <v>8.3699999999999992</v>
      </c>
      <c r="C784">
        <v>0.28000000000000003</v>
      </c>
    </row>
    <row r="785" spans="1:3" x14ac:dyDescent="0.25">
      <c r="A785" s="98">
        <v>2733098640370140</v>
      </c>
      <c r="B785">
        <v>8.5299999999999994</v>
      </c>
      <c r="C785">
        <v>0.3</v>
      </c>
    </row>
    <row r="786" spans="1:3" x14ac:dyDescent="0.25">
      <c r="A786" s="98">
        <v>2736589090757900</v>
      </c>
      <c r="B786">
        <v>8.57</v>
      </c>
      <c r="C786">
        <v>0.28999999999999998</v>
      </c>
    </row>
    <row r="787" spans="1:3" x14ac:dyDescent="0.25">
      <c r="A787" s="98">
        <v>2740079663638710</v>
      </c>
      <c r="B787">
        <v>8.5399999999999991</v>
      </c>
      <c r="C787">
        <v>0.28999999999999998</v>
      </c>
    </row>
    <row r="788" spans="1:3" x14ac:dyDescent="0.25">
      <c r="A788" s="98">
        <v>2743570377357580</v>
      </c>
      <c r="B788">
        <v>8.65</v>
      </c>
      <c r="C788">
        <v>0.3</v>
      </c>
    </row>
    <row r="789" spans="1:3" x14ac:dyDescent="0.25">
      <c r="A789" s="98">
        <v>2747060896185810</v>
      </c>
      <c r="B789">
        <v>8.43</v>
      </c>
      <c r="C789">
        <v>0.28000000000000003</v>
      </c>
    </row>
    <row r="790" spans="1:3" x14ac:dyDescent="0.25">
      <c r="A790" s="98">
        <v>2750551628360040</v>
      </c>
      <c r="B790">
        <v>8.5500000000000007</v>
      </c>
      <c r="C790">
        <v>0.28000000000000003</v>
      </c>
    </row>
    <row r="791" spans="1:3" x14ac:dyDescent="0.25">
      <c r="A791" s="98">
        <v>2754042030788130</v>
      </c>
      <c r="B791">
        <v>8.6199999999999992</v>
      </c>
      <c r="C791">
        <v>0.28000000000000003</v>
      </c>
    </row>
    <row r="792" spans="1:3" x14ac:dyDescent="0.25">
      <c r="A792" s="98">
        <v>2757532579396610</v>
      </c>
      <c r="B792">
        <v>8.6199999999999992</v>
      </c>
      <c r="C792">
        <v>0.28999999999999998</v>
      </c>
    </row>
    <row r="793" spans="1:3" x14ac:dyDescent="0.25">
      <c r="A793" s="98">
        <v>2761023243362150</v>
      </c>
      <c r="B793">
        <v>8.64</v>
      </c>
      <c r="C793">
        <v>0.28999999999999998</v>
      </c>
    </row>
    <row r="794" spans="1:3" x14ac:dyDescent="0.25">
      <c r="A794" s="98">
        <v>2764513847954840</v>
      </c>
      <c r="B794">
        <v>8.75</v>
      </c>
      <c r="C794">
        <v>0.28999999999999998</v>
      </c>
    </row>
    <row r="795" spans="1:3" x14ac:dyDescent="0.25">
      <c r="A795" s="98">
        <v>2768004080509690</v>
      </c>
      <c r="B795">
        <v>8.94</v>
      </c>
      <c r="C795">
        <v>0.28999999999999998</v>
      </c>
    </row>
    <row r="796" spans="1:3" x14ac:dyDescent="0.25">
      <c r="A796" s="98">
        <v>2771488767796090</v>
      </c>
      <c r="B796">
        <v>8.75</v>
      </c>
      <c r="C796">
        <v>0.34</v>
      </c>
    </row>
    <row r="797" spans="1:3" x14ac:dyDescent="0.25">
      <c r="A797" s="98">
        <v>2774979310515850</v>
      </c>
      <c r="B797">
        <v>8.6</v>
      </c>
      <c r="C797">
        <v>7.89</v>
      </c>
    </row>
    <row r="798" spans="1:3" x14ac:dyDescent="0.25">
      <c r="A798" s="98">
        <v>2778469887342710</v>
      </c>
      <c r="B798">
        <v>8.48</v>
      </c>
      <c r="C798">
        <v>7.78</v>
      </c>
    </row>
    <row r="799" spans="1:3" x14ac:dyDescent="0.25">
      <c r="A799" s="98">
        <v>2781960681654780</v>
      </c>
      <c r="B799">
        <v>8.52</v>
      </c>
      <c r="C799">
        <v>7.91</v>
      </c>
    </row>
    <row r="800" spans="1:3" x14ac:dyDescent="0.25">
      <c r="A800" s="98">
        <v>2785451195499410</v>
      </c>
      <c r="B800">
        <v>8.52</v>
      </c>
      <c r="C800">
        <v>8.01</v>
      </c>
    </row>
    <row r="801" spans="1:3" x14ac:dyDescent="0.25">
      <c r="A801" s="98">
        <v>2788941806775550</v>
      </c>
      <c r="B801">
        <v>8.59</v>
      </c>
      <c r="C801">
        <v>7.94</v>
      </c>
    </row>
    <row r="802" spans="1:3" x14ac:dyDescent="0.25">
      <c r="A802" s="98">
        <v>2792432469537960</v>
      </c>
      <c r="B802">
        <v>8.65</v>
      </c>
      <c r="C802">
        <v>8.01</v>
      </c>
    </row>
    <row r="803" spans="1:3" x14ac:dyDescent="0.25">
      <c r="A803" s="98">
        <v>2795922818018330</v>
      </c>
      <c r="B803">
        <v>8.7100000000000009</v>
      </c>
      <c r="C803">
        <v>8.09</v>
      </c>
    </row>
    <row r="804" spans="1:3" x14ac:dyDescent="0.25">
      <c r="A804" s="98">
        <v>2799413425580210</v>
      </c>
      <c r="B804">
        <v>8.0299999999999994</v>
      </c>
      <c r="C804">
        <v>8.34</v>
      </c>
    </row>
    <row r="805" spans="1:3" x14ac:dyDescent="0.25">
      <c r="A805" s="98">
        <v>2802903847324620</v>
      </c>
      <c r="B805">
        <v>8.67</v>
      </c>
      <c r="C805">
        <v>8.26</v>
      </c>
    </row>
    <row r="806" spans="1:3" x14ac:dyDescent="0.25">
      <c r="A806" s="98">
        <v>2806394212830950</v>
      </c>
      <c r="B806">
        <v>8.6300000000000008</v>
      </c>
      <c r="C806">
        <v>8.3000000000000007</v>
      </c>
    </row>
    <row r="807" spans="1:3" x14ac:dyDescent="0.25">
      <c r="A807" s="98">
        <v>2809884780805420</v>
      </c>
      <c r="B807">
        <v>8.57</v>
      </c>
      <c r="C807">
        <v>8.2899999999999991</v>
      </c>
    </row>
    <row r="808" spans="1:3" x14ac:dyDescent="0.25">
      <c r="A808" s="98">
        <v>2813375337201130</v>
      </c>
      <c r="B808">
        <v>8.56</v>
      </c>
      <c r="C808">
        <v>8.26</v>
      </c>
    </row>
    <row r="809" spans="1:3" x14ac:dyDescent="0.25">
      <c r="A809" s="98">
        <v>2816865805972500</v>
      </c>
      <c r="B809">
        <v>8.6199999999999992</v>
      </c>
      <c r="C809">
        <v>8</v>
      </c>
    </row>
    <row r="810" spans="1:3" x14ac:dyDescent="0.25">
      <c r="A810" s="98">
        <v>2820356336053870</v>
      </c>
      <c r="B810">
        <v>8.4600000000000009</v>
      </c>
      <c r="C810">
        <v>7.89</v>
      </c>
    </row>
    <row r="811" spans="1:3" x14ac:dyDescent="0.25">
      <c r="A811" s="98">
        <v>2823847069894820</v>
      </c>
      <c r="B811">
        <v>8.5</v>
      </c>
      <c r="C811">
        <v>8.11</v>
      </c>
    </row>
    <row r="812" spans="1:3" x14ac:dyDescent="0.25">
      <c r="A812" s="98">
        <v>2827337673190560</v>
      </c>
      <c r="B812">
        <v>8.4</v>
      </c>
      <c r="C812">
        <v>8.16</v>
      </c>
    </row>
    <row r="813" spans="1:3" x14ac:dyDescent="0.25">
      <c r="A813" s="98">
        <v>2830828039452980</v>
      </c>
      <c r="B813">
        <v>8.1999999999999993</v>
      </c>
      <c r="C813">
        <v>8.31</v>
      </c>
    </row>
    <row r="814" spans="1:3" x14ac:dyDescent="0.25">
      <c r="A814" s="98">
        <v>2834318799922860</v>
      </c>
      <c r="B814">
        <v>8.2200000000000006</v>
      </c>
      <c r="C814">
        <v>8.26</v>
      </c>
    </row>
    <row r="815" spans="1:3" x14ac:dyDescent="0.25">
      <c r="A815" s="98">
        <v>2837809357786620</v>
      </c>
      <c r="B815">
        <v>7.87</v>
      </c>
      <c r="C815">
        <v>8.14</v>
      </c>
    </row>
    <row r="816" spans="1:3" x14ac:dyDescent="0.25">
      <c r="A816" s="98">
        <v>2841299914259600</v>
      </c>
      <c r="B816">
        <v>8.16</v>
      </c>
      <c r="C816">
        <v>6</v>
      </c>
    </row>
    <row r="817" spans="1:3" x14ac:dyDescent="0.25">
      <c r="A817" s="98">
        <v>2844790513774860</v>
      </c>
      <c r="B817">
        <v>8.17</v>
      </c>
      <c r="C817">
        <v>7.23</v>
      </c>
    </row>
    <row r="818" spans="1:3" x14ac:dyDescent="0.25">
      <c r="A818" s="98">
        <v>2848281100607580</v>
      </c>
      <c r="B818">
        <v>8.14</v>
      </c>
      <c r="C818">
        <v>7.42</v>
      </c>
    </row>
    <row r="819" spans="1:3" x14ac:dyDescent="0.25">
      <c r="A819" s="98">
        <v>2851771523052890</v>
      </c>
      <c r="B819">
        <v>7.81</v>
      </c>
      <c r="C819">
        <v>7.28</v>
      </c>
    </row>
    <row r="820" spans="1:3" x14ac:dyDescent="0.25">
      <c r="A820" s="98">
        <v>2855262122695090</v>
      </c>
      <c r="B820">
        <v>7.97</v>
      </c>
      <c r="C820">
        <v>7.42</v>
      </c>
    </row>
    <row r="821" spans="1:3" x14ac:dyDescent="0.25">
      <c r="A821" s="98">
        <v>2858752712811580</v>
      </c>
      <c r="B821">
        <v>7.97</v>
      </c>
      <c r="C821">
        <v>7.51</v>
      </c>
    </row>
    <row r="822" spans="1:3" x14ac:dyDescent="0.25">
      <c r="A822" s="98">
        <v>2862243295731360</v>
      </c>
      <c r="B822">
        <v>7.8</v>
      </c>
      <c r="C822">
        <v>7.22</v>
      </c>
    </row>
    <row r="823" spans="1:3" x14ac:dyDescent="0.25">
      <c r="A823" s="98">
        <v>2865733867878160</v>
      </c>
      <c r="B823">
        <v>8.06</v>
      </c>
      <c r="C823">
        <v>7.5</v>
      </c>
    </row>
    <row r="824" spans="1:3" x14ac:dyDescent="0.25">
      <c r="A824" s="98">
        <v>2869224252408300</v>
      </c>
      <c r="B824">
        <v>8.2100000000000009</v>
      </c>
      <c r="C824">
        <v>7.58</v>
      </c>
    </row>
    <row r="825" spans="1:3" x14ac:dyDescent="0.25">
      <c r="A825" s="98">
        <v>2872714830250650</v>
      </c>
      <c r="B825">
        <v>8.19</v>
      </c>
      <c r="C825">
        <v>7.52</v>
      </c>
    </row>
    <row r="826" spans="1:3" x14ac:dyDescent="0.25">
      <c r="A826" s="98">
        <v>2876205706861280</v>
      </c>
      <c r="B826">
        <v>8.25</v>
      </c>
      <c r="C826">
        <v>7.85</v>
      </c>
    </row>
    <row r="827" spans="1:3" x14ac:dyDescent="0.25">
      <c r="A827" s="98">
        <v>2879696377377810</v>
      </c>
      <c r="B827">
        <v>8.11</v>
      </c>
      <c r="C827">
        <v>7.89</v>
      </c>
    </row>
    <row r="828" spans="1:3" x14ac:dyDescent="0.25">
      <c r="A828" s="98">
        <v>2883186824470750</v>
      </c>
      <c r="B828">
        <v>8.2100000000000009</v>
      </c>
      <c r="C828">
        <v>7.61</v>
      </c>
    </row>
    <row r="829" spans="1:3" x14ac:dyDescent="0.25">
      <c r="A829" s="98">
        <v>2886677178321060</v>
      </c>
      <c r="B829">
        <v>8.24</v>
      </c>
      <c r="C829">
        <v>7.85</v>
      </c>
    </row>
    <row r="830" spans="1:3" x14ac:dyDescent="0.25">
      <c r="A830" s="98">
        <v>2890167542729110</v>
      </c>
      <c r="B830">
        <v>8.2899999999999991</v>
      </c>
      <c r="C830">
        <v>7.9</v>
      </c>
    </row>
    <row r="831" spans="1:3" x14ac:dyDescent="0.25">
      <c r="A831" s="98">
        <v>2893658203968290</v>
      </c>
      <c r="B831">
        <v>8.19</v>
      </c>
      <c r="C831">
        <v>7.85</v>
      </c>
    </row>
    <row r="832" spans="1:3" x14ac:dyDescent="0.25">
      <c r="A832" s="98">
        <v>2897149058089210</v>
      </c>
      <c r="B832">
        <v>8.1300000000000008</v>
      </c>
      <c r="C832">
        <v>7.66</v>
      </c>
    </row>
    <row r="833" spans="1:3" x14ac:dyDescent="0.25">
      <c r="A833" s="98">
        <v>2900639638194330</v>
      </c>
      <c r="B833">
        <v>8.26</v>
      </c>
      <c r="C833">
        <v>7.8</v>
      </c>
    </row>
    <row r="834" spans="1:3" x14ac:dyDescent="0.25">
      <c r="A834" s="98">
        <v>2904130144422800</v>
      </c>
      <c r="B834">
        <v>8.15</v>
      </c>
      <c r="C834">
        <v>7.77</v>
      </c>
    </row>
    <row r="835" spans="1:3" x14ac:dyDescent="0.25">
      <c r="A835" s="98">
        <v>2907620819580770</v>
      </c>
      <c r="B835">
        <v>8.25</v>
      </c>
      <c r="C835">
        <v>7.98</v>
      </c>
    </row>
    <row r="836" spans="1:3" x14ac:dyDescent="0.25">
      <c r="A836" s="98">
        <v>2911111615907260</v>
      </c>
      <c r="B836">
        <v>8.27</v>
      </c>
      <c r="C836">
        <v>7.96</v>
      </c>
    </row>
    <row r="837" spans="1:3" x14ac:dyDescent="0.25">
      <c r="A837" s="98">
        <v>2914602205907850</v>
      </c>
      <c r="B837">
        <v>8.14</v>
      </c>
      <c r="C837">
        <v>7.82</v>
      </c>
    </row>
    <row r="838" spans="1:3" x14ac:dyDescent="0.25">
      <c r="A838" s="98">
        <v>2918093125731850</v>
      </c>
      <c r="B838">
        <v>8.2200000000000006</v>
      </c>
      <c r="C838">
        <v>7.77</v>
      </c>
    </row>
    <row r="839" spans="1:3" x14ac:dyDescent="0.25">
      <c r="A839" s="98">
        <v>2921583628019800</v>
      </c>
      <c r="B839">
        <v>8.16</v>
      </c>
      <c r="C839">
        <v>7.9</v>
      </c>
    </row>
    <row r="840" spans="1:3" x14ac:dyDescent="0.25">
      <c r="A840" s="98">
        <v>2925074146213350</v>
      </c>
      <c r="B840">
        <v>8.25</v>
      </c>
      <c r="C840">
        <v>7.66</v>
      </c>
    </row>
    <row r="841" spans="1:3" x14ac:dyDescent="0.25">
      <c r="A841" s="98">
        <v>2928564908471370</v>
      </c>
      <c r="B841">
        <v>8.2899999999999991</v>
      </c>
      <c r="C841">
        <v>7.76</v>
      </c>
    </row>
    <row r="842" spans="1:3" x14ac:dyDescent="0.25">
      <c r="A842" s="98">
        <v>2932055479961410</v>
      </c>
      <c r="B842">
        <v>8.2899999999999991</v>
      </c>
      <c r="C842">
        <v>7.7</v>
      </c>
    </row>
    <row r="843" spans="1:3" x14ac:dyDescent="0.25">
      <c r="A843" s="98">
        <v>2935546011935780</v>
      </c>
      <c r="B843">
        <v>8.1199999999999992</v>
      </c>
      <c r="C843">
        <v>7.81</v>
      </c>
    </row>
    <row r="844" spans="1:3" x14ac:dyDescent="0.25">
      <c r="A844" s="98">
        <v>2939036650486560</v>
      </c>
      <c r="B844">
        <v>8.23</v>
      </c>
      <c r="C844">
        <v>7.9</v>
      </c>
    </row>
    <row r="845" spans="1:3" x14ac:dyDescent="0.25">
      <c r="A845" s="98">
        <v>2942527174877900</v>
      </c>
      <c r="B845">
        <v>8.0500000000000007</v>
      </c>
      <c r="C845">
        <v>7.67</v>
      </c>
    </row>
    <row r="846" spans="1:3" x14ac:dyDescent="0.25">
      <c r="A846" s="98">
        <v>2946017750236720</v>
      </c>
      <c r="B846">
        <v>8.25</v>
      </c>
      <c r="C846">
        <v>7.7</v>
      </c>
    </row>
    <row r="847" spans="1:3" x14ac:dyDescent="0.25">
      <c r="A847" s="98">
        <v>2949508613176920</v>
      </c>
      <c r="B847">
        <v>8.06</v>
      </c>
      <c r="C847">
        <v>7.96</v>
      </c>
    </row>
    <row r="848" spans="1:3" x14ac:dyDescent="0.25">
      <c r="A848" s="98">
        <v>2952999146729700</v>
      </c>
      <c r="B848">
        <v>8.1199999999999992</v>
      </c>
      <c r="C848">
        <v>7.66</v>
      </c>
    </row>
    <row r="849" spans="1:3" x14ac:dyDescent="0.25">
      <c r="A849" s="98">
        <v>2956489660375640</v>
      </c>
      <c r="B849">
        <v>7.82</v>
      </c>
      <c r="C849">
        <v>7.55</v>
      </c>
    </row>
    <row r="850" spans="1:3" x14ac:dyDescent="0.25">
      <c r="A850" s="98">
        <v>2959980212339640</v>
      </c>
      <c r="B850">
        <v>8.07</v>
      </c>
      <c r="C850">
        <v>7.79</v>
      </c>
    </row>
    <row r="851" spans="1:3" x14ac:dyDescent="0.25">
      <c r="A851" s="98">
        <v>2963470691249320</v>
      </c>
      <c r="B851">
        <v>8.0399999999999991</v>
      </c>
      <c r="C851">
        <v>7.68</v>
      </c>
    </row>
    <row r="852" spans="1:3" x14ac:dyDescent="0.25">
      <c r="A852" s="98">
        <v>2966961267722970</v>
      </c>
      <c r="B852">
        <v>7.95</v>
      </c>
      <c r="C852">
        <v>7.69</v>
      </c>
    </row>
    <row r="853" spans="1:3" x14ac:dyDescent="0.25">
      <c r="A853" s="98">
        <v>2970451956970820</v>
      </c>
      <c r="B853">
        <v>8.15</v>
      </c>
      <c r="C853">
        <v>7.63</v>
      </c>
    </row>
    <row r="854" spans="1:3" x14ac:dyDescent="0.25">
      <c r="A854" s="98">
        <v>2973942506357470</v>
      </c>
      <c r="B854">
        <v>8.23</v>
      </c>
      <c r="C854">
        <v>7.6</v>
      </c>
    </row>
    <row r="855" spans="1:3" x14ac:dyDescent="0.25">
      <c r="A855" s="98">
        <v>2977433124256350</v>
      </c>
      <c r="B855">
        <v>8.09</v>
      </c>
      <c r="C855">
        <v>7.54</v>
      </c>
    </row>
    <row r="856" spans="1:3" x14ac:dyDescent="0.25">
      <c r="A856" s="98">
        <v>2980923515089130</v>
      </c>
      <c r="B856">
        <v>8.25</v>
      </c>
      <c r="C856">
        <v>7.65</v>
      </c>
    </row>
    <row r="857" spans="1:3" x14ac:dyDescent="0.25">
      <c r="A857" s="98">
        <v>2984414137750860</v>
      </c>
      <c r="B857">
        <v>8.2899999999999991</v>
      </c>
      <c r="C857">
        <v>7.63</v>
      </c>
    </row>
    <row r="858" spans="1:3" x14ac:dyDescent="0.25">
      <c r="A858" s="98">
        <v>2987904593657560</v>
      </c>
      <c r="B858">
        <v>8.18</v>
      </c>
      <c r="C858">
        <v>7.9</v>
      </c>
    </row>
    <row r="859" spans="1:3" x14ac:dyDescent="0.25">
      <c r="A859" s="98">
        <v>2991395175611530</v>
      </c>
      <c r="B859">
        <v>8.1</v>
      </c>
      <c r="C859">
        <v>7.71</v>
      </c>
    </row>
    <row r="860" spans="1:3" x14ac:dyDescent="0.25">
      <c r="A860" s="98">
        <v>2994885757582050</v>
      </c>
      <c r="B860">
        <v>7.87</v>
      </c>
      <c r="C860">
        <v>7.71</v>
      </c>
    </row>
    <row r="861" spans="1:3" x14ac:dyDescent="0.25">
      <c r="A861" s="98">
        <v>2998376365259840</v>
      </c>
      <c r="B861">
        <v>7.78</v>
      </c>
      <c r="C861">
        <v>7.75</v>
      </c>
    </row>
    <row r="862" spans="1:3" x14ac:dyDescent="0.25">
      <c r="A862" s="98">
        <v>3001867215351920</v>
      </c>
      <c r="B862">
        <v>7.76</v>
      </c>
      <c r="C862">
        <v>7.6</v>
      </c>
    </row>
    <row r="863" spans="1:3" x14ac:dyDescent="0.25">
      <c r="A863" s="98">
        <v>3005357535211020</v>
      </c>
      <c r="B863">
        <v>7.75</v>
      </c>
      <c r="C863">
        <v>7.72</v>
      </c>
    </row>
    <row r="864" spans="1:3" x14ac:dyDescent="0.25">
      <c r="A864" s="98">
        <v>3008848243990430</v>
      </c>
      <c r="B864">
        <v>8.0299999999999994</v>
      </c>
      <c r="C864">
        <v>7.65</v>
      </c>
    </row>
    <row r="865" spans="1:3" x14ac:dyDescent="0.25">
      <c r="A865" s="98">
        <v>3012338795385970</v>
      </c>
      <c r="B865">
        <v>8</v>
      </c>
      <c r="C865">
        <v>7.5</v>
      </c>
    </row>
    <row r="866" spans="1:3" x14ac:dyDescent="0.25">
      <c r="A866" s="98">
        <v>3015829441889560</v>
      </c>
      <c r="B866">
        <v>7.88</v>
      </c>
      <c r="C866">
        <v>7.67</v>
      </c>
    </row>
    <row r="867" spans="1:3" x14ac:dyDescent="0.25">
      <c r="A867" s="98">
        <v>3019320009256950</v>
      </c>
      <c r="B867">
        <v>7.8</v>
      </c>
      <c r="C867">
        <v>7.71</v>
      </c>
    </row>
    <row r="868" spans="1:3" x14ac:dyDescent="0.25">
      <c r="A868" s="98">
        <v>3022810480898170</v>
      </c>
      <c r="B868">
        <v>7.85</v>
      </c>
      <c r="C868">
        <v>7.92</v>
      </c>
    </row>
    <row r="869" spans="1:3" x14ac:dyDescent="0.25">
      <c r="A869" s="98">
        <v>3026301086699520</v>
      </c>
      <c r="B869">
        <v>7.67</v>
      </c>
      <c r="C869">
        <v>7.49</v>
      </c>
    </row>
    <row r="870" spans="1:3" x14ac:dyDescent="0.25">
      <c r="A870" s="98">
        <v>3029791493829750</v>
      </c>
      <c r="B870">
        <v>7.81</v>
      </c>
      <c r="C870">
        <v>7.85</v>
      </c>
    </row>
    <row r="871" spans="1:3" x14ac:dyDescent="0.25">
      <c r="A871" s="98">
        <v>3033281991194790</v>
      </c>
      <c r="B871">
        <v>7.87</v>
      </c>
      <c r="C871">
        <v>7.72</v>
      </c>
    </row>
    <row r="872" spans="1:3" x14ac:dyDescent="0.25">
      <c r="A872" s="98">
        <v>3036772442824310</v>
      </c>
      <c r="B872">
        <v>8.16</v>
      </c>
      <c r="C872">
        <v>7.9</v>
      </c>
    </row>
    <row r="873" spans="1:3" x14ac:dyDescent="0.25">
      <c r="A873" s="98">
        <v>3040263052008770</v>
      </c>
      <c r="B873">
        <v>8.06</v>
      </c>
      <c r="C873">
        <v>7.69</v>
      </c>
    </row>
    <row r="874" spans="1:3" x14ac:dyDescent="0.25">
      <c r="A874" s="98">
        <v>3043753843749010</v>
      </c>
      <c r="B874">
        <v>7.77</v>
      </c>
      <c r="C874">
        <v>7.8</v>
      </c>
    </row>
    <row r="875" spans="1:3" x14ac:dyDescent="0.25">
      <c r="A875" s="98">
        <v>3047244252065810</v>
      </c>
      <c r="B875">
        <v>8.02</v>
      </c>
      <c r="C875">
        <v>7.95</v>
      </c>
    </row>
    <row r="876" spans="1:3" x14ac:dyDescent="0.25">
      <c r="A876" s="98">
        <v>3050734786932110</v>
      </c>
      <c r="B876">
        <v>8.0299999999999994</v>
      </c>
      <c r="C876">
        <v>7.94</v>
      </c>
    </row>
    <row r="877" spans="1:3" x14ac:dyDescent="0.25">
      <c r="A877" s="98">
        <v>3054225506180960</v>
      </c>
      <c r="B877">
        <v>7.97</v>
      </c>
      <c r="C877">
        <v>8.2100000000000009</v>
      </c>
    </row>
    <row r="878" spans="1:3" x14ac:dyDescent="0.25">
      <c r="A878" s="98">
        <v>3057716078543000</v>
      </c>
      <c r="B878">
        <v>8.1199999999999992</v>
      </c>
      <c r="C878">
        <v>8.17</v>
      </c>
    </row>
    <row r="879" spans="1:3" x14ac:dyDescent="0.25">
      <c r="A879" s="98">
        <v>3061206624988050</v>
      </c>
      <c r="B879">
        <v>7.99</v>
      </c>
      <c r="C879">
        <v>7.93</v>
      </c>
    </row>
    <row r="880" spans="1:3" x14ac:dyDescent="0.25">
      <c r="A880" s="98">
        <v>3064697345175120</v>
      </c>
      <c r="B880">
        <v>8.11</v>
      </c>
      <c r="C880">
        <v>8.11</v>
      </c>
    </row>
    <row r="881" spans="1:3" x14ac:dyDescent="0.25">
      <c r="A881" s="98">
        <v>3068187993527560</v>
      </c>
      <c r="B881">
        <v>8.19</v>
      </c>
      <c r="C881">
        <v>8.11</v>
      </c>
    </row>
    <row r="882" spans="1:3" x14ac:dyDescent="0.25">
      <c r="A882" s="98">
        <v>3071678154027020</v>
      </c>
      <c r="B882">
        <v>8.25</v>
      </c>
      <c r="C882">
        <v>7.79</v>
      </c>
    </row>
    <row r="883" spans="1:3" x14ac:dyDescent="0.25">
      <c r="A883" s="98">
        <v>3075168626297400</v>
      </c>
      <c r="B883">
        <v>8.19</v>
      </c>
      <c r="C883">
        <v>7.86</v>
      </c>
    </row>
    <row r="884" spans="1:3" x14ac:dyDescent="0.25">
      <c r="A884" s="98">
        <v>3078658969777600</v>
      </c>
      <c r="B884">
        <v>8.15</v>
      </c>
      <c r="C884">
        <v>7.89</v>
      </c>
    </row>
    <row r="885" spans="1:3" x14ac:dyDescent="0.25">
      <c r="A885" s="98">
        <v>3082149515814250</v>
      </c>
      <c r="B885">
        <v>8.2100000000000009</v>
      </c>
      <c r="C885">
        <v>7.87</v>
      </c>
    </row>
    <row r="886" spans="1:3" x14ac:dyDescent="0.25">
      <c r="A886" s="98">
        <v>3085640354951220</v>
      </c>
      <c r="B886">
        <v>8.16</v>
      </c>
      <c r="C886">
        <v>7.98</v>
      </c>
    </row>
    <row r="887" spans="1:3" x14ac:dyDescent="0.25">
      <c r="A887" s="98">
        <v>3089130856350610</v>
      </c>
      <c r="B887">
        <v>8.1999999999999993</v>
      </c>
      <c r="C887">
        <v>7.91</v>
      </c>
    </row>
    <row r="888" spans="1:3" x14ac:dyDescent="0.25">
      <c r="A888" s="98">
        <v>3092621149277240</v>
      </c>
      <c r="B888">
        <v>8.18</v>
      </c>
      <c r="C888">
        <v>8.06</v>
      </c>
    </row>
    <row r="889" spans="1:3" x14ac:dyDescent="0.25">
      <c r="A889" s="98">
        <v>3096111893228910</v>
      </c>
      <c r="B889">
        <v>8.3000000000000007</v>
      </c>
      <c r="C889">
        <v>7.97</v>
      </c>
    </row>
    <row r="890" spans="1:3" x14ac:dyDescent="0.25">
      <c r="A890" s="98">
        <v>3099602406896920</v>
      </c>
      <c r="B890">
        <v>8.07</v>
      </c>
      <c r="C890">
        <v>8.02</v>
      </c>
    </row>
    <row r="891" spans="1:3" x14ac:dyDescent="0.25">
      <c r="A891" s="98">
        <v>3103092937259760</v>
      </c>
      <c r="B891">
        <v>8.11</v>
      </c>
      <c r="C891">
        <v>8.7200000000000006</v>
      </c>
    </row>
    <row r="892" spans="1:3" x14ac:dyDescent="0.25">
      <c r="A892" s="98">
        <v>3106583511238840</v>
      </c>
      <c r="B892">
        <v>7.73</v>
      </c>
      <c r="C892">
        <v>9.23</v>
      </c>
    </row>
    <row r="893" spans="1:3" x14ac:dyDescent="0.25">
      <c r="A893" s="98">
        <v>3110073876496810</v>
      </c>
      <c r="B893">
        <v>8.31</v>
      </c>
      <c r="C893">
        <v>8.25</v>
      </c>
    </row>
    <row r="894" spans="1:3" x14ac:dyDescent="0.25">
      <c r="A894" s="98">
        <v>3113564194667110</v>
      </c>
      <c r="B894">
        <v>8.09</v>
      </c>
      <c r="C894">
        <v>9.5299999999999994</v>
      </c>
    </row>
    <row r="895" spans="1:3" x14ac:dyDescent="0.25">
      <c r="A895" s="98">
        <v>3117055044941320</v>
      </c>
      <c r="B895">
        <v>7.97</v>
      </c>
      <c r="C895">
        <v>8.94</v>
      </c>
    </row>
    <row r="896" spans="1:3" x14ac:dyDescent="0.25">
      <c r="A896" s="98">
        <v>3120545535236590</v>
      </c>
      <c r="B896">
        <v>8.09</v>
      </c>
      <c r="C896">
        <v>8.8000000000000007</v>
      </c>
    </row>
    <row r="897" spans="1:3" x14ac:dyDescent="0.25">
      <c r="A897" s="98">
        <v>3124036068794900</v>
      </c>
      <c r="B897">
        <v>8.07</v>
      </c>
      <c r="C897">
        <v>8.83</v>
      </c>
    </row>
    <row r="898" spans="1:3" x14ac:dyDescent="0.25">
      <c r="A898" s="98">
        <v>3127526627480980</v>
      </c>
      <c r="B898">
        <v>8.1</v>
      </c>
      <c r="C898">
        <v>8.5299999999999994</v>
      </c>
    </row>
    <row r="899" spans="1:3" x14ac:dyDescent="0.25">
      <c r="A899" s="98">
        <v>3131017042768220</v>
      </c>
      <c r="B899">
        <v>8.1300000000000008</v>
      </c>
      <c r="C899">
        <v>8.35</v>
      </c>
    </row>
    <row r="900" spans="1:3" x14ac:dyDescent="0.25">
      <c r="A900" s="98">
        <v>3134507491560990</v>
      </c>
      <c r="B900">
        <v>8.11</v>
      </c>
      <c r="C900">
        <v>8.7799999999999994</v>
      </c>
    </row>
    <row r="901" spans="1:3" x14ac:dyDescent="0.25">
      <c r="A901" s="98">
        <v>3137998178954470</v>
      </c>
      <c r="B901">
        <v>8.01</v>
      </c>
      <c r="C901">
        <v>8.6</v>
      </c>
    </row>
    <row r="902" spans="1:3" x14ac:dyDescent="0.25">
      <c r="A902" s="98">
        <v>3141488592116920</v>
      </c>
      <c r="B902">
        <v>7.74</v>
      </c>
      <c r="C902">
        <v>8.11</v>
      </c>
    </row>
    <row r="903" spans="1:3" x14ac:dyDescent="0.25">
      <c r="A903" s="98">
        <v>3144979257064830</v>
      </c>
      <c r="B903">
        <v>7.84</v>
      </c>
      <c r="C903">
        <v>7.83</v>
      </c>
    </row>
    <row r="904" spans="1:3" x14ac:dyDescent="0.25">
      <c r="A904" s="98">
        <v>3148469797135500</v>
      </c>
      <c r="B904">
        <v>7.94</v>
      </c>
      <c r="C904">
        <v>7.88</v>
      </c>
    </row>
    <row r="905" spans="1:3" x14ac:dyDescent="0.25">
      <c r="A905" s="98">
        <v>3151960206694070</v>
      </c>
      <c r="B905">
        <v>7.92</v>
      </c>
      <c r="C905">
        <v>7.64</v>
      </c>
    </row>
    <row r="906" spans="1:3" x14ac:dyDescent="0.25">
      <c r="A906" s="98">
        <v>3155450648952410</v>
      </c>
      <c r="B906">
        <v>7.85</v>
      </c>
      <c r="C906">
        <v>7.71</v>
      </c>
    </row>
    <row r="907" spans="1:3" x14ac:dyDescent="0.25">
      <c r="A907" s="98">
        <v>3158941540574580</v>
      </c>
      <c r="B907">
        <v>7.98</v>
      </c>
      <c r="C907">
        <v>7.56</v>
      </c>
    </row>
    <row r="908" spans="1:3" x14ac:dyDescent="0.25">
      <c r="A908" s="98">
        <v>3162431979747830</v>
      </c>
      <c r="B908">
        <v>7.92</v>
      </c>
      <c r="C908">
        <v>7.6</v>
      </c>
    </row>
    <row r="909" spans="1:3" x14ac:dyDescent="0.25">
      <c r="A909" s="98">
        <v>3165922463332060</v>
      </c>
      <c r="B909">
        <v>7.88</v>
      </c>
      <c r="C909">
        <v>7.96</v>
      </c>
    </row>
    <row r="910" spans="1:3" x14ac:dyDescent="0.25">
      <c r="A910" s="98">
        <v>3169412985046700</v>
      </c>
      <c r="B910">
        <v>8.01</v>
      </c>
      <c r="C910">
        <v>7.8</v>
      </c>
    </row>
    <row r="911" spans="1:3" x14ac:dyDescent="0.25">
      <c r="A911" s="98">
        <v>3172903608834300</v>
      </c>
      <c r="B911">
        <v>7.93</v>
      </c>
      <c r="C911">
        <v>7.87</v>
      </c>
    </row>
    <row r="912" spans="1:3" x14ac:dyDescent="0.25">
      <c r="A912" s="98">
        <v>3176394136812950</v>
      </c>
      <c r="B912">
        <v>7.96</v>
      </c>
      <c r="C912">
        <v>7.77</v>
      </c>
    </row>
    <row r="913" spans="1:3" x14ac:dyDescent="0.25">
      <c r="A913" s="98">
        <v>3179884736703500</v>
      </c>
      <c r="B913">
        <v>7.85</v>
      </c>
      <c r="C913">
        <v>7.74</v>
      </c>
    </row>
    <row r="914" spans="1:3" x14ac:dyDescent="0.25">
      <c r="A914" s="98">
        <v>3183375119064690</v>
      </c>
      <c r="B914">
        <v>7.93</v>
      </c>
      <c r="C914">
        <v>7.82</v>
      </c>
    </row>
    <row r="915" spans="1:3" x14ac:dyDescent="0.25">
      <c r="A915" s="98">
        <v>3186865395395840</v>
      </c>
      <c r="B915">
        <v>7.85</v>
      </c>
      <c r="C915">
        <v>7.94</v>
      </c>
    </row>
    <row r="916" spans="1:3" x14ac:dyDescent="0.25">
      <c r="A916" s="98">
        <v>3190356057794000</v>
      </c>
      <c r="B916">
        <v>7.67</v>
      </c>
      <c r="C916">
        <v>7.93</v>
      </c>
    </row>
    <row r="917" spans="1:3" x14ac:dyDescent="0.25">
      <c r="A917" s="98">
        <v>3193846631751010</v>
      </c>
      <c r="B917">
        <v>8.06</v>
      </c>
      <c r="C917">
        <v>7.74</v>
      </c>
    </row>
    <row r="918" spans="1:3" x14ac:dyDescent="0.25">
      <c r="A918" s="98">
        <v>3197337106620820</v>
      </c>
      <c r="B918">
        <v>7.93</v>
      </c>
      <c r="C918">
        <v>7.58</v>
      </c>
    </row>
    <row r="919" spans="1:3" x14ac:dyDescent="0.25">
      <c r="A919" s="98">
        <v>3200827740601910</v>
      </c>
      <c r="B919">
        <v>7.87</v>
      </c>
      <c r="C919">
        <v>7.77</v>
      </c>
    </row>
    <row r="920" spans="1:3" x14ac:dyDescent="0.25">
      <c r="A920" s="98">
        <v>3204318321783230</v>
      </c>
      <c r="B920">
        <v>7.75</v>
      </c>
      <c r="C920">
        <v>7.88</v>
      </c>
    </row>
    <row r="921" spans="1:3" x14ac:dyDescent="0.25">
      <c r="A921" s="98">
        <v>3207808756259850</v>
      </c>
      <c r="B921">
        <v>7.59</v>
      </c>
      <c r="C921">
        <v>7.74</v>
      </c>
    </row>
    <row r="922" spans="1:3" x14ac:dyDescent="0.25">
      <c r="A922" s="98">
        <v>3211299212376270</v>
      </c>
      <c r="B922">
        <v>7.54</v>
      </c>
      <c r="C922">
        <v>7.93</v>
      </c>
    </row>
    <row r="923" spans="1:3" x14ac:dyDescent="0.25">
      <c r="A923" s="98">
        <v>3214789698405390</v>
      </c>
      <c r="B923">
        <v>7.58</v>
      </c>
      <c r="C923">
        <v>8.01</v>
      </c>
    </row>
    <row r="924" spans="1:3" x14ac:dyDescent="0.25">
      <c r="A924" s="98">
        <v>3218280312065720</v>
      </c>
      <c r="B924">
        <v>7.74</v>
      </c>
      <c r="C924">
        <v>7.72</v>
      </c>
    </row>
    <row r="925" spans="1:3" x14ac:dyDescent="0.25">
      <c r="A925" s="98">
        <v>3221771169371070</v>
      </c>
      <c r="B925">
        <v>7.75</v>
      </c>
      <c r="C925">
        <v>7.63</v>
      </c>
    </row>
    <row r="926" spans="1:3" x14ac:dyDescent="0.25">
      <c r="A926" s="98">
        <v>3225261665803410</v>
      </c>
      <c r="B926">
        <v>7.35</v>
      </c>
      <c r="C926">
        <v>7.91</v>
      </c>
    </row>
    <row r="927" spans="1:3" x14ac:dyDescent="0.25">
      <c r="A927" s="98">
        <v>3228752103867350</v>
      </c>
      <c r="B927">
        <v>7.8</v>
      </c>
      <c r="C927">
        <v>7.94</v>
      </c>
    </row>
    <row r="928" spans="1:3" x14ac:dyDescent="0.25">
      <c r="A928" s="98">
        <v>3232242639870550</v>
      </c>
      <c r="B928">
        <v>7.75</v>
      </c>
      <c r="C928">
        <v>7.51</v>
      </c>
    </row>
    <row r="929" spans="1:3" x14ac:dyDescent="0.25">
      <c r="A929" s="98">
        <v>3235733133995970</v>
      </c>
      <c r="B929">
        <v>7.79</v>
      </c>
      <c r="C929">
        <v>7.74</v>
      </c>
    </row>
    <row r="930" spans="1:3" x14ac:dyDescent="0.25">
      <c r="A930" s="98">
        <v>3239223727804640</v>
      </c>
      <c r="B930">
        <v>7.87</v>
      </c>
      <c r="C930">
        <v>7.48</v>
      </c>
    </row>
    <row r="931" spans="1:3" x14ac:dyDescent="0.25">
      <c r="A931" s="98">
        <v>3242714222951060</v>
      </c>
      <c r="B931">
        <v>7.63</v>
      </c>
      <c r="C931">
        <v>7.68</v>
      </c>
    </row>
    <row r="932" spans="1:3" x14ac:dyDescent="0.25">
      <c r="A932" s="98">
        <v>3246204766051630</v>
      </c>
      <c r="B932">
        <v>7.64</v>
      </c>
      <c r="C932">
        <v>7.65</v>
      </c>
    </row>
    <row r="933" spans="1:3" x14ac:dyDescent="0.25">
      <c r="A933" s="98">
        <v>3249695336923550</v>
      </c>
      <c r="B933">
        <v>7.59</v>
      </c>
      <c r="C933">
        <v>7.49</v>
      </c>
    </row>
    <row r="934" spans="1:3" x14ac:dyDescent="0.25">
      <c r="A934" s="98">
        <v>3253186098331650</v>
      </c>
      <c r="B934">
        <v>7.89</v>
      </c>
      <c r="C934">
        <v>7.64</v>
      </c>
    </row>
    <row r="935" spans="1:3" x14ac:dyDescent="0.25">
      <c r="A935" s="98">
        <v>3256676447435660</v>
      </c>
      <c r="B935">
        <v>7.73</v>
      </c>
      <c r="C935">
        <v>7.67</v>
      </c>
    </row>
    <row r="936" spans="1:3" x14ac:dyDescent="0.25">
      <c r="A936" s="98">
        <v>3260166937228700</v>
      </c>
      <c r="B936">
        <v>7.64</v>
      </c>
      <c r="C936">
        <v>7.8</v>
      </c>
    </row>
    <row r="937" spans="1:3" x14ac:dyDescent="0.25">
      <c r="A937" s="98">
        <v>3263657808165850</v>
      </c>
      <c r="B937">
        <v>7.57</v>
      </c>
      <c r="C937">
        <v>7.63</v>
      </c>
    </row>
    <row r="938" spans="1:3" x14ac:dyDescent="0.25">
      <c r="A938" s="98">
        <v>3267148269635660</v>
      </c>
      <c r="B938">
        <v>7.65</v>
      </c>
      <c r="C938">
        <v>7.75</v>
      </c>
    </row>
    <row r="939" spans="1:3" x14ac:dyDescent="0.25">
      <c r="A939" s="98">
        <v>3270638996616550</v>
      </c>
      <c r="B939">
        <v>7.95</v>
      </c>
      <c r="C939">
        <v>7.8</v>
      </c>
    </row>
    <row r="940" spans="1:3" x14ac:dyDescent="0.25">
      <c r="A940" s="98">
        <v>3274129635796500</v>
      </c>
      <c r="B940">
        <v>7.84</v>
      </c>
      <c r="C940">
        <v>7.83</v>
      </c>
    </row>
    <row r="941" spans="1:3" x14ac:dyDescent="0.25">
      <c r="A941" s="98">
        <v>3277620162610650</v>
      </c>
      <c r="B941">
        <v>7.79</v>
      </c>
      <c r="C941">
        <v>7.94</v>
      </c>
    </row>
    <row r="942" spans="1:3" x14ac:dyDescent="0.25">
      <c r="A942" s="98">
        <v>3281110616387040</v>
      </c>
      <c r="B942">
        <v>7.6</v>
      </c>
      <c r="C942">
        <v>7.91</v>
      </c>
    </row>
    <row r="943" spans="1:3" x14ac:dyDescent="0.25">
      <c r="A943" s="98">
        <v>3284601250064590</v>
      </c>
      <c r="B943">
        <v>7.78</v>
      </c>
      <c r="C943">
        <v>7.55</v>
      </c>
    </row>
    <row r="944" spans="1:3" x14ac:dyDescent="0.25">
      <c r="A944" s="98">
        <v>3288091943815900</v>
      </c>
      <c r="B944">
        <v>7.69</v>
      </c>
      <c r="C944">
        <v>7.77</v>
      </c>
    </row>
    <row r="945" spans="1:3" x14ac:dyDescent="0.25">
      <c r="A945" s="98">
        <v>3291582737686450</v>
      </c>
      <c r="B945">
        <v>7.84</v>
      </c>
      <c r="C945">
        <v>7.78</v>
      </c>
    </row>
    <row r="946" spans="1:3" x14ac:dyDescent="0.25">
      <c r="A946" s="98">
        <v>3295073456449640</v>
      </c>
      <c r="B946">
        <v>7.74</v>
      </c>
      <c r="C946">
        <v>7.62</v>
      </c>
    </row>
    <row r="947" spans="1:3" x14ac:dyDescent="0.25">
      <c r="A947" s="98">
        <v>3298564155488100</v>
      </c>
      <c r="B947">
        <v>7.66</v>
      </c>
      <c r="C947">
        <v>8</v>
      </c>
    </row>
    <row r="948" spans="1:3" x14ac:dyDescent="0.25">
      <c r="A948" s="98">
        <v>3302054773740190</v>
      </c>
      <c r="B948">
        <v>7.62</v>
      </c>
      <c r="C948">
        <v>7.86</v>
      </c>
    </row>
    <row r="949" spans="1:3" x14ac:dyDescent="0.25">
      <c r="A949" s="98">
        <v>3305545454422630</v>
      </c>
      <c r="B949">
        <v>7.61</v>
      </c>
      <c r="C949">
        <v>7.88</v>
      </c>
    </row>
    <row r="950" spans="1:3" x14ac:dyDescent="0.25">
      <c r="A950" s="98">
        <v>3309036111616420</v>
      </c>
      <c r="B950">
        <v>7.77</v>
      </c>
      <c r="C950">
        <v>7.84</v>
      </c>
    </row>
    <row r="951" spans="1:3" x14ac:dyDescent="0.25">
      <c r="A951" s="98">
        <v>3312526817663950</v>
      </c>
      <c r="B951">
        <v>7.7</v>
      </c>
      <c r="C951">
        <v>7.83</v>
      </c>
    </row>
    <row r="952" spans="1:3" x14ac:dyDescent="0.25">
      <c r="A952" s="98">
        <v>3316017656088970</v>
      </c>
      <c r="B952">
        <v>7.77</v>
      </c>
      <c r="C952">
        <v>7.93</v>
      </c>
    </row>
    <row r="953" spans="1:3" x14ac:dyDescent="0.25">
      <c r="A953" s="98">
        <v>3319508013653530</v>
      </c>
      <c r="B953">
        <v>7.67</v>
      </c>
      <c r="C953">
        <v>7.83</v>
      </c>
    </row>
    <row r="954" spans="1:3" x14ac:dyDescent="0.25">
      <c r="A954" s="98">
        <v>3322998530638430</v>
      </c>
      <c r="B954">
        <v>7.52</v>
      </c>
      <c r="C954">
        <v>8.0299999999999994</v>
      </c>
    </row>
    <row r="955" spans="1:3" x14ac:dyDescent="0.25">
      <c r="A955" s="98">
        <v>3326489154663350</v>
      </c>
      <c r="B955">
        <v>7.65</v>
      </c>
      <c r="C955">
        <v>8</v>
      </c>
    </row>
    <row r="956" spans="1:3" x14ac:dyDescent="0.25">
      <c r="A956" s="98">
        <v>3329979704712270</v>
      </c>
      <c r="B956">
        <v>7.57</v>
      </c>
      <c r="C956">
        <v>7.85</v>
      </c>
    </row>
    <row r="957" spans="1:3" x14ac:dyDescent="0.25">
      <c r="A957" s="98">
        <v>3333470082619670</v>
      </c>
      <c r="B957">
        <v>7.76</v>
      </c>
      <c r="C957">
        <v>7.83</v>
      </c>
    </row>
    <row r="958" spans="1:3" x14ac:dyDescent="0.25">
      <c r="A958" s="98">
        <v>3336960739460250</v>
      </c>
      <c r="B958">
        <v>7.53</v>
      </c>
      <c r="C958">
        <v>6.84</v>
      </c>
    </row>
    <row r="959" spans="1:3" x14ac:dyDescent="0.25">
      <c r="A959" s="98">
        <v>3340451403232630</v>
      </c>
      <c r="B959">
        <v>7.86</v>
      </c>
      <c r="C959">
        <v>6.9</v>
      </c>
    </row>
    <row r="960" spans="1:3" x14ac:dyDescent="0.25">
      <c r="A960" s="98">
        <v>3343942003222520</v>
      </c>
      <c r="B960">
        <v>7.67</v>
      </c>
      <c r="C960">
        <v>7.1</v>
      </c>
    </row>
    <row r="961" spans="1:3" x14ac:dyDescent="0.25">
      <c r="A961" s="98">
        <v>3347432881063880</v>
      </c>
      <c r="B961">
        <v>7.71</v>
      </c>
      <c r="C961">
        <v>7.18</v>
      </c>
    </row>
    <row r="962" spans="1:3" x14ac:dyDescent="0.25">
      <c r="A962" s="98">
        <v>3350923425295830</v>
      </c>
      <c r="B962">
        <v>7.72</v>
      </c>
      <c r="C962">
        <v>7.35</v>
      </c>
    </row>
    <row r="963" spans="1:3" x14ac:dyDescent="0.25">
      <c r="A963" s="98">
        <v>3354413961674320</v>
      </c>
      <c r="B963">
        <v>7.82</v>
      </c>
      <c r="C963">
        <v>7.3</v>
      </c>
    </row>
    <row r="964" spans="1:3" x14ac:dyDescent="0.25">
      <c r="A964" s="98">
        <v>3357904828025230</v>
      </c>
      <c r="B964">
        <v>7.64</v>
      </c>
      <c r="C964">
        <v>7.43</v>
      </c>
    </row>
    <row r="965" spans="1:3" x14ac:dyDescent="0.25">
      <c r="A965" s="98">
        <v>3361395276740740</v>
      </c>
      <c r="B965">
        <v>7.68</v>
      </c>
      <c r="C965">
        <v>7.5</v>
      </c>
    </row>
    <row r="966" spans="1:3" x14ac:dyDescent="0.25">
      <c r="A966" s="98">
        <v>3364885814592790</v>
      </c>
      <c r="B966">
        <v>7.61</v>
      </c>
      <c r="C966">
        <v>7.97</v>
      </c>
    </row>
    <row r="967" spans="1:3" x14ac:dyDescent="0.25">
      <c r="A967" s="98">
        <v>3368376161908660</v>
      </c>
      <c r="B967">
        <v>7.48</v>
      </c>
      <c r="C967">
        <v>8.01</v>
      </c>
    </row>
    <row r="968" spans="1:3" x14ac:dyDescent="0.25">
      <c r="A968" s="98">
        <v>3371866662767190</v>
      </c>
      <c r="B968">
        <v>7.72</v>
      </c>
      <c r="C968">
        <v>7.87</v>
      </c>
    </row>
    <row r="969" spans="1:3" x14ac:dyDescent="0.25">
      <c r="A969" s="98">
        <v>3375357399936070</v>
      </c>
      <c r="B969">
        <v>7.66</v>
      </c>
      <c r="C969">
        <v>7.83</v>
      </c>
    </row>
    <row r="970" spans="1:3" x14ac:dyDescent="0.25">
      <c r="A970" s="98">
        <v>3378848216478470</v>
      </c>
      <c r="B970">
        <v>7.81</v>
      </c>
      <c r="C970">
        <v>7.95</v>
      </c>
    </row>
    <row r="971" spans="1:3" x14ac:dyDescent="0.25">
      <c r="A971" s="98">
        <v>3382338797284490</v>
      </c>
      <c r="B971">
        <v>7.67</v>
      </c>
      <c r="C971">
        <v>7.88</v>
      </c>
    </row>
    <row r="972" spans="1:3" x14ac:dyDescent="0.25">
      <c r="A972" s="98">
        <v>3385829520082030</v>
      </c>
      <c r="B972">
        <v>7.68</v>
      </c>
      <c r="C972">
        <v>7.92</v>
      </c>
    </row>
    <row r="973" spans="1:3" x14ac:dyDescent="0.25">
      <c r="A973" s="98">
        <v>3389319821436090</v>
      </c>
      <c r="B973">
        <v>7.9</v>
      </c>
      <c r="C973">
        <v>7.7</v>
      </c>
    </row>
    <row r="974" spans="1:3" x14ac:dyDescent="0.25">
      <c r="A974" s="98">
        <v>3392810308977410</v>
      </c>
      <c r="B974">
        <v>7.72</v>
      </c>
      <c r="C974">
        <v>7.64</v>
      </c>
    </row>
    <row r="975" spans="1:3" x14ac:dyDescent="0.25">
      <c r="A975" s="98">
        <v>3396300924712860</v>
      </c>
      <c r="B975">
        <v>7.53</v>
      </c>
      <c r="C975">
        <v>7.75</v>
      </c>
    </row>
    <row r="976" spans="1:3" x14ac:dyDescent="0.25">
      <c r="A976" s="98">
        <v>3399791527694020</v>
      </c>
      <c r="B976">
        <v>7.8</v>
      </c>
      <c r="C976">
        <v>7.96</v>
      </c>
    </row>
    <row r="977" spans="1:3" x14ac:dyDescent="0.25">
      <c r="A977" s="98">
        <v>3403282156371400</v>
      </c>
      <c r="B977">
        <v>7.57</v>
      </c>
      <c r="C977">
        <v>7.78</v>
      </c>
    </row>
    <row r="978" spans="1:3" x14ac:dyDescent="0.25">
      <c r="A978" s="98">
        <v>3406772655877800</v>
      </c>
      <c r="B978">
        <v>7.62</v>
      </c>
      <c r="C978">
        <v>7.94</v>
      </c>
    </row>
    <row r="979" spans="1:3" x14ac:dyDescent="0.25">
      <c r="A979" s="98">
        <v>3410263349866420</v>
      </c>
      <c r="B979">
        <v>7.61</v>
      </c>
      <c r="C979">
        <v>7.58</v>
      </c>
    </row>
    <row r="980" spans="1:3" x14ac:dyDescent="0.25">
      <c r="A980" s="98">
        <v>3413753906251100</v>
      </c>
      <c r="B980">
        <v>7.92</v>
      </c>
      <c r="C980">
        <v>7.76</v>
      </c>
    </row>
    <row r="981" spans="1:3" x14ac:dyDescent="0.25">
      <c r="A981" s="98">
        <v>3417244304722100</v>
      </c>
      <c r="B981">
        <v>7.7</v>
      </c>
      <c r="C981">
        <v>7.59</v>
      </c>
    </row>
    <row r="982" spans="1:3" x14ac:dyDescent="0.25">
      <c r="A982" s="98">
        <v>3420734777969340</v>
      </c>
      <c r="B982">
        <v>7.79</v>
      </c>
      <c r="C982">
        <v>7.67</v>
      </c>
    </row>
    <row r="983" spans="1:3" x14ac:dyDescent="0.25">
      <c r="A983" s="98">
        <v>3424225380321340</v>
      </c>
      <c r="B983">
        <v>7.76</v>
      </c>
      <c r="C983">
        <v>8</v>
      </c>
    </row>
    <row r="984" spans="1:3" x14ac:dyDescent="0.25">
      <c r="A984" s="98">
        <v>3427716032812990</v>
      </c>
      <c r="B984">
        <v>7.8</v>
      </c>
      <c r="C984">
        <v>7.96</v>
      </c>
    </row>
    <row r="985" spans="1:3" x14ac:dyDescent="0.25">
      <c r="A985" s="98">
        <v>3431206829580990</v>
      </c>
      <c r="B985">
        <v>7.75</v>
      </c>
      <c r="C985">
        <v>7.66</v>
      </c>
    </row>
    <row r="986" spans="1:3" x14ac:dyDescent="0.25">
      <c r="A986" s="98">
        <v>3434697429366680</v>
      </c>
      <c r="B986">
        <v>7.59</v>
      </c>
      <c r="C986">
        <v>7.65</v>
      </c>
    </row>
    <row r="987" spans="1:3" x14ac:dyDescent="0.25">
      <c r="A987" s="98">
        <v>3438188042375770</v>
      </c>
      <c r="B987">
        <v>7.69</v>
      </c>
      <c r="C987">
        <v>7.83</v>
      </c>
    </row>
    <row r="988" spans="1:3" x14ac:dyDescent="0.25">
      <c r="A988" s="98">
        <v>3441678468436000</v>
      </c>
      <c r="B988">
        <v>7.55</v>
      </c>
      <c r="C988">
        <v>7.59</v>
      </c>
    </row>
    <row r="989" spans="1:3" x14ac:dyDescent="0.25">
      <c r="A989" s="98">
        <v>3445168908293600</v>
      </c>
      <c r="B989">
        <v>7.74</v>
      </c>
      <c r="C989">
        <v>7.5</v>
      </c>
    </row>
    <row r="990" spans="1:3" x14ac:dyDescent="0.25">
      <c r="A990" s="98">
        <v>3448659511931510</v>
      </c>
      <c r="B990">
        <v>7.91</v>
      </c>
      <c r="C990">
        <v>7.29</v>
      </c>
    </row>
    <row r="991" spans="1:3" x14ac:dyDescent="0.25">
      <c r="A991" s="98">
        <v>3452150278626760</v>
      </c>
      <c r="B991">
        <v>7.79</v>
      </c>
      <c r="C991">
        <v>7.5</v>
      </c>
    </row>
    <row r="992" spans="1:3" x14ac:dyDescent="0.25">
      <c r="A992" s="98">
        <v>3455640710962030</v>
      </c>
      <c r="B992">
        <v>7.69</v>
      </c>
      <c r="C992">
        <v>7.44</v>
      </c>
    </row>
    <row r="993" spans="1:3" x14ac:dyDescent="0.25">
      <c r="A993" s="98">
        <v>3459131141757520</v>
      </c>
      <c r="B993">
        <v>7.7</v>
      </c>
      <c r="C993">
        <v>7.31</v>
      </c>
    </row>
    <row r="994" spans="1:3" x14ac:dyDescent="0.25">
      <c r="A994" s="98">
        <v>3462621900869740</v>
      </c>
      <c r="B994">
        <v>7.69</v>
      </c>
      <c r="C994">
        <v>7.83</v>
      </c>
    </row>
    <row r="995" spans="1:3" x14ac:dyDescent="0.25">
      <c r="A995" s="98">
        <v>3466112448793870</v>
      </c>
      <c r="B995">
        <v>7.6</v>
      </c>
      <c r="C995">
        <v>7.89</v>
      </c>
    </row>
    <row r="996" spans="1:3" x14ac:dyDescent="0.25">
      <c r="A996" s="98">
        <v>3469603050389770</v>
      </c>
      <c r="B996">
        <v>7.83</v>
      </c>
      <c r="C996">
        <v>7.76</v>
      </c>
    </row>
    <row r="997" spans="1:3" x14ac:dyDescent="0.25">
      <c r="A997" s="98">
        <v>3473093721507870</v>
      </c>
      <c r="B997">
        <v>7.88</v>
      </c>
      <c r="C997">
        <v>7.79</v>
      </c>
    </row>
    <row r="998" spans="1:3" x14ac:dyDescent="0.25">
      <c r="A998" s="98">
        <v>3476584323931620</v>
      </c>
      <c r="B998">
        <v>7.83</v>
      </c>
      <c r="C998">
        <v>7.76</v>
      </c>
    </row>
    <row r="999" spans="1:3" x14ac:dyDescent="0.25">
      <c r="A999" s="98">
        <v>3480074623718300</v>
      </c>
      <c r="B999">
        <v>7.84</v>
      </c>
      <c r="C999">
        <v>7.77</v>
      </c>
    </row>
    <row r="1000" spans="1:3" x14ac:dyDescent="0.25">
      <c r="A1000" s="98">
        <v>3483565170814590</v>
      </c>
      <c r="B1000">
        <v>7.67</v>
      </c>
      <c r="C1000">
        <v>7.82</v>
      </c>
    </row>
    <row r="1001" spans="1:3" x14ac:dyDescent="0.25">
      <c r="A1001" s="98">
        <v>3487055711431630</v>
      </c>
      <c r="B1001">
        <v>7.65</v>
      </c>
      <c r="C1001">
        <v>7.84</v>
      </c>
    </row>
    <row r="1002" spans="1:3" x14ac:dyDescent="0.25">
      <c r="A1002" s="98">
        <v>3490546055673440</v>
      </c>
      <c r="B1002">
        <v>7.65</v>
      </c>
      <c r="C1002">
        <v>7.74</v>
      </c>
    </row>
    <row r="1003" spans="1:3" x14ac:dyDescent="0.25">
      <c r="A1003" s="98">
        <v>3494036743552590</v>
      </c>
      <c r="B1003">
        <v>7.7</v>
      </c>
      <c r="C1003">
        <v>7.54</v>
      </c>
    </row>
    <row r="1004" spans="1:3" x14ac:dyDescent="0.25">
      <c r="A1004" s="98">
        <v>3497527306736610</v>
      </c>
      <c r="B1004">
        <v>7.74</v>
      </c>
      <c r="C1004">
        <v>7.82</v>
      </c>
    </row>
    <row r="1005" spans="1:3" x14ac:dyDescent="0.25">
      <c r="A1005" s="98">
        <v>3501017866200870</v>
      </c>
      <c r="B1005">
        <v>7.88</v>
      </c>
      <c r="C1005">
        <v>7.53</v>
      </c>
    </row>
    <row r="1006" spans="1:3" x14ac:dyDescent="0.25">
      <c r="A1006" s="98">
        <v>3504508448839180</v>
      </c>
      <c r="B1006">
        <v>7.94</v>
      </c>
      <c r="C1006">
        <v>7.64</v>
      </c>
    </row>
    <row r="1007" spans="1:3" x14ac:dyDescent="0.25">
      <c r="A1007" s="98">
        <v>3507998913592760</v>
      </c>
      <c r="B1007">
        <v>7.74</v>
      </c>
      <c r="C1007">
        <v>7.72</v>
      </c>
    </row>
    <row r="1008" spans="1:3" x14ac:dyDescent="0.25">
      <c r="A1008" s="98">
        <v>3511489369990640</v>
      </c>
      <c r="B1008">
        <v>7.95</v>
      </c>
      <c r="C1008">
        <v>7.8</v>
      </c>
    </row>
    <row r="1009" spans="1:3" x14ac:dyDescent="0.25">
      <c r="A1009" s="98">
        <v>3514979901324820</v>
      </c>
      <c r="B1009">
        <v>7.76</v>
      </c>
      <c r="C1009">
        <v>7.47</v>
      </c>
    </row>
    <row r="1010" spans="1:3" x14ac:dyDescent="0.25">
      <c r="A1010" s="98">
        <v>3518470503340160</v>
      </c>
      <c r="B1010">
        <v>7.71</v>
      </c>
      <c r="C1010">
        <v>7.35</v>
      </c>
    </row>
    <row r="1011" spans="1:3" x14ac:dyDescent="0.25">
      <c r="A1011" s="98">
        <v>3521961141035510</v>
      </c>
      <c r="B1011">
        <v>7.69</v>
      </c>
      <c r="C1011">
        <v>8.3000000000000007</v>
      </c>
    </row>
    <row r="1012" spans="1:3" x14ac:dyDescent="0.25">
      <c r="A1012" s="98">
        <v>3525451662523870</v>
      </c>
      <c r="B1012">
        <v>7.64</v>
      </c>
      <c r="C1012">
        <v>8.4700000000000006</v>
      </c>
    </row>
    <row r="1013" spans="1:3" x14ac:dyDescent="0.25">
      <c r="A1013" s="98">
        <v>3528942222208880</v>
      </c>
      <c r="B1013">
        <v>7.65</v>
      </c>
      <c r="C1013">
        <v>8.73</v>
      </c>
    </row>
    <row r="1014" spans="1:3" x14ac:dyDescent="0.25">
      <c r="A1014" s="98">
        <v>3532432679589140</v>
      </c>
      <c r="B1014">
        <v>7.51</v>
      </c>
      <c r="C1014">
        <v>8.1199999999999992</v>
      </c>
    </row>
    <row r="1015" spans="1:3" x14ac:dyDescent="0.25">
      <c r="A1015" s="98">
        <v>3535923298144780</v>
      </c>
      <c r="B1015">
        <v>7.76</v>
      </c>
      <c r="C1015">
        <v>8.44</v>
      </c>
    </row>
    <row r="1016" spans="1:3" x14ac:dyDescent="0.25">
      <c r="A1016" s="98">
        <v>3539413919018370</v>
      </c>
      <c r="B1016">
        <v>7.71</v>
      </c>
      <c r="C1016">
        <v>8.19</v>
      </c>
    </row>
    <row r="1017" spans="1:3" x14ac:dyDescent="0.25">
      <c r="A1017" s="98">
        <v>3542904393667420</v>
      </c>
      <c r="B1017">
        <v>7.64</v>
      </c>
      <c r="C1017">
        <v>7.92</v>
      </c>
    </row>
    <row r="1018" spans="1:3" x14ac:dyDescent="0.25">
      <c r="A1018" s="98">
        <v>3546394998999650</v>
      </c>
      <c r="B1018">
        <v>7.59</v>
      </c>
      <c r="C1018">
        <v>8.1999999999999993</v>
      </c>
    </row>
    <row r="1019" spans="1:3" x14ac:dyDescent="0.25">
      <c r="A1019" s="98">
        <v>3549885583889700</v>
      </c>
      <c r="B1019">
        <v>7.65</v>
      </c>
      <c r="C1019">
        <v>8.35</v>
      </c>
    </row>
    <row r="1020" spans="1:3" x14ac:dyDescent="0.25">
      <c r="A1020" s="98">
        <v>3553376250305660</v>
      </c>
      <c r="B1020">
        <v>7.61</v>
      </c>
      <c r="C1020">
        <v>8.11</v>
      </c>
    </row>
    <row r="1021" spans="1:3" x14ac:dyDescent="0.25">
      <c r="A1021" s="98">
        <v>3556866715555940</v>
      </c>
      <c r="B1021">
        <v>7.55</v>
      </c>
      <c r="C1021">
        <v>8.14</v>
      </c>
    </row>
    <row r="1022" spans="1:3" x14ac:dyDescent="0.25">
      <c r="A1022" s="98">
        <v>3560357078490430</v>
      </c>
      <c r="B1022">
        <v>7.56</v>
      </c>
      <c r="C1022">
        <v>8.1300000000000008</v>
      </c>
    </row>
    <row r="1023" spans="1:3" x14ac:dyDescent="0.25">
      <c r="A1023" s="98">
        <v>3563847316525600</v>
      </c>
      <c r="B1023">
        <v>7.47</v>
      </c>
      <c r="C1023">
        <v>7.91</v>
      </c>
    </row>
    <row r="1024" spans="1:3" x14ac:dyDescent="0.25">
      <c r="A1024" s="98">
        <v>3567337889389850</v>
      </c>
      <c r="B1024">
        <v>7.6</v>
      </c>
      <c r="C1024">
        <v>8.02</v>
      </c>
    </row>
    <row r="1025" spans="1:3" x14ac:dyDescent="0.25">
      <c r="A1025" s="98">
        <v>3570828357636920</v>
      </c>
      <c r="B1025">
        <v>7.54</v>
      </c>
      <c r="C1025">
        <v>8.27</v>
      </c>
    </row>
    <row r="1026" spans="1:3" x14ac:dyDescent="0.25">
      <c r="A1026" s="98">
        <v>3574318897575140</v>
      </c>
      <c r="B1026">
        <v>7.44</v>
      </c>
      <c r="C1026">
        <v>8</v>
      </c>
    </row>
    <row r="1027" spans="1:3" x14ac:dyDescent="0.25">
      <c r="A1027" s="98">
        <v>3577809629042940</v>
      </c>
      <c r="B1027">
        <v>7.41</v>
      </c>
      <c r="C1027">
        <v>7.95</v>
      </c>
    </row>
    <row r="1028" spans="1:3" x14ac:dyDescent="0.25">
      <c r="A1028" s="98">
        <v>3581300102709620</v>
      </c>
      <c r="B1028">
        <v>7.6</v>
      </c>
      <c r="C1028">
        <v>7.97</v>
      </c>
    </row>
    <row r="1029" spans="1:3" x14ac:dyDescent="0.25">
      <c r="A1029" s="98">
        <v>3584790502748000</v>
      </c>
      <c r="B1029">
        <v>7.61</v>
      </c>
      <c r="C1029">
        <v>7.8</v>
      </c>
    </row>
    <row r="1030" spans="1:3" x14ac:dyDescent="0.25">
      <c r="A1030" s="98">
        <v>3588281148009830</v>
      </c>
      <c r="B1030">
        <v>7.74</v>
      </c>
      <c r="C1030">
        <v>7.72</v>
      </c>
    </row>
    <row r="1031" spans="1:3" x14ac:dyDescent="0.25">
      <c r="A1031" s="98">
        <v>3591771635860200</v>
      </c>
      <c r="B1031">
        <v>7.54</v>
      </c>
      <c r="C1031">
        <v>7.67</v>
      </c>
    </row>
    <row r="1032" spans="1:3" x14ac:dyDescent="0.25">
      <c r="A1032" s="98">
        <v>3595262114091050</v>
      </c>
      <c r="B1032">
        <v>7.58</v>
      </c>
      <c r="C1032">
        <v>7.63</v>
      </c>
    </row>
    <row r="1033" spans="1:3" x14ac:dyDescent="0.25">
      <c r="A1033" s="98">
        <v>3598752600478900</v>
      </c>
      <c r="B1033">
        <v>7.59</v>
      </c>
      <c r="C1033">
        <v>7.56</v>
      </c>
    </row>
    <row r="1034" spans="1:3" x14ac:dyDescent="0.25">
      <c r="A1034" s="98">
        <v>3602243056462870</v>
      </c>
      <c r="B1034">
        <v>7.67</v>
      </c>
      <c r="C1034">
        <v>7.61</v>
      </c>
    </row>
    <row r="1035" spans="1:3" x14ac:dyDescent="0.25">
      <c r="A1035" s="98">
        <v>3605733489156870</v>
      </c>
      <c r="B1035">
        <v>7.66</v>
      </c>
      <c r="C1035">
        <v>7.65</v>
      </c>
    </row>
    <row r="1036" spans="1:3" x14ac:dyDescent="0.25">
      <c r="A1036" s="98">
        <v>3609224028708750</v>
      </c>
      <c r="B1036">
        <v>7.65</v>
      </c>
      <c r="C1036">
        <v>7.9</v>
      </c>
    </row>
    <row r="1037" spans="1:3" x14ac:dyDescent="0.25">
      <c r="A1037" s="98">
        <v>3612714675184750</v>
      </c>
      <c r="B1037">
        <v>7.62</v>
      </c>
      <c r="C1037">
        <v>7.84</v>
      </c>
    </row>
    <row r="1038" spans="1:3" x14ac:dyDescent="0.25">
      <c r="A1038" s="98">
        <v>3616205166611400</v>
      </c>
      <c r="B1038">
        <v>7.53</v>
      </c>
      <c r="C1038">
        <v>7.74</v>
      </c>
    </row>
    <row r="1039" spans="1:3" x14ac:dyDescent="0.25">
      <c r="A1039" s="98">
        <v>3619696032625650</v>
      </c>
      <c r="B1039">
        <v>7.53</v>
      </c>
      <c r="C1039">
        <v>7.73</v>
      </c>
    </row>
    <row r="1040" spans="1:3" x14ac:dyDescent="0.25">
      <c r="A1040" s="98">
        <v>3623186664879320</v>
      </c>
      <c r="B1040">
        <v>7.45</v>
      </c>
      <c r="C1040">
        <v>7.51</v>
      </c>
    </row>
    <row r="1041" spans="1:3" x14ac:dyDescent="0.25">
      <c r="A1041" s="98">
        <v>3626677264913360</v>
      </c>
      <c r="B1041">
        <v>7.48</v>
      </c>
      <c r="C1041">
        <v>7.71</v>
      </c>
    </row>
    <row r="1042" spans="1:3" x14ac:dyDescent="0.25">
      <c r="A1042" s="98">
        <v>3630167728287200</v>
      </c>
      <c r="B1042">
        <v>7.6</v>
      </c>
      <c r="C1042">
        <v>7.59</v>
      </c>
    </row>
    <row r="1043" spans="1:3" x14ac:dyDescent="0.25">
      <c r="A1043" s="98">
        <v>3633658170528980</v>
      </c>
      <c r="B1043">
        <v>7.43</v>
      </c>
      <c r="C1043">
        <v>7.73</v>
      </c>
    </row>
    <row r="1044" spans="1:3" x14ac:dyDescent="0.25">
      <c r="A1044" s="98">
        <v>3637148704219740</v>
      </c>
      <c r="B1044">
        <v>7.57</v>
      </c>
      <c r="C1044">
        <v>7.69</v>
      </c>
    </row>
    <row r="1045" spans="1:3" x14ac:dyDescent="0.25">
      <c r="A1045" s="98">
        <v>3640639322538060</v>
      </c>
      <c r="B1045">
        <v>7.49</v>
      </c>
      <c r="C1045">
        <v>7.63</v>
      </c>
    </row>
    <row r="1046" spans="1:3" x14ac:dyDescent="0.25">
      <c r="A1046" s="98">
        <v>3644129902565920</v>
      </c>
      <c r="B1046">
        <v>7.47</v>
      </c>
      <c r="C1046">
        <v>7.24</v>
      </c>
    </row>
    <row r="1047" spans="1:3" x14ac:dyDescent="0.25">
      <c r="A1047" s="98">
        <v>3647620433182620</v>
      </c>
      <c r="B1047">
        <v>7.36</v>
      </c>
      <c r="C1047">
        <v>6.58</v>
      </c>
    </row>
    <row r="1048" spans="1:3" x14ac:dyDescent="0.25">
      <c r="A1048" s="98">
        <v>3651111343315350</v>
      </c>
      <c r="B1048">
        <v>7.41</v>
      </c>
      <c r="C1048">
        <v>6.72</v>
      </c>
    </row>
    <row r="1049" spans="1:3" x14ac:dyDescent="0.25">
      <c r="A1049" s="98">
        <v>3654601968990430</v>
      </c>
      <c r="B1049">
        <v>7.36</v>
      </c>
      <c r="C1049">
        <v>6.78</v>
      </c>
    </row>
    <row r="1050" spans="1:3" x14ac:dyDescent="0.25">
      <c r="A1050" s="98">
        <v>3658092398295800</v>
      </c>
      <c r="B1050">
        <v>7.33</v>
      </c>
      <c r="C1050">
        <v>6.4</v>
      </c>
    </row>
    <row r="1051" spans="1:3" x14ac:dyDescent="0.25">
      <c r="A1051" s="98">
        <v>3661583021310740</v>
      </c>
      <c r="B1051">
        <v>7.41</v>
      </c>
      <c r="C1051">
        <v>6.34</v>
      </c>
    </row>
    <row r="1052" spans="1:3" x14ac:dyDescent="0.25">
      <c r="A1052" s="98">
        <v>3665073520833690</v>
      </c>
      <c r="B1052">
        <v>7.4</v>
      </c>
      <c r="C1052">
        <v>6.28</v>
      </c>
    </row>
    <row r="1053" spans="1:3" x14ac:dyDescent="0.25">
      <c r="A1053" s="98">
        <v>3668564049259380</v>
      </c>
      <c r="B1053">
        <v>7.42</v>
      </c>
      <c r="C1053">
        <v>7.39</v>
      </c>
    </row>
    <row r="1054" spans="1:3" x14ac:dyDescent="0.25">
      <c r="A1054" s="98">
        <v>3672054781312190</v>
      </c>
      <c r="B1054">
        <v>7.45</v>
      </c>
      <c r="C1054">
        <v>7.08</v>
      </c>
    </row>
    <row r="1055" spans="1:3" x14ac:dyDescent="0.25">
      <c r="A1055" s="98">
        <v>3675545496443900</v>
      </c>
      <c r="B1055">
        <v>7.47</v>
      </c>
      <c r="C1055">
        <v>7.68</v>
      </c>
    </row>
    <row r="1056" spans="1:3" x14ac:dyDescent="0.25">
      <c r="A1056" s="98">
        <v>3679036183898090</v>
      </c>
      <c r="B1056">
        <v>7.28</v>
      </c>
      <c r="C1056">
        <v>7.15</v>
      </c>
    </row>
    <row r="1057" spans="1:3" x14ac:dyDescent="0.25">
      <c r="A1057" s="98">
        <v>3682526859972210</v>
      </c>
      <c r="B1057">
        <v>7.28</v>
      </c>
      <c r="C1057">
        <v>6.98</v>
      </c>
    </row>
    <row r="1058" spans="1:3" x14ac:dyDescent="0.25">
      <c r="A1058" s="98">
        <v>3686017431186300</v>
      </c>
      <c r="B1058">
        <v>7.45</v>
      </c>
      <c r="C1058">
        <v>7.03</v>
      </c>
    </row>
    <row r="1059" spans="1:3" x14ac:dyDescent="0.25">
      <c r="A1059" s="98">
        <v>3689508055636170</v>
      </c>
      <c r="B1059">
        <v>7.44</v>
      </c>
      <c r="C1059">
        <v>6.83</v>
      </c>
    </row>
    <row r="1060" spans="1:3" x14ac:dyDescent="0.25">
      <c r="A1060" s="98">
        <v>3692998894397850</v>
      </c>
      <c r="B1060">
        <v>7.3</v>
      </c>
      <c r="C1060">
        <v>6.98</v>
      </c>
    </row>
    <row r="1061" spans="1:3" x14ac:dyDescent="0.25">
      <c r="A1061" s="98">
        <v>3696489569450970</v>
      </c>
      <c r="B1061">
        <v>7.39</v>
      </c>
      <c r="C1061">
        <v>6.96</v>
      </c>
    </row>
    <row r="1062" spans="1:3" x14ac:dyDescent="0.25">
      <c r="A1062" s="98">
        <v>3699980244934550</v>
      </c>
      <c r="B1062">
        <v>7.4</v>
      </c>
      <c r="C1062">
        <v>6.82</v>
      </c>
    </row>
    <row r="1063" spans="1:3" x14ac:dyDescent="0.25">
      <c r="A1063" s="98">
        <v>3703470774210160</v>
      </c>
      <c r="B1063">
        <v>7.29</v>
      </c>
      <c r="C1063">
        <v>6.98</v>
      </c>
    </row>
    <row r="1064" spans="1:3" x14ac:dyDescent="0.25">
      <c r="A1064" s="98">
        <v>3706961501119310</v>
      </c>
      <c r="B1064">
        <v>7.47</v>
      </c>
      <c r="C1064">
        <v>6.95</v>
      </c>
    </row>
    <row r="1065" spans="1:3" x14ac:dyDescent="0.25">
      <c r="A1065" s="98">
        <v>3710452050163790</v>
      </c>
      <c r="B1065">
        <v>7.57</v>
      </c>
      <c r="C1065">
        <v>7</v>
      </c>
    </row>
    <row r="1066" spans="1:3" x14ac:dyDescent="0.25">
      <c r="A1066" s="98">
        <v>3713942716695640</v>
      </c>
      <c r="B1066">
        <v>7.46</v>
      </c>
      <c r="C1066">
        <v>6.89</v>
      </c>
    </row>
    <row r="1067" spans="1:3" x14ac:dyDescent="0.25">
      <c r="A1067" s="98">
        <v>3717433337756880</v>
      </c>
      <c r="B1067">
        <v>7.52</v>
      </c>
      <c r="C1067">
        <v>6.92</v>
      </c>
    </row>
    <row r="1068" spans="1:3" x14ac:dyDescent="0.25">
      <c r="A1068" s="98">
        <v>3720923885664450</v>
      </c>
      <c r="B1068">
        <v>7.43</v>
      </c>
      <c r="C1068">
        <v>6.95</v>
      </c>
    </row>
    <row r="1069" spans="1:3" x14ac:dyDescent="0.25">
      <c r="A1069" s="98">
        <v>3724414478496260</v>
      </c>
      <c r="B1069">
        <v>7.42</v>
      </c>
      <c r="C1069">
        <v>7.2</v>
      </c>
    </row>
    <row r="1070" spans="1:3" x14ac:dyDescent="0.25">
      <c r="A1070" s="98">
        <v>3727904974332560</v>
      </c>
      <c r="B1070">
        <v>7.44</v>
      </c>
      <c r="C1070">
        <v>6.86</v>
      </c>
    </row>
    <row r="1071" spans="1:3" x14ac:dyDescent="0.25">
      <c r="A1071" s="98">
        <v>3731395587876990</v>
      </c>
      <c r="B1071">
        <v>7.45</v>
      </c>
      <c r="C1071">
        <v>7.29</v>
      </c>
    </row>
    <row r="1072" spans="1:3" x14ac:dyDescent="0.25">
      <c r="A1072" s="98">
        <v>3734886296110020</v>
      </c>
      <c r="B1072">
        <v>7.41</v>
      </c>
      <c r="C1072">
        <v>8.23</v>
      </c>
    </row>
    <row r="1073" spans="1:3" x14ac:dyDescent="0.25">
      <c r="A1073" s="98">
        <v>3738376693802850</v>
      </c>
      <c r="B1073">
        <v>7.37</v>
      </c>
      <c r="C1073">
        <v>8.1999999999999993</v>
      </c>
    </row>
    <row r="1074" spans="1:3" x14ac:dyDescent="0.25">
      <c r="A1074" s="98">
        <v>3741867354302490</v>
      </c>
      <c r="B1074">
        <v>7.44</v>
      </c>
      <c r="C1074">
        <v>8.06</v>
      </c>
    </row>
    <row r="1075" spans="1:3" x14ac:dyDescent="0.25">
      <c r="A1075" s="98">
        <v>3745357966952850</v>
      </c>
      <c r="B1075">
        <v>7.53</v>
      </c>
      <c r="C1075">
        <v>8.1</v>
      </c>
    </row>
    <row r="1076" spans="1:3" x14ac:dyDescent="0.25">
      <c r="A1076" s="98">
        <v>3748848461276950</v>
      </c>
      <c r="B1076">
        <v>7.36</v>
      </c>
      <c r="C1076">
        <v>7.46</v>
      </c>
    </row>
    <row r="1077" spans="1:3" x14ac:dyDescent="0.25">
      <c r="A1077" s="98">
        <v>3752338997666480</v>
      </c>
      <c r="B1077">
        <v>7.34</v>
      </c>
      <c r="C1077">
        <v>7.32</v>
      </c>
    </row>
    <row r="1078" spans="1:3" x14ac:dyDescent="0.25">
      <c r="A1078" s="98">
        <v>3755829619009180</v>
      </c>
      <c r="B1078">
        <v>7.27</v>
      </c>
      <c r="C1078">
        <v>7.12</v>
      </c>
    </row>
    <row r="1079" spans="1:3" x14ac:dyDescent="0.25">
      <c r="A1079" s="98">
        <v>3759320183324590</v>
      </c>
      <c r="B1079">
        <v>7.45</v>
      </c>
      <c r="C1079">
        <v>7.28</v>
      </c>
    </row>
    <row r="1080" spans="1:3" x14ac:dyDescent="0.25">
      <c r="A1080" s="98">
        <v>3762810895619560</v>
      </c>
      <c r="B1080">
        <v>7.4</v>
      </c>
      <c r="C1080">
        <v>7.93</v>
      </c>
    </row>
    <row r="1081" spans="1:3" x14ac:dyDescent="0.25">
      <c r="A1081" s="98">
        <v>3766301676470920</v>
      </c>
      <c r="B1081">
        <v>7.38</v>
      </c>
      <c r="C1081">
        <v>6.99</v>
      </c>
    </row>
    <row r="1082" spans="1:3" x14ac:dyDescent="0.25">
      <c r="A1082" s="98">
        <v>3769792279098870</v>
      </c>
      <c r="B1082">
        <v>7.33</v>
      </c>
      <c r="C1082">
        <v>7.45</v>
      </c>
    </row>
    <row r="1083" spans="1:3" x14ac:dyDescent="0.25">
      <c r="A1083" s="98">
        <v>3773282991526300</v>
      </c>
      <c r="B1083">
        <v>7.37</v>
      </c>
      <c r="C1083">
        <v>7.33</v>
      </c>
    </row>
    <row r="1084" spans="1:3" x14ac:dyDescent="0.25">
      <c r="A1084" s="98">
        <v>3776773841607350</v>
      </c>
      <c r="B1084">
        <v>7.2</v>
      </c>
      <c r="C1084">
        <v>7</v>
      </c>
    </row>
    <row r="1085" spans="1:3" x14ac:dyDescent="0.25">
      <c r="A1085" s="98">
        <v>3780264370380720</v>
      </c>
      <c r="B1085">
        <v>7.4</v>
      </c>
      <c r="C1085">
        <v>7.96</v>
      </c>
    </row>
    <row r="1086" spans="1:3" x14ac:dyDescent="0.25">
      <c r="A1086" s="98">
        <v>3783754783195470</v>
      </c>
      <c r="B1086">
        <v>7.53</v>
      </c>
      <c r="C1086">
        <v>7.2</v>
      </c>
    </row>
    <row r="1087" spans="1:3" x14ac:dyDescent="0.25">
      <c r="A1087" s="98">
        <v>3787245411536200</v>
      </c>
      <c r="B1087">
        <v>7.47</v>
      </c>
      <c r="C1087">
        <v>6.83</v>
      </c>
    </row>
    <row r="1088" spans="1:3" x14ac:dyDescent="0.25">
      <c r="A1088" s="98">
        <v>3790736029126020</v>
      </c>
      <c r="B1088">
        <v>7.53</v>
      </c>
      <c r="C1088">
        <v>6.85</v>
      </c>
    </row>
    <row r="1089" spans="1:3" x14ac:dyDescent="0.25">
      <c r="A1089" s="98">
        <v>3794226687053830</v>
      </c>
      <c r="B1089">
        <v>7.32</v>
      </c>
      <c r="C1089">
        <v>6.97</v>
      </c>
    </row>
    <row r="1090" spans="1:3" x14ac:dyDescent="0.25">
      <c r="A1090" s="98">
        <v>3797717287849490</v>
      </c>
      <c r="B1090">
        <v>7.32</v>
      </c>
      <c r="C1090">
        <v>6.93</v>
      </c>
    </row>
    <row r="1091" spans="1:3" x14ac:dyDescent="0.25">
      <c r="A1091" s="98">
        <v>3801207900737170</v>
      </c>
      <c r="B1091">
        <v>7.27</v>
      </c>
      <c r="C1091">
        <v>8.3000000000000007</v>
      </c>
    </row>
    <row r="1092" spans="1:3" x14ac:dyDescent="0.25">
      <c r="A1092" s="98">
        <v>3804698562925610</v>
      </c>
      <c r="B1092">
        <v>7.3</v>
      </c>
      <c r="C1092">
        <v>6.45</v>
      </c>
    </row>
    <row r="1093" spans="1:3" x14ac:dyDescent="0.25">
      <c r="A1093" s="98">
        <v>3808189148676610</v>
      </c>
      <c r="B1093">
        <v>7.42</v>
      </c>
      <c r="C1093">
        <v>7.15</v>
      </c>
    </row>
    <row r="1094" spans="1:3" x14ac:dyDescent="0.25">
      <c r="A1094" s="98">
        <v>3811679352543970</v>
      </c>
      <c r="B1094">
        <v>7.3</v>
      </c>
      <c r="C1094">
        <v>7.09</v>
      </c>
    </row>
    <row r="1095" spans="1:3" x14ac:dyDescent="0.25">
      <c r="A1095" s="98">
        <v>3815170039871220</v>
      </c>
      <c r="B1095">
        <v>7.17</v>
      </c>
      <c r="C1095">
        <v>8.0399999999999991</v>
      </c>
    </row>
    <row r="1096" spans="1:3" x14ac:dyDescent="0.25">
      <c r="A1096" s="98">
        <v>3818660510232050</v>
      </c>
      <c r="B1096">
        <v>7.24</v>
      </c>
      <c r="C1096">
        <v>7.1</v>
      </c>
    </row>
    <row r="1097" spans="1:3" x14ac:dyDescent="0.25">
      <c r="A1097" s="98">
        <v>3822151017934080</v>
      </c>
      <c r="B1097">
        <v>7.25</v>
      </c>
      <c r="C1097">
        <v>7.1</v>
      </c>
    </row>
    <row r="1098" spans="1:3" x14ac:dyDescent="0.25">
      <c r="A1098" s="98">
        <v>3825641450302460</v>
      </c>
      <c r="B1098">
        <v>7.17</v>
      </c>
      <c r="C1098">
        <v>6.52</v>
      </c>
    </row>
    <row r="1099" spans="1:3" x14ac:dyDescent="0.25">
      <c r="A1099" s="98">
        <v>3829132208443350</v>
      </c>
      <c r="B1099">
        <v>7.34</v>
      </c>
      <c r="C1099">
        <v>6.85</v>
      </c>
    </row>
    <row r="1100" spans="1:3" x14ac:dyDescent="0.25">
      <c r="A1100" s="98">
        <v>3832622846905830</v>
      </c>
      <c r="B1100">
        <v>7.29</v>
      </c>
      <c r="C1100">
        <v>6.68</v>
      </c>
    </row>
    <row r="1101" spans="1:3" x14ac:dyDescent="0.25">
      <c r="A1101" s="98">
        <v>3836113381258860</v>
      </c>
      <c r="B1101">
        <v>7.27</v>
      </c>
      <c r="C1101">
        <v>6.79</v>
      </c>
    </row>
    <row r="1102" spans="1:3" x14ac:dyDescent="0.25">
      <c r="A1102" s="98">
        <v>3839603966524200</v>
      </c>
      <c r="B1102">
        <v>7.14</v>
      </c>
      <c r="C1102">
        <v>6.6</v>
      </c>
    </row>
    <row r="1103" spans="1:3" x14ac:dyDescent="0.25">
      <c r="A1103" s="98">
        <v>3843094544051970</v>
      </c>
      <c r="B1103">
        <v>7.28</v>
      </c>
      <c r="C1103">
        <v>6.6</v>
      </c>
    </row>
    <row r="1104" spans="1:3" x14ac:dyDescent="0.25">
      <c r="A1104" s="98">
        <v>3846585116182210</v>
      </c>
      <c r="B1104">
        <v>7.23</v>
      </c>
      <c r="C1104">
        <v>7.27</v>
      </c>
    </row>
    <row r="1105" spans="1:3" x14ac:dyDescent="0.25">
      <c r="A1105" s="98">
        <v>3850075730565520</v>
      </c>
      <c r="B1105">
        <v>7.36</v>
      </c>
      <c r="C1105">
        <v>7.3</v>
      </c>
    </row>
    <row r="1106" spans="1:3" x14ac:dyDescent="0.25">
      <c r="A1106" s="98">
        <v>3853566126028690</v>
      </c>
      <c r="B1106">
        <v>7.34</v>
      </c>
      <c r="C1106">
        <v>7.1</v>
      </c>
    </row>
    <row r="1107" spans="1:3" x14ac:dyDescent="0.25">
      <c r="A1107" s="98">
        <v>3857056546045670</v>
      </c>
      <c r="B1107">
        <v>7.2</v>
      </c>
      <c r="C1107">
        <v>7.58</v>
      </c>
    </row>
    <row r="1108" spans="1:3" x14ac:dyDescent="0.25">
      <c r="A1108" s="98">
        <v>3860547197543910</v>
      </c>
      <c r="B1108">
        <v>7.22</v>
      </c>
      <c r="C1108">
        <v>7.36</v>
      </c>
    </row>
    <row r="1109" spans="1:3" x14ac:dyDescent="0.25">
      <c r="A1109" s="98">
        <v>3864037594397860</v>
      </c>
      <c r="B1109">
        <v>7.21</v>
      </c>
      <c r="C1109">
        <v>7.62</v>
      </c>
    </row>
    <row r="1110" spans="1:3" x14ac:dyDescent="0.25">
      <c r="A1110" s="98">
        <v>3867528075051520</v>
      </c>
      <c r="B1110">
        <v>7.08</v>
      </c>
      <c r="C1110">
        <v>7.8</v>
      </c>
    </row>
    <row r="1111" spans="1:3" x14ac:dyDescent="0.25">
      <c r="A1111" s="98">
        <v>3871018526360940</v>
      </c>
      <c r="B1111">
        <v>7.12</v>
      </c>
      <c r="C1111">
        <v>7.79</v>
      </c>
    </row>
    <row r="1112" spans="1:3" x14ac:dyDescent="0.25">
      <c r="A1112" s="98">
        <v>3874509097288050</v>
      </c>
      <c r="B1112">
        <v>7.4</v>
      </c>
      <c r="C1112">
        <v>7.69</v>
      </c>
    </row>
    <row r="1113" spans="1:3" x14ac:dyDescent="0.25">
      <c r="A1113" s="98">
        <v>3877999533028510</v>
      </c>
      <c r="B1113">
        <v>7.17</v>
      </c>
      <c r="C1113">
        <v>7.58</v>
      </c>
    </row>
    <row r="1114" spans="1:3" x14ac:dyDescent="0.25">
      <c r="A1114" s="98">
        <v>3881490428138660</v>
      </c>
      <c r="B1114">
        <v>7.19</v>
      </c>
      <c r="C1114">
        <v>7.8</v>
      </c>
    </row>
    <row r="1115" spans="1:3" x14ac:dyDescent="0.25">
      <c r="A1115" s="98">
        <v>3884981006731590</v>
      </c>
      <c r="B1115">
        <v>7.2</v>
      </c>
      <c r="C1115">
        <v>7.56</v>
      </c>
    </row>
    <row r="1116" spans="1:3" x14ac:dyDescent="0.25">
      <c r="A1116" s="98">
        <v>3888471130452770</v>
      </c>
      <c r="B1116">
        <v>7.39</v>
      </c>
      <c r="C1116">
        <v>6.9</v>
      </c>
    </row>
    <row r="1117" spans="1:3" x14ac:dyDescent="0.25">
      <c r="A1117" s="98">
        <v>3891961784589070</v>
      </c>
      <c r="B1117">
        <v>7.26</v>
      </c>
      <c r="C1117">
        <v>6.74</v>
      </c>
    </row>
    <row r="1118" spans="1:3" x14ac:dyDescent="0.25">
      <c r="A1118" s="98">
        <v>3895452430524200</v>
      </c>
      <c r="B1118">
        <v>7.45</v>
      </c>
      <c r="C1118">
        <v>6.9</v>
      </c>
    </row>
    <row r="1119" spans="1:3" x14ac:dyDescent="0.25">
      <c r="A1119" s="98">
        <v>3898942964435720</v>
      </c>
      <c r="B1119">
        <v>7.18</v>
      </c>
      <c r="C1119">
        <v>6.58</v>
      </c>
    </row>
    <row r="1120" spans="1:3" x14ac:dyDescent="0.25">
      <c r="A1120" s="98">
        <v>3902433485421870</v>
      </c>
      <c r="B1120">
        <v>7.32</v>
      </c>
      <c r="C1120">
        <v>7.12</v>
      </c>
    </row>
    <row r="1121" spans="1:3" x14ac:dyDescent="0.25">
      <c r="A1121" s="98">
        <v>3905924044157620</v>
      </c>
      <c r="B1121">
        <v>7.42</v>
      </c>
      <c r="C1121">
        <v>7.87</v>
      </c>
    </row>
    <row r="1122" spans="1:3" x14ac:dyDescent="0.25">
      <c r="A1122" s="98">
        <v>3909414687896210</v>
      </c>
      <c r="B1122">
        <v>7.19</v>
      </c>
      <c r="C1122">
        <v>7.78</v>
      </c>
    </row>
    <row r="1123" spans="1:3" x14ac:dyDescent="0.25">
      <c r="A1123" s="98">
        <v>3912905053259040</v>
      </c>
      <c r="B1123">
        <v>7.09</v>
      </c>
      <c r="C1123">
        <v>7.47</v>
      </c>
    </row>
    <row r="1124" spans="1:3" x14ac:dyDescent="0.25">
      <c r="A1124" s="98">
        <v>3916395540127040</v>
      </c>
      <c r="B1124">
        <v>7.44</v>
      </c>
      <c r="C1124">
        <v>7.23</v>
      </c>
    </row>
    <row r="1125" spans="1:3" x14ac:dyDescent="0.25">
      <c r="A1125" s="98">
        <v>3919886220505940</v>
      </c>
      <c r="B1125">
        <v>7.29</v>
      </c>
      <c r="C1125">
        <v>7.37</v>
      </c>
    </row>
    <row r="1126" spans="1:3" x14ac:dyDescent="0.25">
      <c r="A1126" s="98">
        <v>3923377030028230</v>
      </c>
      <c r="B1126">
        <v>7.18</v>
      </c>
      <c r="C1126">
        <v>7</v>
      </c>
    </row>
    <row r="1127" spans="1:3" x14ac:dyDescent="0.25">
      <c r="A1127" s="98">
        <v>3926867413940250</v>
      </c>
      <c r="B1127">
        <v>7.25</v>
      </c>
      <c r="C1127">
        <v>7.62</v>
      </c>
    </row>
    <row r="1128" spans="1:3" x14ac:dyDescent="0.25">
      <c r="A1128" s="98">
        <v>3930358005999410</v>
      </c>
      <c r="B1128">
        <v>7.29</v>
      </c>
      <c r="C1128">
        <v>7.17</v>
      </c>
    </row>
    <row r="1129" spans="1:3" x14ac:dyDescent="0.25">
      <c r="A1129" s="98">
        <v>3933848457579260</v>
      </c>
      <c r="B1129">
        <v>7.19</v>
      </c>
      <c r="C1129">
        <v>6.96</v>
      </c>
    </row>
    <row r="1130" spans="1:3" x14ac:dyDescent="0.25">
      <c r="A1130" s="98">
        <v>3937339047822680</v>
      </c>
      <c r="B1130">
        <v>7.19</v>
      </c>
      <c r="C1130">
        <v>7.59</v>
      </c>
    </row>
    <row r="1131" spans="1:3" x14ac:dyDescent="0.25">
      <c r="A1131" s="98">
        <v>3940829461415600</v>
      </c>
      <c r="B1131">
        <v>7.26</v>
      </c>
      <c r="C1131">
        <v>6.97</v>
      </c>
    </row>
    <row r="1132" spans="1:3" x14ac:dyDescent="0.25">
      <c r="A1132" s="98">
        <v>3944320059672550</v>
      </c>
      <c r="B1132">
        <v>7.01</v>
      </c>
      <c r="C1132">
        <v>7</v>
      </c>
    </row>
    <row r="1133" spans="1:3" x14ac:dyDescent="0.25">
      <c r="A1133" s="98">
        <v>3947810555823420</v>
      </c>
      <c r="B1133">
        <v>7.11</v>
      </c>
      <c r="C1133">
        <v>7.86</v>
      </c>
    </row>
    <row r="1134" spans="1:3" x14ac:dyDescent="0.25">
      <c r="A1134" s="98">
        <v>3951301282473180</v>
      </c>
      <c r="B1134">
        <v>7.1</v>
      </c>
      <c r="C1134">
        <v>7.81</v>
      </c>
    </row>
    <row r="1135" spans="1:3" x14ac:dyDescent="0.25">
      <c r="A1135" s="98">
        <v>3954791942045640</v>
      </c>
      <c r="B1135">
        <v>7.14</v>
      </c>
      <c r="C1135">
        <v>7.5</v>
      </c>
    </row>
    <row r="1136" spans="1:3" x14ac:dyDescent="0.25">
      <c r="A1136" s="98">
        <v>3958282483324960</v>
      </c>
      <c r="B1136">
        <v>6.66</v>
      </c>
      <c r="C1136">
        <v>6.54</v>
      </c>
    </row>
    <row r="1137" spans="1:3" x14ac:dyDescent="0.25">
      <c r="A1137" s="98">
        <v>3961773000552690</v>
      </c>
      <c r="B1137">
        <v>6.76</v>
      </c>
      <c r="C1137">
        <v>6.73</v>
      </c>
    </row>
    <row r="1138" spans="1:3" x14ac:dyDescent="0.25">
      <c r="A1138" s="98">
        <v>3965263456525620</v>
      </c>
      <c r="B1138">
        <v>6.78</v>
      </c>
      <c r="C1138">
        <v>6.97</v>
      </c>
    </row>
    <row r="1139" spans="1:3" x14ac:dyDescent="0.25">
      <c r="A1139" s="98">
        <v>3968754044015090</v>
      </c>
      <c r="B1139">
        <v>6.77</v>
      </c>
      <c r="C1139">
        <v>7.29</v>
      </c>
    </row>
    <row r="1140" spans="1:3" x14ac:dyDescent="0.25">
      <c r="A1140" s="98">
        <v>3972244547517210</v>
      </c>
      <c r="B1140">
        <v>6.97</v>
      </c>
      <c r="C1140">
        <v>6.55</v>
      </c>
    </row>
    <row r="1141" spans="1:3" x14ac:dyDescent="0.25">
      <c r="A1141" s="98">
        <v>3975735188413540</v>
      </c>
      <c r="B1141">
        <v>7.17</v>
      </c>
      <c r="C1141">
        <v>6.57</v>
      </c>
    </row>
    <row r="1142" spans="1:3" x14ac:dyDescent="0.25">
      <c r="A1142" s="98">
        <v>3979225878737590</v>
      </c>
      <c r="B1142">
        <v>7</v>
      </c>
      <c r="C1142">
        <v>6.74</v>
      </c>
    </row>
    <row r="1143" spans="1:3" x14ac:dyDescent="0.25">
      <c r="A1143" s="98">
        <v>3982716454377880</v>
      </c>
      <c r="B1143">
        <v>6.97</v>
      </c>
      <c r="C1143">
        <v>6.6</v>
      </c>
    </row>
    <row r="1144" spans="1:3" x14ac:dyDescent="0.25">
      <c r="A1144" s="98">
        <v>3986207083463660</v>
      </c>
      <c r="B1144">
        <v>7.41</v>
      </c>
      <c r="C1144">
        <v>7.79</v>
      </c>
    </row>
    <row r="1145" spans="1:3" x14ac:dyDescent="0.25">
      <c r="A1145" s="98">
        <v>3989697709823090</v>
      </c>
      <c r="B1145">
        <v>7.39</v>
      </c>
      <c r="C1145">
        <v>7.82</v>
      </c>
    </row>
    <row r="1146" spans="1:3" x14ac:dyDescent="0.25">
      <c r="A1146" s="98">
        <v>3993188218286740</v>
      </c>
      <c r="B1146">
        <v>7.49</v>
      </c>
      <c r="C1146">
        <v>7.94</v>
      </c>
    </row>
    <row r="1147" spans="1:3" x14ac:dyDescent="0.25">
      <c r="A1147" s="98">
        <v>3996678705358940</v>
      </c>
      <c r="B1147">
        <v>7.08</v>
      </c>
      <c r="C1147">
        <v>7.57</v>
      </c>
    </row>
    <row r="1148" spans="1:3" x14ac:dyDescent="0.25">
      <c r="A1148" s="98">
        <v>4000169297914810</v>
      </c>
      <c r="B1148">
        <v>7.14</v>
      </c>
      <c r="C1148">
        <v>7.7</v>
      </c>
    </row>
    <row r="1149" spans="1:3" x14ac:dyDescent="0.25">
      <c r="A1149" s="98">
        <v>4003659791488330</v>
      </c>
      <c r="B1149">
        <v>6.92</v>
      </c>
      <c r="C1149">
        <v>7.32</v>
      </c>
    </row>
    <row r="1150" spans="1:3" x14ac:dyDescent="0.25">
      <c r="A1150" s="98">
        <v>4007150286469190</v>
      </c>
      <c r="B1150">
        <v>7.2</v>
      </c>
      <c r="C1150">
        <v>7.53</v>
      </c>
    </row>
    <row r="1151" spans="1:3" x14ac:dyDescent="0.25">
      <c r="A1151" s="98">
        <v>4010640907232400</v>
      </c>
      <c r="B1151">
        <v>6.99</v>
      </c>
      <c r="C1151">
        <v>7.28</v>
      </c>
    </row>
    <row r="1152" spans="1:3" x14ac:dyDescent="0.25">
      <c r="A1152" s="98">
        <v>4014131326007620</v>
      </c>
      <c r="B1152">
        <v>7.13</v>
      </c>
      <c r="C1152">
        <v>7.46</v>
      </c>
    </row>
    <row r="1153" spans="1:3" x14ac:dyDescent="0.25">
      <c r="A1153" s="98">
        <v>4017621889026070</v>
      </c>
      <c r="B1153">
        <v>7.27</v>
      </c>
      <c r="C1153">
        <v>7.09</v>
      </c>
    </row>
    <row r="1154" spans="1:3" x14ac:dyDescent="0.25">
      <c r="A1154" s="98">
        <v>4021112391496140</v>
      </c>
      <c r="B1154">
        <v>7.22</v>
      </c>
      <c r="C1154">
        <v>7.25</v>
      </c>
    </row>
    <row r="1155" spans="1:3" x14ac:dyDescent="0.25">
      <c r="A1155" s="98">
        <v>4024603112240630</v>
      </c>
      <c r="B1155">
        <v>6.88</v>
      </c>
      <c r="C1155">
        <v>7.24</v>
      </c>
    </row>
    <row r="1156" spans="1:3" x14ac:dyDescent="0.25">
      <c r="A1156" s="98">
        <v>4028093559471540</v>
      </c>
      <c r="B1156">
        <v>6.85</v>
      </c>
      <c r="C1156">
        <v>7.11</v>
      </c>
    </row>
    <row r="1157" spans="1:3" x14ac:dyDescent="0.25">
      <c r="A1157" s="98">
        <v>4031583982098980</v>
      </c>
      <c r="B1157">
        <v>6.79</v>
      </c>
      <c r="C1157">
        <v>7.2</v>
      </c>
    </row>
    <row r="1158" spans="1:3" x14ac:dyDescent="0.25">
      <c r="A1158" s="98">
        <v>4035074740488220</v>
      </c>
      <c r="B1158">
        <v>6.62</v>
      </c>
      <c r="C1158">
        <v>7.3</v>
      </c>
    </row>
    <row r="1159" spans="1:3" x14ac:dyDescent="0.25">
      <c r="A1159" s="98">
        <v>4038565504137010</v>
      </c>
      <c r="B1159">
        <v>6.69</v>
      </c>
      <c r="C1159">
        <v>7.08</v>
      </c>
    </row>
    <row r="1160" spans="1:3" x14ac:dyDescent="0.25">
      <c r="A1160" s="98">
        <v>4042056090257780</v>
      </c>
      <c r="B1160">
        <v>6.64</v>
      </c>
      <c r="C1160">
        <v>7.15</v>
      </c>
    </row>
    <row r="1161" spans="1:3" x14ac:dyDescent="0.25">
      <c r="A1161" s="98">
        <v>4045546709210780</v>
      </c>
      <c r="B1161">
        <v>6.66</v>
      </c>
      <c r="C1161">
        <v>6.76</v>
      </c>
    </row>
    <row r="1162" spans="1:3" x14ac:dyDescent="0.25">
      <c r="A1162" s="98">
        <v>4049037221421790</v>
      </c>
      <c r="B1162">
        <v>6.72</v>
      </c>
      <c r="C1162">
        <v>7.05</v>
      </c>
    </row>
    <row r="1163" spans="1:3" x14ac:dyDescent="0.25">
      <c r="A1163" s="98">
        <v>4052527882914850</v>
      </c>
      <c r="B1163">
        <v>6.73</v>
      </c>
      <c r="C1163">
        <v>7.09</v>
      </c>
    </row>
    <row r="1164" spans="1:3" x14ac:dyDescent="0.25">
      <c r="A1164" s="98">
        <v>4056018477098800</v>
      </c>
      <c r="B1164">
        <v>6.55</v>
      </c>
      <c r="C1164">
        <v>7.22</v>
      </c>
    </row>
    <row r="1165" spans="1:3" x14ac:dyDescent="0.25">
      <c r="A1165" s="98">
        <v>4059509445583370</v>
      </c>
      <c r="B1165">
        <v>6.75</v>
      </c>
      <c r="C1165">
        <v>6.7</v>
      </c>
    </row>
    <row r="1166" spans="1:3" x14ac:dyDescent="0.25">
      <c r="A1166" s="98">
        <v>4063000136227520</v>
      </c>
      <c r="B1166">
        <v>6.85</v>
      </c>
      <c r="C1166">
        <v>6.91</v>
      </c>
    </row>
    <row r="1167" spans="1:3" x14ac:dyDescent="0.25">
      <c r="A1167" s="98">
        <v>4066490752062310</v>
      </c>
      <c r="B1167">
        <v>6.66</v>
      </c>
      <c r="C1167">
        <v>6.73</v>
      </c>
    </row>
    <row r="1168" spans="1:3" x14ac:dyDescent="0.25">
      <c r="A1168" s="98">
        <v>4069981350987040</v>
      </c>
      <c r="B1168">
        <v>6.39</v>
      </c>
      <c r="C1168">
        <v>6.55</v>
      </c>
    </row>
    <row r="1169" spans="1:3" x14ac:dyDescent="0.25">
      <c r="A1169" s="98">
        <v>4073472057073200</v>
      </c>
      <c r="B1169">
        <v>6.67</v>
      </c>
      <c r="C1169">
        <v>6.69</v>
      </c>
    </row>
    <row r="1170" spans="1:3" x14ac:dyDescent="0.25">
      <c r="A1170" s="98">
        <v>4076962618259360</v>
      </c>
      <c r="B1170">
        <v>6.71</v>
      </c>
      <c r="C1170">
        <v>6.81</v>
      </c>
    </row>
    <row r="1171" spans="1:3" x14ac:dyDescent="0.25">
      <c r="A1171" s="98">
        <v>4080453171823860</v>
      </c>
      <c r="B1171">
        <v>6.5</v>
      </c>
      <c r="C1171">
        <v>6.69</v>
      </c>
    </row>
    <row r="1172" spans="1:3" x14ac:dyDescent="0.25">
      <c r="A1172" s="98">
        <v>4083943589958880</v>
      </c>
      <c r="B1172">
        <v>6.63</v>
      </c>
      <c r="C1172">
        <v>6.99</v>
      </c>
    </row>
    <row r="1173" spans="1:3" x14ac:dyDescent="0.25">
      <c r="A1173" s="98">
        <v>4087434164765800</v>
      </c>
      <c r="B1173">
        <v>6.61</v>
      </c>
      <c r="C1173">
        <v>6.7</v>
      </c>
    </row>
    <row r="1174" spans="1:3" x14ac:dyDescent="0.25">
      <c r="A1174" s="98">
        <v>4090924961136440</v>
      </c>
      <c r="B1174">
        <v>6.96</v>
      </c>
      <c r="C1174">
        <v>6.76</v>
      </c>
    </row>
    <row r="1175" spans="1:3" x14ac:dyDescent="0.25">
      <c r="A1175" s="98">
        <v>4094415580045290</v>
      </c>
      <c r="B1175">
        <v>6.73</v>
      </c>
      <c r="C1175">
        <v>6.71</v>
      </c>
    </row>
    <row r="1176" spans="1:3" x14ac:dyDescent="0.25">
      <c r="A1176" s="98">
        <v>4097906062211150</v>
      </c>
      <c r="B1176">
        <v>6.88</v>
      </c>
      <c r="C1176">
        <v>6.61</v>
      </c>
    </row>
    <row r="1177" spans="1:3" x14ac:dyDescent="0.25">
      <c r="A1177" s="98">
        <v>4101396726971420</v>
      </c>
      <c r="B1177">
        <v>6.98</v>
      </c>
      <c r="C1177">
        <v>6.39</v>
      </c>
    </row>
    <row r="1178" spans="1:3" x14ac:dyDescent="0.25">
      <c r="A1178" s="98">
        <v>4104887213232340</v>
      </c>
      <c r="B1178">
        <v>6.86</v>
      </c>
      <c r="C1178">
        <v>4.63</v>
      </c>
    </row>
    <row r="1179" spans="1:3" x14ac:dyDescent="0.25">
      <c r="A1179" s="98">
        <v>4108377716342600</v>
      </c>
      <c r="B1179">
        <v>7.08</v>
      </c>
      <c r="C1179">
        <v>6.66</v>
      </c>
    </row>
    <row r="1180" spans="1:3" x14ac:dyDescent="0.25">
      <c r="A1180" s="98">
        <v>4111868408338890</v>
      </c>
      <c r="B1180">
        <v>7.14</v>
      </c>
      <c r="C1180">
        <v>6.59</v>
      </c>
    </row>
    <row r="1181" spans="1:3" x14ac:dyDescent="0.25">
      <c r="A1181" s="98">
        <v>4115359050460430</v>
      </c>
      <c r="B1181">
        <v>6.94</v>
      </c>
      <c r="C1181">
        <v>6.69</v>
      </c>
    </row>
    <row r="1182" spans="1:3" x14ac:dyDescent="0.25">
      <c r="A1182" s="98">
        <v>4118849326598420</v>
      </c>
      <c r="B1182">
        <v>7</v>
      </c>
      <c r="C1182">
        <v>6.8</v>
      </c>
    </row>
    <row r="1183" spans="1:3" x14ac:dyDescent="0.25">
      <c r="A1183" s="98">
        <v>4122339957135690</v>
      </c>
      <c r="B1183">
        <v>6.83</v>
      </c>
      <c r="C1183">
        <v>6.69</v>
      </c>
    </row>
    <row r="1184" spans="1:3" x14ac:dyDescent="0.25">
      <c r="A1184" s="98">
        <v>4125830645991690</v>
      </c>
      <c r="B1184">
        <v>6.7</v>
      </c>
      <c r="C1184">
        <v>6.69</v>
      </c>
    </row>
    <row r="1185" spans="1:3" x14ac:dyDescent="0.25">
      <c r="A1185" s="98">
        <v>4129321305801470</v>
      </c>
      <c r="B1185">
        <v>6.9</v>
      </c>
      <c r="C1185">
        <v>6.53</v>
      </c>
    </row>
    <row r="1186" spans="1:3" x14ac:dyDescent="0.25">
      <c r="A1186" s="98">
        <v>4132811918324890</v>
      </c>
      <c r="B1186">
        <v>6.88</v>
      </c>
      <c r="C1186">
        <v>6.42</v>
      </c>
    </row>
    <row r="1187" spans="1:3" x14ac:dyDescent="0.25">
      <c r="A1187" s="98">
        <v>4136302277727260</v>
      </c>
      <c r="B1187">
        <v>6.99</v>
      </c>
      <c r="C1187">
        <v>6.33</v>
      </c>
    </row>
    <row r="1188" spans="1:3" x14ac:dyDescent="0.25">
      <c r="A1188" s="98">
        <v>4139792793343460</v>
      </c>
      <c r="B1188">
        <v>6.83</v>
      </c>
      <c r="C1188">
        <v>6.8</v>
      </c>
    </row>
    <row r="1189" spans="1:3" x14ac:dyDescent="0.25">
      <c r="A1189" s="98">
        <v>4143283419896050</v>
      </c>
      <c r="B1189">
        <v>6.83</v>
      </c>
      <c r="C1189">
        <v>6.95</v>
      </c>
    </row>
    <row r="1190" spans="1:3" x14ac:dyDescent="0.25">
      <c r="A1190" s="98">
        <v>4146773899164460</v>
      </c>
      <c r="B1190">
        <v>6.89</v>
      </c>
      <c r="C1190">
        <v>6.55</v>
      </c>
    </row>
    <row r="1191" spans="1:3" x14ac:dyDescent="0.25">
      <c r="A1191" s="98">
        <v>4150264532218370</v>
      </c>
      <c r="B1191">
        <v>6.79</v>
      </c>
      <c r="C1191">
        <v>6.35</v>
      </c>
    </row>
    <row r="1192" spans="1:3" x14ac:dyDescent="0.25">
      <c r="A1192" s="98">
        <v>4153754871741480</v>
      </c>
      <c r="B1192">
        <v>6.95</v>
      </c>
      <c r="C1192">
        <v>6.58</v>
      </c>
    </row>
    <row r="1193" spans="1:3" x14ac:dyDescent="0.25">
      <c r="A1193" s="98">
        <v>4157245530265340</v>
      </c>
      <c r="B1193">
        <v>6.8</v>
      </c>
      <c r="C1193">
        <v>6.69</v>
      </c>
    </row>
    <row r="1194" spans="1:3" x14ac:dyDescent="0.25">
      <c r="A1194" s="98">
        <v>4160736203259890</v>
      </c>
      <c r="B1194">
        <v>7.03</v>
      </c>
      <c r="C1194">
        <v>6.8</v>
      </c>
    </row>
    <row r="1195" spans="1:3" x14ac:dyDescent="0.25">
      <c r="A1195" s="98">
        <v>4164226967074250</v>
      </c>
      <c r="B1195">
        <v>6.79</v>
      </c>
      <c r="C1195">
        <v>6.54</v>
      </c>
    </row>
    <row r="1196" spans="1:3" x14ac:dyDescent="0.25">
      <c r="A1196" s="98">
        <v>4167717519601180</v>
      </c>
      <c r="B1196">
        <v>6.88</v>
      </c>
      <c r="C1196">
        <v>6.05</v>
      </c>
    </row>
    <row r="1197" spans="1:3" x14ac:dyDescent="0.25">
      <c r="A1197" s="98">
        <v>4171208123658540</v>
      </c>
      <c r="B1197">
        <v>6.8</v>
      </c>
      <c r="C1197">
        <v>6.21</v>
      </c>
    </row>
    <row r="1198" spans="1:3" x14ac:dyDescent="0.25">
      <c r="A1198" s="98">
        <v>4174698851677000</v>
      </c>
      <c r="B1198">
        <v>6.76</v>
      </c>
      <c r="C1198">
        <v>6.71</v>
      </c>
    </row>
    <row r="1199" spans="1:3" x14ac:dyDescent="0.25">
      <c r="A1199" s="98">
        <v>4178189418702210</v>
      </c>
      <c r="B1199">
        <v>6.57</v>
      </c>
      <c r="C1199">
        <v>6.53</v>
      </c>
    </row>
    <row r="1200" spans="1:3" x14ac:dyDescent="0.25">
      <c r="A1200" s="98">
        <v>4181680019933860</v>
      </c>
      <c r="B1200">
        <v>6.56</v>
      </c>
      <c r="C1200">
        <v>6.13</v>
      </c>
    </row>
    <row r="1201" spans="1:3" x14ac:dyDescent="0.25">
      <c r="A1201" s="98">
        <v>4185170573073400</v>
      </c>
      <c r="B1201">
        <v>6.59</v>
      </c>
      <c r="C1201">
        <v>6.45</v>
      </c>
    </row>
    <row r="1202" spans="1:3" x14ac:dyDescent="0.25">
      <c r="A1202" s="98">
        <v>4188661130451490</v>
      </c>
      <c r="B1202">
        <v>6.46</v>
      </c>
      <c r="C1202">
        <v>6.25</v>
      </c>
    </row>
    <row r="1203" spans="1:3" x14ac:dyDescent="0.25">
      <c r="A1203" s="98">
        <v>4192151834617050</v>
      </c>
      <c r="B1203">
        <v>6.46</v>
      </c>
      <c r="C1203">
        <v>6.7</v>
      </c>
    </row>
    <row r="1204" spans="1:3" x14ac:dyDescent="0.25">
      <c r="A1204" s="98">
        <v>4195642585163860</v>
      </c>
      <c r="B1204">
        <v>6.67</v>
      </c>
      <c r="C1204">
        <v>6.37</v>
      </c>
    </row>
    <row r="1205" spans="1:3" x14ac:dyDescent="0.25">
      <c r="A1205" s="98">
        <v>4199132998972020</v>
      </c>
      <c r="B1205">
        <v>6.42</v>
      </c>
      <c r="C1205">
        <v>5.7</v>
      </c>
    </row>
    <row r="1206" spans="1:3" x14ac:dyDescent="0.25">
      <c r="A1206" s="98">
        <v>4202623607858460</v>
      </c>
      <c r="B1206">
        <v>6.6</v>
      </c>
      <c r="C1206">
        <v>6.42</v>
      </c>
    </row>
    <row r="1207" spans="1:3" x14ac:dyDescent="0.25">
      <c r="A1207" s="98">
        <v>4206114268435370</v>
      </c>
      <c r="B1207">
        <v>6.73</v>
      </c>
      <c r="C1207">
        <v>5.89</v>
      </c>
    </row>
    <row r="1208" spans="1:3" x14ac:dyDescent="0.25">
      <c r="A1208" s="98">
        <v>4209604913757900</v>
      </c>
      <c r="B1208">
        <v>6.72</v>
      </c>
      <c r="C1208">
        <v>6.31</v>
      </c>
    </row>
    <row r="1209" spans="1:3" x14ac:dyDescent="0.25">
      <c r="A1209" s="98">
        <v>4213095440042240</v>
      </c>
      <c r="B1209">
        <v>6.33</v>
      </c>
      <c r="C1209">
        <v>6.7</v>
      </c>
    </row>
    <row r="1210" spans="1:3" x14ac:dyDescent="0.25">
      <c r="A1210" s="98">
        <v>4216585871102630</v>
      </c>
      <c r="B1210">
        <v>6.61</v>
      </c>
      <c r="C1210">
        <v>6.2</v>
      </c>
    </row>
    <row r="1211" spans="1:3" x14ac:dyDescent="0.25">
      <c r="A1211" s="98">
        <v>4220076280815730</v>
      </c>
      <c r="B1211">
        <v>6.3</v>
      </c>
      <c r="C1211">
        <v>5.76</v>
      </c>
    </row>
    <row r="1212" spans="1:3" x14ac:dyDescent="0.25">
      <c r="A1212" s="98">
        <v>4223566562991450</v>
      </c>
      <c r="B1212">
        <v>6.31</v>
      </c>
      <c r="C1212">
        <v>4.58</v>
      </c>
    </row>
    <row r="1213" spans="1:3" x14ac:dyDescent="0.25">
      <c r="A1213" s="98">
        <v>4227057153130010</v>
      </c>
      <c r="B1213">
        <v>6.35</v>
      </c>
      <c r="C1213">
        <v>5.12</v>
      </c>
    </row>
    <row r="1214" spans="1:3" x14ac:dyDescent="0.25">
      <c r="A1214" s="98">
        <v>4230547695303400</v>
      </c>
      <c r="B1214">
        <v>5.99</v>
      </c>
      <c r="C1214">
        <v>7.07</v>
      </c>
    </row>
    <row r="1215" spans="1:3" x14ac:dyDescent="0.25">
      <c r="A1215" s="98">
        <v>4234038386433210</v>
      </c>
      <c r="B1215">
        <v>6.15</v>
      </c>
      <c r="C1215">
        <v>6.49</v>
      </c>
    </row>
    <row r="1216" spans="1:3" x14ac:dyDescent="0.25">
      <c r="A1216" s="98">
        <v>4237528895183840</v>
      </c>
      <c r="B1216">
        <v>6.11</v>
      </c>
      <c r="C1216">
        <v>5.62</v>
      </c>
    </row>
    <row r="1217" spans="1:3" x14ac:dyDescent="0.25">
      <c r="A1217" s="98">
        <v>4241019307325280</v>
      </c>
      <c r="B1217">
        <v>5.89</v>
      </c>
      <c r="C1217">
        <v>6.28</v>
      </c>
    </row>
    <row r="1218" spans="1:3" x14ac:dyDescent="0.25">
      <c r="A1218" s="98">
        <v>4244509948194020</v>
      </c>
      <c r="B1218">
        <v>5.49</v>
      </c>
      <c r="C1218">
        <v>6.86</v>
      </c>
    </row>
    <row r="1219" spans="1:3" x14ac:dyDescent="0.25">
      <c r="A1219" s="98">
        <v>4248000479787580</v>
      </c>
      <c r="B1219">
        <v>5.61</v>
      </c>
      <c r="C1219">
        <v>6.19</v>
      </c>
    </row>
    <row r="1220" spans="1:3" x14ac:dyDescent="0.25">
      <c r="A1220" s="98">
        <v>4251491075803830</v>
      </c>
      <c r="B1220">
        <v>5.99</v>
      </c>
      <c r="C1220">
        <v>7.38</v>
      </c>
    </row>
    <row r="1221" spans="1:3" x14ac:dyDescent="0.25">
      <c r="A1221" s="98">
        <v>4254981780913140</v>
      </c>
      <c r="B1221">
        <v>5.95</v>
      </c>
      <c r="C1221">
        <v>5.5</v>
      </c>
    </row>
    <row r="1222" spans="1:3" x14ac:dyDescent="0.25">
      <c r="A1222" s="98">
        <v>4258472464332970</v>
      </c>
      <c r="B1222">
        <v>5.84</v>
      </c>
      <c r="C1222">
        <v>6.64</v>
      </c>
    </row>
    <row r="1223" spans="1:3" x14ac:dyDescent="0.25">
      <c r="A1223" s="98">
        <v>4261962956394310</v>
      </c>
      <c r="B1223">
        <v>5.98</v>
      </c>
      <c r="C1223">
        <v>7.09</v>
      </c>
    </row>
    <row r="1224" spans="1:3" x14ac:dyDescent="0.25">
      <c r="A1224" s="98">
        <v>4265453423051920</v>
      </c>
      <c r="B1224">
        <v>5.91</v>
      </c>
      <c r="C1224">
        <v>7.05</v>
      </c>
    </row>
    <row r="1225" spans="1:3" x14ac:dyDescent="0.25">
      <c r="A1225" s="98">
        <v>4268944062099410</v>
      </c>
      <c r="B1225">
        <v>5.87</v>
      </c>
      <c r="C1225">
        <v>6.24</v>
      </c>
    </row>
    <row r="1226" spans="1:3" x14ac:dyDescent="0.25">
      <c r="A1226" s="98">
        <v>4272434623285570</v>
      </c>
      <c r="B1226">
        <v>6.05</v>
      </c>
      <c r="C1226">
        <v>6.89</v>
      </c>
    </row>
    <row r="1227" spans="1:3" x14ac:dyDescent="0.25">
      <c r="A1227" s="98">
        <v>4275925225350590</v>
      </c>
      <c r="B1227">
        <v>6.01</v>
      </c>
      <c r="C1227">
        <v>6.78</v>
      </c>
    </row>
    <row r="1228" spans="1:3" x14ac:dyDescent="0.25">
      <c r="A1228" s="98">
        <v>4279415727732350</v>
      </c>
      <c r="B1228">
        <v>6.09</v>
      </c>
      <c r="C1228">
        <v>6.83</v>
      </c>
    </row>
    <row r="1229" spans="1:3" x14ac:dyDescent="0.25">
      <c r="A1229" s="98">
        <v>4282906296037960</v>
      </c>
      <c r="B1229">
        <v>6.3</v>
      </c>
      <c r="C1229">
        <v>6.17</v>
      </c>
    </row>
    <row r="1230" spans="1:3" x14ac:dyDescent="0.25">
      <c r="A1230" s="98">
        <v>4286396791675570</v>
      </c>
      <c r="B1230">
        <v>6.07</v>
      </c>
      <c r="C1230">
        <v>5.37</v>
      </c>
    </row>
    <row r="1231" spans="1:3" x14ac:dyDescent="0.25">
      <c r="A1231" s="98">
        <v>4289887440949670</v>
      </c>
      <c r="B1231">
        <v>6.21</v>
      </c>
      <c r="C1231">
        <v>4.74</v>
      </c>
    </row>
    <row r="1232" spans="1:3" x14ac:dyDescent="0.25">
      <c r="A1232" s="98">
        <v>4293377972394220</v>
      </c>
      <c r="B1232">
        <v>6.13</v>
      </c>
      <c r="C1232">
        <v>6.72</v>
      </c>
    </row>
    <row r="1233" spans="1:3" x14ac:dyDescent="0.25">
      <c r="A1233" s="98">
        <v>4296868382267370</v>
      </c>
      <c r="B1233">
        <v>6.15</v>
      </c>
      <c r="C1233">
        <v>6.82</v>
      </c>
    </row>
    <row r="1234" spans="1:3" x14ac:dyDescent="0.25">
      <c r="A1234" s="98">
        <v>4300359047463640</v>
      </c>
      <c r="B1234">
        <v>6.2</v>
      </c>
      <c r="C1234">
        <v>7</v>
      </c>
    </row>
    <row r="1235" spans="1:3" x14ac:dyDescent="0.25">
      <c r="A1235" s="98">
        <v>4303849657084100</v>
      </c>
      <c r="B1235">
        <v>6.11</v>
      </c>
      <c r="C1235">
        <v>6.15</v>
      </c>
    </row>
    <row r="1236" spans="1:3" x14ac:dyDescent="0.25">
      <c r="A1236" s="98">
        <v>4307340123951430</v>
      </c>
      <c r="B1236">
        <v>6.15</v>
      </c>
      <c r="C1236">
        <v>6.03</v>
      </c>
    </row>
    <row r="1237" spans="1:3" x14ac:dyDescent="0.25">
      <c r="A1237" s="98">
        <v>4310830767287140</v>
      </c>
      <c r="B1237">
        <v>6.2</v>
      </c>
      <c r="C1237">
        <v>6.3</v>
      </c>
    </row>
    <row r="1238" spans="1:3" x14ac:dyDescent="0.25">
      <c r="A1238" s="98">
        <v>4314321340896460</v>
      </c>
      <c r="B1238">
        <v>5.92</v>
      </c>
      <c r="C1238">
        <v>6.23</v>
      </c>
    </row>
    <row r="1239" spans="1:3" x14ac:dyDescent="0.25">
      <c r="A1239" s="98">
        <v>4317811895542670</v>
      </c>
      <c r="B1239">
        <v>6.06</v>
      </c>
      <c r="C1239">
        <v>6.95</v>
      </c>
    </row>
    <row r="1240" spans="1:3" x14ac:dyDescent="0.25">
      <c r="A1240" s="98">
        <v>4321302547774930</v>
      </c>
      <c r="B1240">
        <v>5.99</v>
      </c>
      <c r="C1240">
        <v>7.42</v>
      </c>
    </row>
    <row r="1241" spans="1:3" x14ac:dyDescent="0.25">
      <c r="A1241" s="98">
        <v>4324793088016680</v>
      </c>
      <c r="B1241">
        <v>5.95</v>
      </c>
      <c r="C1241">
        <v>6.32</v>
      </c>
    </row>
    <row r="1242" spans="1:3" x14ac:dyDescent="0.25">
      <c r="A1242" s="98">
        <v>4328283625609340</v>
      </c>
      <c r="B1242">
        <v>6.04</v>
      </c>
      <c r="C1242">
        <v>7.04</v>
      </c>
    </row>
    <row r="1243" spans="1:3" x14ac:dyDescent="0.25">
      <c r="A1243" s="98">
        <v>4331774051156300</v>
      </c>
      <c r="B1243">
        <v>6.1</v>
      </c>
      <c r="C1243">
        <v>7.01</v>
      </c>
    </row>
    <row r="1244" spans="1:3" x14ac:dyDescent="0.25">
      <c r="A1244" s="98">
        <v>4335264646361270</v>
      </c>
      <c r="B1244">
        <v>6.05</v>
      </c>
      <c r="C1244">
        <v>6.95</v>
      </c>
    </row>
    <row r="1245" spans="1:3" x14ac:dyDescent="0.25">
      <c r="A1245" s="98">
        <v>4338755201691830</v>
      </c>
      <c r="B1245">
        <v>5.94</v>
      </c>
      <c r="C1245">
        <v>6.83</v>
      </c>
    </row>
    <row r="1246" spans="1:3" x14ac:dyDescent="0.25">
      <c r="A1246" s="98">
        <v>4342245790136080</v>
      </c>
      <c r="B1246">
        <v>6.15</v>
      </c>
      <c r="C1246">
        <v>7.15</v>
      </c>
    </row>
    <row r="1247" spans="1:3" x14ac:dyDescent="0.25">
      <c r="A1247" s="98">
        <v>4345736324362180</v>
      </c>
      <c r="B1247">
        <v>6.19</v>
      </c>
      <c r="C1247">
        <v>6.7</v>
      </c>
    </row>
    <row r="1248" spans="1:3" x14ac:dyDescent="0.25">
      <c r="A1248" s="98">
        <v>4349226852832010</v>
      </c>
      <c r="B1248">
        <v>6.26</v>
      </c>
      <c r="C1248">
        <v>7.24</v>
      </c>
    </row>
    <row r="1249" spans="1:3" x14ac:dyDescent="0.25">
      <c r="A1249" s="98">
        <v>4352717486934520</v>
      </c>
      <c r="B1249">
        <v>6.14</v>
      </c>
      <c r="C1249">
        <v>7.4</v>
      </c>
    </row>
    <row r="1250" spans="1:3" x14ac:dyDescent="0.25">
      <c r="A1250" s="98">
        <v>4356208082917660</v>
      </c>
      <c r="B1250">
        <v>6.41</v>
      </c>
      <c r="C1250">
        <v>5.28</v>
      </c>
    </row>
    <row r="1251" spans="1:3" x14ac:dyDescent="0.25">
      <c r="A1251" s="98">
        <v>4359698549084080</v>
      </c>
      <c r="B1251">
        <v>6.1</v>
      </c>
      <c r="C1251">
        <v>5.3</v>
      </c>
    </row>
    <row r="1252" spans="1:3" x14ac:dyDescent="0.25">
      <c r="A1252" s="98">
        <v>4363188985933860</v>
      </c>
      <c r="B1252">
        <v>6.24</v>
      </c>
      <c r="C1252">
        <v>4.96</v>
      </c>
    </row>
    <row r="1253" spans="1:3" x14ac:dyDescent="0.25">
      <c r="A1253" s="98">
        <v>4366679569173740</v>
      </c>
      <c r="B1253">
        <v>6.34</v>
      </c>
      <c r="C1253">
        <v>5.0599999999999996</v>
      </c>
    </row>
    <row r="1254" spans="1:3" x14ac:dyDescent="0.25">
      <c r="A1254" s="98">
        <v>4370170063210850</v>
      </c>
      <c r="B1254">
        <v>6.08</v>
      </c>
      <c r="C1254">
        <v>4.97</v>
      </c>
    </row>
    <row r="1255" spans="1:3" x14ac:dyDescent="0.25">
      <c r="A1255" s="98">
        <v>4373660441278300</v>
      </c>
      <c r="B1255">
        <v>6.4</v>
      </c>
      <c r="C1255">
        <v>4.95</v>
      </c>
    </row>
    <row r="1256" spans="1:3" x14ac:dyDescent="0.25">
      <c r="A1256" s="98">
        <v>4377150926794160</v>
      </c>
      <c r="B1256">
        <v>6.38</v>
      </c>
      <c r="C1256">
        <v>5.14</v>
      </c>
    </row>
    <row r="1257" spans="1:3" x14ac:dyDescent="0.25">
      <c r="A1257" s="98">
        <v>4380641444413750</v>
      </c>
      <c r="B1257">
        <v>6.38</v>
      </c>
      <c r="C1257">
        <v>5.45</v>
      </c>
    </row>
    <row r="1258" spans="1:3" x14ac:dyDescent="0.25">
      <c r="A1258" s="98">
        <v>4384131933213380</v>
      </c>
      <c r="B1258">
        <v>6.15</v>
      </c>
      <c r="C1258">
        <v>5.01</v>
      </c>
    </row>
    <row r="1259" spans="1:3" x14ac:dyDescent="0.25">
      <c r="A1259" s="98">
        <v>4387622351348400</v>
      </c>
      <c r="B1259">
        <v>6.17</v>
      </c>
      <c r="C1259">
        <v>5.33</v>
      </c>
    </row>
    <row r="1260" spans="1:3" x14ac:dyDescent="0.25">
      <c r="A1260" s="98">
        <v>4391112989407990</v>
      </c>
      <c r="B1260">
        <v>5.95</v>
      </c>
      <c r="C1260">
        <v>5.1100000000000003</v>
      </c>
    </row>
    <row r="1261" spans="1:3" x14ac:dyDescent="0.25">
      <c r="A1261" s="98">
        <v>4394603454277470</v>
      </c>
      <c r="B1261">
        <v>6.11</v>
      </c>
      <c r="C1261">
        <v>4.95</v>
      </c>
    </row>
    <row r="1262" spans="1:3" x14ac:dyDescent="0.25">
      <c r="A1262" s="98">
        <v>4398094094627430</v>
      </c>
      <c r="B1262">
        <v>6.29</v>
      </c>
      <c r="C1262">
        <v>5.18</v>
      </c>
    </row>
    <row r="1263" spans="1:3" x14ac:dyDescent="0.25">
      <c r="A1263" s="98">
        <v>4401584603405660</v>
      </c>
      <c r="B1263">
        <v>6.11</v>
      </c>
      <c r="C1263">
        <v>5.24</v>
      </c>
    </row>
    <row r="1264" spans="1:3" x14ac:dyDescent="0.25">
      <c r="A1264" s="98">
        <v>4405075170999320</v>
      </c>
      <c r="B1264">
        <v>6.01</v>
      </c>
      <c r="C1264">
        <v>5.17</v>
      </c>
    </row>
    <row r="1265" spans="1:3" x14ac:dyDescent="0.25">
      <c r="A1265" s="98">
        <v>4408565789063770</v>
      </c>
      <c r="B1265">
        <v>6.23</v>
      </c>
      <c r="C1265">
        <v>5.37</v>
      </c>
    </row>
    <row r="1266" spans="1:3" x14ac:dyDescent="0.25">
      <c r="A1266" s="98">
        <v>4412056391487510</v>
      </c>
      <c r="B1266">
        <v>6.29</v>
      </c>
      <c r="C1266">
        <v>5.82</v>
      </c>
    </row>
    <row r="1267" spans="1:3" x14ac:dyDescent="0.25">
      <c r="A1267" s="98">
        <v>4415547111685620</v>
      </c>
      <c r="B1267">
        <v>6.41</v>
      </c>
      <c r="C1267">
        <v>5.66</v>
      </c>
    </row>
    <row r="1268" spans="1:3" x14ac:dyDescent="0.25">
      <c r="A1268" s="98">
        <v>4419037716637050</v>
      </c>
      <c r="B1268">
        <v>6.28</v>
      </c>
      <c r="C1268">
        <v>6.18</v>
      </c>
    </row>
    <row r="1269" spans="1:3" x14ac:dyDescent="0.25">
      <c r="A1269" s="98">
        <v>4422528459181380</v>
      </c>
      <c r="B1269">
        <v>6.08</v>
      </c>
      <c r="C1269">
        <v>6.55</v>
      </c>
    </row>
    <row r="1270" spans="1:3" x14ac:dyDescent="0.25">
      <c r="A1270" s="98">
        <v>4426019147590350</v>
      </c>
      <c r="B1270">
        <v>6.09</v>
      </c>
      <c r="C1270">
        <v>5.56</v>
      </c>
    </row>
    <row r="1271" spans="1:3" x14ac:dyDescent="0.25">
      <c r="A1271" s="98">
        <v>4429509765329180</v>
      </c>
      <c r="B1271">
        <v>6.28</v>
      </c>
      <c r="C1271">
        <v>5.99</v>
      </c>
    </row>
    <row r="1272" spans="1:3" x14ac:dyDescent="0.25">
      <c r="A1272" s="98">
        <v>4433000366886450</v>
      </c>
      <c r="B1272">
        <v>6.08</v>
      </c>
      <c r="C1272">
        <v>5.96</v>
      </c>
    </row>
    <row r="1273" spans="1:3" x14ac:dyDescent="0.25">
      <c r="A1273" s="98">
        <v>4436490919258850</v>
      </c>
      <c r="B1273">
        <v>6.1</v>
      </c>
      <c r="C1273">
        <v>6.32</v>
      </c>
    </row>
    <row r="1274" spans="1:3" x14ac:dyDescent="0.25">
      <c r="A1274" s="98">
        <v>4439981791879290</v>
      </c>
      <c r="B1274">
        <v>5.96</v>
      </c>
      <c r="C1274">
        <v>6.1</v>
      </c>
    </row>
    <row r="1275" spans="1:3" x14ac:dyDescent="0.25">
      <c r="A1275" s="98">
        <v>4443472407333270</v>
      </c>
      <c r="B1275">
        <v>5.9</v>
      </c>
      <c r="C1275">
        <v>6.94</v>
      </c>
    </row>
    <row r="1276" spans="1:3" x14ac:dyDescent="0.25">
      <c r="A1276" s="98">
        <v>4446962990269610</v>
      </c>
      <c r="B1276">
        <v>5.96</v>
      </c>
      <c r="C1276">
        <v>5.84</v>
      </c>
    </row>
    <row r="1277" spans="1:3" x14ac:dyDescent="0.25">
      <c r="A1277" s="98">
        <v>4450453871825220</v>
      </c>
      <c r="B1277">
        <v>6.12</v>
      </c>
      <c r="C1277">
        <v>5.7</v>
      </c>
    </row>
    <row r="1278" spans="1:3" x14ac:dyDescent="0.25">
      <c r="A1278" s="98">
        <v>4453944415996470</v>
      </c>
      <c r="B1278">
        <v>5.87</v>
      </c>
      <c r="C1278">
        <v>5.72</v>
      </c>
    </row>
    <row r="1279" spans="1:3" x14ac:dyDescent="0.25">
      <c r="A1279" s="98">
        <v>4457434992083790</v>
      </c>
      <c r="B1279">
        <v>6</v>
      </c>
      <c r="C1279">
        <v>5.84</v>
      </c>
    </row>
    <row r="1280" spans="1:3" x14ac:dyDescent="0.25">
      <c r="A1280" s="98">
        <v>4460925579153820</v>
      </c>
      <c r="B1280">
        <v>5.9</v>
      </c>
      <c r="C1280">
        <v>6.03</v>
      </c>
    </row>
    <row r="1281" spans="1:3" x14ac:dyDescent="0.25">
      <c r="A1281" s="98">
        <v>4464416291338420</v>
      </c>
      <c r="B1281">
        <v>5.47</v>
      </c>
      <c r="C1281">
        <v>6.19</v>
      </c>
    </row>
    <row r="1282" spans="1:3" x14ac:dyDescent="0.25">
      <c r="A1282" s="98">
        <v>4467906900329720</v>
      </c>
      <c r="B1282">
        <v>5.55</v>
      </c>
      <c r="C1282">
        <v>5.68</v>
      </c>
    </row>
    <row r="1283" spans="1:3" x14ac:dyDescent="0.25">
      <c r="A1283" s="98">
        <v>4471397503868290</v>
      </c>
      <c r="B1283">
        <v>5.98</v>
      </c>
      <c r="C1283">
        <v>5.94</v>
      </c>
    </row>
    <row r="1284" spans="1:3" x14ac:dyDescent="0.25">
      <c r="A1284" s="98">
        <v>4474888127953910</v>
      </c>
      <c r="B1284">
        <v>6.02</v>
      </c>
      <c r="C1284">
        <v>5.86</v>
      </c>
    </row>
    <row r="1285" spans="1:3" x14ac:dyDescent="0.25">
      <c r="A1285" s="98">
        <v>4478378610130810</v>
      </c>
      <c r="B1285">
        <v>5.95</v>
      </c>
      <c r="C1285">
        <v>6.13</v>
      </c>
    </row>
    <row r="1286" spans="1:3" x14ac:dyDescent="0.25">
      <c r="A1286" s="98">
        <v>4481869203255130</v>
      </c>
      <c r="B1286">
        <v>5.95</v>
      </c>
      <c r="C1286">
        <v>5.97</v>
      </c>
    </row>
    <row r="1287" spans="1:3" x14ac:dyDescent="0.25">
      <c r="A1287" s="98">
        <v>4485359791313050</v>
      </c>
      <c r="B1287">
        <v>5.87</v>
      </c>
      <c r="C1287">
        <v>6.07</v>
      </c>
    </row>
    <row r="1288" spans="1:3" x14ac:dyDescent="0.25">
      <c r="A1288" s="98">
        <v>4488850287314910</v>
      </c>
      <c r="B1288">
        <v>5.99</v>
      </c>
      <c r="C1288">
        <v>6.14</v>
      </c>
    </row>
    <row r="1289" spans="1:3" x14ac:dyDescent="0.25">
      <c r="A1289" s="98">
        <v>4492341025377860</v>
      </c>
      <c r="B1289">
        <v>6.05</v>
      </c>
      <c r="C1289">
        <v>6.35</v>
      </c>
    </row>
    <row r="1290" spans="1:3" x14ac:dyDescent="0.25">
      <c r="A1290" s="98">
        <v>4495831558820270</v>
      </c>
      <c r="B1290">
        <v>6.17</v>
      </c>
      <c r="C1290">
        <v>6.03</v>
      </c>
    </row>
    <row r="1291" spans="1:3" x14ac:dyDescent="0.25">
      <c r="A1291" s="98">
        <v>4499322226731860</v>
      </c>
      <c r="B1291">
        <v>5.98</v>
      </c>
      <c r="C1291">
        <v>5.96</v>
      </c>
    </row>
    <row r="1292" spans="1:3" x14ac:dyDescent="0.25">
      <c r="A1292" s="98">
        <v>4502812707109580</v>
      </c>
      <c r="B1292">
        <v>6.15</v>
      </c>
      <c r="C1292">
        <v>5.8</v>
      </c>
    </row>
    <row r="1293" spans="1:3" x14ac:dyDescent="0.25">
      <c r="A1293" s="98">
        <v>4506303246070940</v>
      </c>
      <c r="B1293">
        <v>6.07</v>
      </c>
      <c r="C1293">
        <v>5.98</v>
      </c>
    </row>
    <row r="1294" spans="1:3" x14ac:dyDescent="0.25">
      <c r="A1294" s="98">
        <v>4509793947935100</v>
      </c>
      <c r="B1294">
        <v>6.08</v>
      </c>
      <c r="C1294">
        <v>5.74</v>
      </c>
    </row>
    <row r="1295" spans="1:3" x14ac:dyDescent="0.25">
      <c r="A1295" s="98">
        <v>4513284445785810</v>
      </c>
      <c r="B1295">
        <v>6.16</v>
      </c>
      <c r="C1295">
        <v>5.87</v>
      </c>
    </row>
    <row r="1296" spans="1:3" x14ac:dyDescent="0.25">
      <c r="A1296" s="98">
        <v>4516775100926550</v>
      </c>
      <c r="B1296">
        <v>6.03</v>
      </c>
      <c r="C1296">
        <v>5.93</v>
      </c>
    </row>
    <row r="1297" spans="1:3" x14ac:dyDescent="0.25">
      <c r="A1297" s="98">
        <v>4520265404195690</v>
      </c>
      <c r="B1297">
        <v>6.11</v>
      </c>
      <c r="C1297">
        <v>5.82</v>
      </c>
    </row>
    <row r="1298" spans="1:3" x14ac:dyDescent="0.25">
      <c r="A1298" s="98">
        <v>4523755702812360</v>
      </c>
      <c r="B1298">
        <v>6.04</v>
      </c>
      <c r="C1298">
        <v>6</v>
      </c>
    </row>
    <row r="1299" spans="1:3" x14ac:dyDescent="0.25">
      <c r="A1299" s="98">
        <v>4527246065222550</v>
      </c>
      <c r="B1299">
        <v>6.08</v>
      </c>
      <c r="C1299">
        <v>6.13</v>
      </c>
    </row>
    <row r="1300" spans="1:3" x14ac:dyDescent="0.25">
      <c r="A1300" s="98">
        <v>4530736425822530</v>
      </c>
      <c r="B1300">
        <v>6.11</v>
      </c>
      <c r="C1300">
        <v>6.16</v>
      </c>
    </row>
    <row r="1301" spans="1:3" x14ac:dyDescent="0.25">
      <c r="A1301" s="98">
        <v>4534227002952930</v>
      </c>
      <c r="B1301">
        <v>6.19</v>
      </c>
      <c r="C1301">
        <v>6.11</v>
      </c>
    </row>
    <row r="1302" spans="1:3" x14ac:dyDescent="0.25">
      <c r="A1302" s="98">
        <v>4537717611905600</v>
      </c>
      <c r="B1302">
        <v>6.28</v>
      </c>
      <c r="C1302">
        <v>6.15</v>
      </c>
    </row>
    <row r="1303" spans="1:3" x14ac:dyDescent="0.25">
      <c r="A1303" s="98">
        <v>4541208265009850</v>
      </c>
      <c r="B1303">
        <v>6.61</v>
      </c>
      <c r="C1303">
        <v>5.98</v>
      </c>
    </row>
    <row r="1304" spans="1:3" x14ac:dyDescent="0.25">
      <c r="A1304" s="98">
        <v>4544699015821570</v>
      </c>
      <c r="B1304">
        <v>6.31</v>
      </c>
      <c r="C1304">
        <v>5.94</v>
      </c>
    </row>
    <row r="1305" spans="1:3" x14ac:dyDescent="0.25">
      <c r="A1305" s="98">
        <v>4548189565914640</v>
      </c>
      <c r="B1305">
        <v>6.44</v>
      </c>
      <c r="C1305">
        <v>6.07</v>
      </c>
    </row>
    <row r="1306" spans="1:3" x14ac:dyDescent="0.25">
      <c r="A1306" s="98">
        <v>4551680247259360</v>
      </c>
      <c r="B1306">
        <v>6.35</v>
      </c>
      <c r="C1306">
        <v>6.07</v>
      </c>
    </row>
    <row r="1307" spans="1:3" x14ac:dyDescent="0.25">
      <c r="A1307" s="98">
        <v>4555170811061500</v>
      </c>
      <c r="B1307">
        <v>6.46</v>
      </c>
      <c r="C1307">
        <v>6.18</v>
      </c>
    </row>
    <row r="1308" spans="1:3" x14ac:dyDescent="0.25">
      <c r="A1308" s="98">
        <v>4558661404356910</v>
      </c>
      <c r="B1308">
        <v>5.97</v>
      </c>
      <c r="C1308">
        <v>5.86</v>
      </c>
    </row>
    <row r="1309" spans="1:3" x14ac:dyDescent="0.25">
      <c r="A1309" s="98">
        <v>4562151734481250</v>
      </c>
      <c r="B1309">
        <v>6.03</v>
      </c>
      <c r="C1309">
        <v>6.07</v>
      </c>
    </row>
    <row r="1310" spans="1:3" x14ac:dyDescent="0.25">
      <c r="A1310" s="98">
        <v>4565642226018280</v>
      </c>
      <c r="B1310">
        <v>6.05</v>
      </c>
      <c r="C1310">
        <v>6.07</v>
      </c>
    </row>
    <row r="1311" spans="1:3" x14ac:dyDescent="0.25">
      <c r="A1311" s="98">
        <v>4569132820858990</v>
      </c>
      <c r="B1311">
        <v>6.06</v>
      </c>
      <c r="C1311">
        <v>6.29</v>
      </c>
    </row>
    <row r="1312" spans="1:3" x14ac:dyDescent="0.25">
      <c r="A1312" s="98">
        <v>4572623385351010</v>
      </c>
      <c r="B1312">
        <v>5.95</v>
      </c>
      <c r="C1312">
        <v>5.93</v>
      </c>
    </row>
    <row r="1313" spans="1:3" x14ac:dyDescent="0.25">
      <c r="A1313" s="98">
        <v>4576113973894600</v>
      </c>
      <c r="B1313">
        <v>5.91</v>
      </c>
      <c r="C1313">
        <v>5.97</v>
      </c>
    </row>
    <row r="1314" spans="1:3" x14ac:dyDescent="0.25">
      <c r="A1314" s="98">
        <v>4579604596490110</v>
      </c>
      <c r="B1314">
        <v>5.85</v>
      </c>
      <c r="C1314">
        <v>6.08</v>
      </c>
    </row>
    <row r="1315" spans="1:3" x14ac:dyDescent="0.25">
      <c r="A1315" s="98">
        <v>4583095138255090</v>
      </c>
      <c r="B1315">
        <v>5.92</v>
      </c>
      <c r="C1315">
        <v>6.17</v>
      </c>
    </row>
    <row r="1316" spans="1:3" x14ac:dyDescent="0.25">
      <c r="A1316" s="98">
        <v>4586585571164330</v>
      </c>
      <c r="B1316">
        <v>5.98</v>
      </c>
      <c r="C1316">
        <v>5.85</v>
      </c>
    </row>
    <row r="1317" spans="1:3" x14ac:dyDescent="0.25">
      <c r="A1317" s="98">
        <v>4590076214582830</v>
      </c>
      <c r="B1317">
        <v>6.08</v>
      </c>
      <c r="C1317">
        <v>5.94</v>
      </c>
    </row>
    <row r="1318" spans="1:3" x14ac:dyDescent="0.25">
      <c r="A1318" s="98">
        <v>4593566707173980</v>
      </c>
      <c r="B1318">
        <v>6.26</v>
      </c>
      <c r="C1318">
        <v>6.17</v>
      </c>
    </row>
    <row r="1319" spans="1:3" x14ac:dyDescent="0.25">
      <c r="A1319" s="98">
        <v>4597057045979630</v>
      </c>
      <c r="B1319">
        <v>6.42</v>
      </c>
      <c r="C1319">
        <v>6.16</v>
      </c>
    </row>
    <row r="1320" spans="1:3" x14ac:dyDescent="0.25">
      <c r="A1320" s="98">
        <v>4600547551656210</v>
      </c>
      <c r="B1320">
        <v>6.3</v>
      </c>
      <c r="C1320">
        <v>6.08</v>
      </c>
    </row>
    <row r="1321" spans="1:3" x14ac:dyDescent="0.25">
      <c r="A1321" s="98">
        <v>4604038034765800</v>
      </c>
      <c r="B1321">
        <v>6.41</v>
      </c>
      <c r="C1321">
        <v>6.08</v>
      </c>
    </row>
    <row r="1322" spans="1:3" x14ac:dyDescent="0.25">
      <c r="A1322" s="98">
        <v>4607528554162490</v>
      </c>
      <c r="B1322">
        <v>6.5</v>
      </c>
      <c r="C1322">
        <v>5.93</v>
      </c>
    </row>
    <row r="1323" spans="1:3" x14ac:dyDescent="0.25">
      <c r="A1323" s="98">
        <v>4611019189887570</v>
      </c>
      <c r="B1323">
        <v>6.46</v>
      </c>
      <c r="C1323">
        <v>6.17</v>
      </c>
    </row>
    <row r="1324" spans="1:3" x14ac:dyDescent="0.25">
      <c r="A1324" s="98">
        <v>4614509691182110</v>
      </c>
      <c r="B1324">
        <v>6.66</v>
      </c>
      <c r="C1324">
        <v>6.26</v>
      </c>
    </row>
    <row r="1325" spans="1:3" x14ac:dyDescent="0.25">
      <c r="A1325" s="98">
        <v>4618000252544880</v>
      </c>
      <c r="B1325">
        <v>6.68</v>
      </c>
      <c r="C1325">
        <v>6.26</v>
      </c>
    </row>
    <row r="1326" spans="1:3" x14ac:dyDescent="0.25">
      <c r="A1326" s="98">
        <v>4621490849571090</v>
      </c>
      <c r="B1326">
        <v>6.67</v>
      </c>
      <c r="C1326">
        <v>6.14</v>
      </c>
    </row>
    <row r="1327" spans="1:3" x14ac:dyDescent="0.25">
      <c r="A1327" s="98">
        <v>4624981518073210</v>
      </c>
      <c r="B1327">
        <v>6.79</v>
      </c>
      <c r="C1327">
        <v>6.19</v>
      </c>
    </row>
    <row r="1328" spans="1:3" x14ac:dyDescent="0.25">
      <c r="A1328" s="98">
        <v>4628472263592260</v>
      </c>
      <c r="B1328">
        <v>6.74</v>
      </c>
      <c r="C1328">
        <v>5.92</v>
      </c>
    </row>
    <row r="1329" spans="1:3" x14ac:dyDescent="0.25">
      <c r="A1329" s="98">
        <v>4631962865480670</v>
      </c>
      <c r="B1329">
        <v>6.7</v>
      </c>
      <c r="C1329">
        <v>6.29</v>
      </c>
    </row>
    <row r="1330" spans="1:3" x14ac:dyDescent="0.25">
      <c r="A1330" s="98">
        <v>4635453138257610</v>
      </c>
      <c r="B1330">
        <v>6.76</v>
      </c>
      <c r="C1330">
        <v>5.96</v>
      </c>
    </row>
    <row r="1331" spans="1:3" x14ac:dyDescent="0.25">
      <c r="A1331" s="98">
        <v>4638943800843420</v>
      </c>
      <c r="B1331">
        <v>6.49</v>
      </c>
      <c r="C1331">
        <v>5.98</v>
      </c>
    </row>
    <row r="1332" spans="1:3" x14ac:dyDescent="0.25">
      <c r="A1332" s="98">
        <v>4642434340295960</v>
      </c>
      <c r="B1332">
        <v>6.69</v>
      </c>
      <c r="C1332">
        <v>6.2</v>
      </c>
    </row>
    <row r="1333" spans="1:3" x14ac:dyDescent="0.25">
      <c r="A1333" s="98">
        <v>4645924865112260</v>
      </c>
      <c r="B1333">
        <v>6.32</v>
      </c>
      <c r="C1333">
        <v>5.86</v>
      </c>
    </row>
    <row r="1334" spans="1:3" x14ac:dyDescent="0.25">
      <c r="A1334" s="98">
        <v>4649415381815690</v>
      </c>
      <c r="B1334">
        <v>6.31</v>
      </c>
      <c r="C1334">
        <v>5.76</v>
      </c>
    </row>
    <row r="1335" spans="1:3" x14ac:dyDescent="0.25">
      <c r="A1335" s="98">
        <v>4652905985906160</v>
      </c>
      <c r="B1335">
        <v>6.57</v>
      </c>
      <c r="C1335">
        <v>5.72</v>
      </c>
    </row>
    <row r="1336" spans="1:3" x14ac:dyDescent="0.25">
      <c r="A1336" s="98">
        <v>4656396395933840</v>
      </c>
      <c r="B1336">
        <v>6.45</v>
      </c>
      <c r="C1336">
        <v>5.96</v>
      </c>
    </row>
    <row r="1337" spans="1:3" x14ac:dyDescent="0.25">
      <c r="A1337" s="98">
        <v>4659887050671710</v>
      </c>
      <c r="B1337">
        <v>6.5</v>
      </c>
      <c r="C1337">
        <v>5.86</v>
      </c>
    </row>
    <row r="1338" spans="1:3" x14ac:dyDescent="0.25">
      <c r="A1338" s="98">
        <v>4663377612702270</v>
      </c>
      <c r="B1338">
        <v>6.53</v>
      </c>
      <c r="C1338">
        <v>5.93</v>
      </c>
    </row>
    <row r="1339" spans="1:3" x14ac:dyDescent="0.25">
      <c r="A1339" s="98">
        <v>4666868328694940</v>
      </c>
      <c r="B1339">
        <v>6.28</v>
      </c>
      <c r="C1339">
        <v>6.11</v>
      </c>
    </row>
    <row r="1340" spans="1:3" x14ac:dyDescent="0.25">
      <c r="A1340" s="98">
        <v>4670358918314730</v>
      </c>
      <c r="B1340">
        <v>6.53</v>
      </c>
      <c r="C1340">
        <v>6.1</v>
      </c>
    </row>
    <row r="1341" spans="1:3" x14ac:dyDescent="0.25">
      <c r="A1341" s="98">
        <v>4673849349562760</v>
      </c>
      <c r="B1341">
        <v>6.35</v>
      </c>
      <c r="C1341">
        <v>8.56</v>
      </c>
    </row>
    <row r="1342" spans="1:3" x14ac:dyDescent="0.25">
      <c r="A1342" s="98">
        <v>4677340026547510</v>
      </c>
      <c r="B1342">
        <v>6.45</v>
      </c>
      <c r="C1342">
        <v>8.57</v>
      </c>
    </row>
    <row r="1343" spans="1:3" x14ac:dyDescent="0.25">
      <c r="A1343" s="98">
        <v>4680830514960810</v>
      </c>
      <c r="B1343">
        <v>6.22</v>
      </c>
      <c r="C1343">
        <v>8.4700000000000006</v>
      </c>
    </row>
    <row r="1344" spans="1:3" x14ac:dyDescent="0.25">
      <c r="A1344" s="98">
        <v>4684321010609460</v>
      </c>
      <c r="B1344">
        <v>6.4</v>
      </c>
      <c r="C1344">
        <v>4.99</v>
      </c>
    </row>
    <row r="1345" spans="1:3" x14ac:dyDescent="0.25">
      <c r="A1345" s="98">
        <v>4687811611951500</v>
      </c>
      <c r="B1345">
        <v>6.24</v>
      </c>
      <c r="C1345">
        <v>5.0599999999999996</v>
      </c>
    </row>
    <row r="1346" spans="1:3" x14ac:dyDescent="0.25">
      <c r="A1346" s="98">
        <v>4691302407792320</v>
      </c>
      <c r="B1346">
        <v>6.25</v>
      </c>
      <c r="C1346">
        <v>5.41</v>
      </c>
    </row>
    <row r="1347" spans="1:3" x14ac:dyDescent="0.25">
      <c r="A1347" s="98">
        <v>4694792971268840</v>
      </c>
      <c r="B1347">
        <v>6.48</v>
      </c>
      <c r="C1347">
        <v>5.29</v>
      </c>
    </row>
    <row r="1348" spans="1:3" x14ac:dyDescent="0.25">
      <c r="A1348" s="98">
        <v>4698283607065670</v>
      </c>
      <c r="B1348">
        <v>6.22</v>
      </c>
      <c r="C1348">
        <v>5.09</v>
      </c>
    </row>
    <row r="1349" spans="1:3" x14ac:dyDescent="0.25">
      <c r="A1349" s="98">
        <v>4701774188241470</v>
      </c>
      <c r="B1349">
        <v>6.36</v>
      </c>
      <c r="C1349">
        <v>5.09</v>
      </c>
    </row>
    <row r="1350" spans="1:3" x14ac:dyDescent="0.25">
      <c r="A1350" s="98">
        <v>4705264764240490</v>
      </c>
      <c r="B1350">
        <v>6.53</v>
      </c>
      <c r="C1350">
        <v>5.66</v>
      </c>
    </row>
    <row r="1351" spans="1:3" x14ac:dyDescent="0.25">
      <c r="A1351" s="98">
        <v>4708755246500170</v>
      </c>
      <c r="B1351">
        <v>6.63</v>
      </c>
      <c r="C1351">
        <v>5.97</v>
      </c>
    </row>
    <row r="1352" spans="1:3" x14ac:dyDescent="0.25">
      <c r="A1352" s="98">
        <v>4712245940637810</v>
      </c>
      <c r="B1352">
        <v>6.48</v>
      </c>
      <c r="C1352">
        <v>6.37</v>
      </c>
    </row>
    <row r="1353" spans="1:3" x14ac:dyDescent="0.25">
      <c r="A1353" s="98">
        <v>4715736494108480</v>
      </c>
      <c r="B1353">
        <v>6.47</v>
      </c>
      <c r="C1353">
        <v>6.42</v>
      </c>
    </row>
    <row r="1354" spans="1:3" x14ac:dyDescent="0.25">
      <c r="A1354" s="98">
        <v>4719226909191520</v>
      </c>
      <c r="B1354">
        <v>6.5</v>
      </c>
      <c r="C1354">
        <v>6.64</v>
      </c>
    </row>
    <row r="1355" spans="1:3" x14ac:dyDescent="0.25">
      <c r="A1355" s="98">
        <v>4722717565380860</v>
      </c>
      <c r="B1355">
        <v>6.35</v>
      </c>
      <c r="C1355">
        <v>6.95</v>
      </c>
    </row>
    <row r="1356" spans="1:3" x14ac:dyDescent="0.25">
      <c r="A1356" s="98">
        <v>4726207929099040</v>
      </c>
      <c r="B1356">
        <v>6.05</v>
      </c>
      <c r="C1356">
        <v>6.46</v>
      </c>
    </row>
    <row r="1357" spans="1:3" x14ac:dyDescent="0.25">
      <c r="A1357" s="98">
        <v>4729698416088460</v>
      </c>
      <c r="B1357">
        <v>6.02</v>
      </c>
      <c r="C1357">
        <v>6.25</v>
      </c>
    </row>
    <row r="1358" spans="1:3" x14ac:dyDescent="0.25">
      <c r="A1358" s="98">
        <v>4733189198038090</v>
      </c>
      <c r="B1358">
        <v>6.1</v>
      </c>
      <c r="C1358">
        <v>6.11</v>
      </c>
    </row>
    <row r="1359" spans="1:3" x14ac:dyDescent="0.25">
      <c r="A1359" s="98">
        <v>4736679840220340</v>
      </c>
      <c r="B1359">
        <v>5.8</v>
      </c>
      <c r="C1359">
        <v>6.13</v>
      </c>
    </row>
    <row r="1360" spans="1:3" x14ac:dyDescent="0.25">
      <c r="A1360" s="98">
        <v>4740170176945350</v>
      </c>
      <c r="B1360">
        <v>5.89</v>
      </c>
      <c r="C1360">
        <v>6.05</v>
      </c>
    </row>
    <row r="1361" spans="1:3" x14ac:dyDescent="0.25">
      <c r="A1361" s="98">
        <v>4743660846302900</v>
      </c>
      <c r="B1361">
        <v>5.84</v>
      </c>
      <c r="C1361">
        <v>6.12</v>
      </c>
    </row>
    <row r="1362" spans="1:3" x14ac:dyDescent="0.25">
      <c r="A1362" s="98">
        <v>4747151274256130</v>
      </c>
      <c r="B1362">
        <v>6.09</v>
      </c>
      <c r="C1362">
        <v>5.54</v>
      </c>
    </row>
    <row r="1363" spans="1:3" x14ac:dyDescent="0.25">
      <c r="A1363" s="98">
        <v>4750641730173870</v>
      </c>
      <c r="B1363">
        <v>6.35</v>
      </c>
      <c r="C1363">
        <v>6.02</v>
      </c>
    </row>
    <row r="1364" spans="1:3" x14ac:dyDescent="0.25">
      <c r="A1364" s="98">
        <v>4754132411943540</v>
      </c>
      <c r="B1364">
        <v>6.24</v>
      </c>
      <c r="C1364">
        <v>5.87</v>
      </c>
    </row>
    <row r="1365" spans="1:3" x14ac:dyDescent="0.25">
      <c r="A1365" s="98">
        <v>4757622980916940</v>
      </c>
      <c r="B1365">
        <v>6.45</v>
      </c>
      <c r="C1365">
        <v>5.97</v>
      </c>
    </row>
    <row r="1366" spans="1:3" x14ac:dyDescent="0.25">
      <c r="A1366" s="98">
        <v>4761113475936430</v>
      </c>
      <c r="B1366">
        <v>6.16</v>
      </c>
      <c r="C1366">
        <v>5.34</v>
      </c>
    </row>
    <row r="1367" spans="1:3" x14ac:dyDescent="0.25">
      <c r="A1367" s="98">
        <v>4764604115033590</v>
      </c>
      <c r="B1367">
        <v>6</v>
      </c>
      <c r="C1367">
        <v>5.07</v>
      </c>
    </row>
    <row r="1368" spans="1:3" x14ac:dyDescent="0.25">
      <c r="A1368" s="98">
        <v>4768094273915990</v>
      </c>
      <c r="B1368">
        <v>6.29</v>
      </c>
      <c r="C1368">
        <v>5.22</v>
      </c>
    </row>
    <row r="1369" spans="1:3" x14ac:dyDescent="0.25">
      <c r="A1369" s="98">
        <v>4771584814980070</v>
      </c>
      <c r="B1369">
        <v>6.19</v>
      </c>
      <c r="C1369">
        <v>5.0999999999999996</v>
      </c>
    </row>
    <row r="1370" spans="1:3" x14ac:dyDescent="0.25">
      <c r="A1370" s="98">
        <v>4775075117211650</v>
      </c>
      <c r="B1370">
        <v>5.94</v>
      </c>
      <c r="C1370">
        <v>5.1100000000000003</v>
      </c>
    </row>
    <row r="1371" spans="1:3" x14ac:dyDescent="0.25">
      <c r="A1371" s="98">
        <v>4778565748637470</v>
      </c>
      <c r="B1371">
        <v>6.02</v>
      </c>
      <c r="C1371">
        <v>5.3</v>
      </c>
    </row>
    <row r="1372" spans="1:3" x14ac:dyDescent="0.25">
      <c r="A1372" s="98">
        <v>4782056276627160</v>
      </c>
      <c r="B1372">
        <v>6.12</v>
      </c>
      <c r="C1372">
        <v>5.38</v>
      </c>
    </row>
    <row r="1373" spans="1:3" x14ac:dyDescent="0.25">
      <c r="A1373" s="98">
        <v>4785546905547380</v>
      </c>
      <c r="B1373">
        <v>6.23</v>
      </c>
      <c r="C1373">
        <v>4.7699999999999996</v>
      </c>
    </row>
    <row r="1374" spans="1:3" x14ac:dyDescent="0.25">
      <c r="A1374" s="98">
        <v>4789037228750960</v>
      </c>
      <c r="B1374">
        <v>6.07</v>
      </c>
      <c r="C1374">
        <v>4.75</v>
      </c>
    </row>
    <row r="1375" spans="1:3" x14ac:dyDescent="0.25">
      <c r="A1375" s="98">
        <v>4792527836682620</v>
      </c>
      <c r="B1375">
        <v>6.17</v>
      </c>
      <c r="C1375">
        <v>4.75</v>
      </c>
    </row>
    <row r="1376" spans="1:3" x14ac:dyDescent="0.25">
      <c r="A1376" s="98">
        <v>4796018468036690</v>
      </c>
      <c r="B1376">
        <v>6.31</v>
      </c>
      <c r="C1376">
        <v>4.97</v>
      </c>
    </row>
    <row r="1377" spans="1:3" x14ac:dyDescent="0.25">
      <c r="A1377" s="98">
        <v>4799509196894030</v>
      </c>
      <c r="B1377">
        <v>6.25</v>
      </c>
      <c r="C1377">
        <v>4.8899999999999997</v>
      </c>
    </row>
    <row r="1378" spans="1:3" x14ac:dyDescent="0.25">
      <c r="A1378" s="98">
        <v>4802999841212120</v>
      </c>
      <c r="B1378">
        <v>6.28</v>
      </c>
      <c r="C1378">
        <v>4.95</v>
      </c>
    </row>
    <row r="1379" spans="1:3" x14ac:dyDescent="0.25">
      <c r="A1379" s="98">
        <v>4806490585230010</v>
      </c>
      <c r="B1379">
        <v>6.1</v>
      </c>
      <c r="C1379">
        <v>5.1100000000000003</v>
      </c>
    </row>
    <row r="1380" spans="1:3" x14ac:dyDescent="0.25">
      <c r="A1380" s="98">
        <v>4809981225425440</v>
      </c>
      <c r="B1380">
        <v>6</v>
      </c>
      <c r="C1380">
        <v>4.95</v>
      </c>
    </row>
    <row r="1381" spans="1:3" x14ac:dyDescent="0.25">
      <c r="A1381" s="98">
        <v>4813471970171840</v>
      </c>
      <c r="B1381">
        <v>5.93</v>
      </c>
      <c r="C1381">
        <v>5.37</v>
      </c>
    </row>
    <row r="1382" spans="1:3" x14ac:dyDescent="0.25">
      <c r="A1382" s="98">
        <v>4816962826102970</v>
      </c>
      <c r="B1382">
        <v>6.06</v>
      </c>
      <c r="C1382">
        <v>5.24</v>
      </c>
    </row>
    <row r="1383" spans="1:3" x14ac:dyDescent="0.25">
      <c r="A1383" s="98">
        <v>4820453356907320</v>
      </c>
      <c r="B1383">
        <v>6.36</v>
      </c>
      <c r="C1383">
        <v>5.39</v>
      </c>
    </row>
    <row r="1384" spans="1:3" x14ac:dyDescent="0.25">
      <c r="A1384" s="98">
        <v>4823944048738030</v>
      </c>
      <c r="B1384">
        <v>6.07</v>
      </c>
      <c r="C1384">
        <v>5.41</v>
      </c>
    </row>
    <row r="1385" spans="1:3" x14ac:dyDescent="0.25">
      <c r="A1385" s="98">
        <v>4827434532990050</v>
      </c>
      <c r="B1385">
        <v>6.15</v>
      </c>
      <c r="C1385">
        <v>5.44</v>
      </c>
    </row>
    <row r="1386" spans="1:3" x14ac:dyDescent="0.25">
      <c r="A1386" s="98">
        <v>4830925291898070</v>
      </c>
      <c r="B1386">
        <v>6.07</v>
      </c>
      <c r="C1386">
        <v>5.4</v>
      </c>
    </row>
    <row r="1387" spans="1:3" x14ac:dyDescent="0.25">
      <c r="A1387" s="98">
        <v>4834415857582180</v>
      </c>
      <c r="B1387">
        <v>5.95</v>
      </c>
      <c r="C1387">
        <v>5.0999999999999996</v>
      </c>
    </row>
    <row r="1388" spans="1:3" x14ac:dyDescent="0.25">
      <c r="A1388" s="98">
        <v>4837906630155110</v>
      </c>
      <c r="B1388">
        <v>6.16</v>
      </c>
      <c r="C1388">
        <v>5.19</v>
      </c>
    </row>
    <row r="1389" spans="1:3" x14ac:dyDescent="0.25">
      <c r="A1389" s="98">
        <v>4841397119528710</v>
      </c>
      <c r="B1389">
        <v>6.14</v>
      </c>
      <c r="C1389">
        <v>5.42</v>
      </c>
    </row>
    <row r="1390" spans="1:3" x14ac:dyDescent="0.25">
      <c r="A1390" s="98">
        <v>4844887657546330</v>
      </c>
      <c r="B1390">
        <v>6.07</v>
      </c>
      <c r="C1390">
        <v>5.35</v>
      </c>
    </row>
    <row r="1391" spans="1:3" x14ac:dyDescent="0.25">
      <c r="A1391" s="98">
        <v>4848378346899040</v>
      </c>
      <c r="B1391">
        <v>6.12</v>
      </c>
      <c r="C1391">
        <v>5.38</v>
      </c>
    </row>
    <row r="1392" spans="1:3" x14ac:dyDescent="0.25">
      <c r="A1392" s="98">
        <v>4851868892350680</v>
      </c>
      <c r="B1392">
        <v>5.9</v>
      </c>
      <c r="C1392">
        <v>5.12</v>
      </c>
    </row>
    <row r="1393" spans="1:3" x14ac:dyDescent="0.25">
      <c r="A1393" s="98">
        <v>4855359421731140</v>
      </c>
      <c r="B1393">
        <v>6.09</v>
      </c>
      <c r="C1393">
        <v>5.39</v>
      </c>
    </row>
    <row r="1394" spans="1:3" x14ac:dyDescent="0.25">
      <c r="A1394" s="98">
        <v>4858849861886760</v>
      </c>
      <c r="B1394">
        <v>6.09</v>
      </c>
      <c r="C1394">
        <v>5.31</v>
      </c>
    </row>
    <row r="1395" spans="1:3" x14ac:dyDescent="0.25">
      <c r="A1395" s="98">
        <v>4862340450546250</v>
      </c>
      <c r="B1395">
        <v>5.9</v>
      </c>
      <c r="C1395">
        <v>5.33</v>
      </c>
    </row>
    <row r="1396" spans="1:3" x14ac:dyDescent="0.25">
      <c r="A1396" s="98">
        <v>4865831038565540</v>
      </c>
      <c r="B1396">
        <v>5.99</v>
      </c>
      <c r="C1396">
        <v>5.23</v>
      </c>
    </row>
    <row r="1397" spans="1:3" x14ac:dyDescent="0.25">
      <c r="A1397" s="98">
        <v>4869321811524800</v>
      </c>
      <c r="B1397">
        <v>5.99</v>
      </c>
      <c r="C1397">
        <v>5.28</v>
      </c>
    </row>
    <row r="1398" spans="1:3" x14ac:dyDescent="0.25">
      <c r="A1398" s="98">
        <v>4872812332831040</v>
      </c>
      <c r="B1398">
        <v>5.82</v>
      </c>
      <c r="C1398">
        <v>5.76</v>
      </c>
    </row>
    <row r="1399" spans="1:3" x14ac:dyDescent="0.25">
      <c r="A1399" s="98">
        <v>4876302959035940</v>
      </c>
      <c r="B1399">
        <v>5.98</v>
      </c>
      <c r="C1399">
        <v>5.84</v>
      </c>
    </row>
    <row r="1400" spans="1:3" x14ac:dyDescent="0.25">
      <c r="A1400" s="98">
        <v>4879793551006800</v>
      </c>
      <c r="B1400">
        <v>6.11</v>
      </c>
      <c r="C1400">
        <v>5.93</v>
      </c>
    </row>
    <row r="1401" spans="1:3" x14ac:dyDescent="0.25">
      <c r="A1401" s="98">
        <v>4883283979064880</v>
      </c>
      <c r="B1401">
        <v>6.13</v>
      </c>
      <c r="C1401">
        <v>5.48</v>
      </c>
    </row>
    <row r="1402" spans="1:3" x14ac:dyDescent="0.25">
      <c r="A1402" s="98">
        <v>4886774733232120</v>
      </c>
      <c r="B1402">
        <v>6.16</v>
      </c>
      <c r="C1402">
        <v>5.57</v>
      </c>
    </row>
    <row r="1403" spans="1:3" x14ac:dyDescent="0.25">
      <c r="A1403" s="98">
        <v>4890265274803940</v>
      </c>
      <c r="B1403">
        <v>6.26</v>
      </c>
      <c r="C1403">
        <v>5.58</v>
      </c>
    </row>
    <row r="1404" spans="1:3" x14ac:dyDescent="0.25">
      <c r="A1404" s="98">
        <v>4893755722658500</v>
      </c>
      <c r="B1404">
        <v>6.06</v>
      </c>
      <c r="C1404">
        <v>5.39</v>
      </c>
    </row>
    <row r="1405" spans="1:3" x14ac:dyDescent="0.25">
      <c r="A1405" s="98">
        <v>4897246173360830</v>
      </c>
      <c r="B1405">
        <v>5.97</v>
      </c>
      <c r="C1405">
        <v>5.72</v>
      </c>
    </row>
    <row r="1406" spans="1:3" x14ac:dyDescent="0.25">
      <c r="A1406" s="98">
        <v>4900736895275330</v>
      </c>
      <c r="B1406">
        <v>6.32</v>
      </c>
      <c r="C1406">
        <v>5.59</v>
      </c>
    </row>
    <row r="1407" spans="1:3" x14ac:dyDescent="0.25">
      <c r="A1407" s="98">
        <v>4904227507589040</v>
      </c>
      <c r="B1407">
        <v>6.25</v>
      </c>
      <c r="C1407">
        <v>5.85</v>
      </c>
    </row>
    <row r="1408" spans="1:3" x14ac:dyDescent="0.25">
      <c r="A1408" s="98">
        <v>4907717998850120</v>
      </c>
      <c r="B1408">
        <v>6.4</v>
      </c>
      <c r="C1408">
        <v>5.89</v>
      </c>
    </row>
    <row r="1409" spans="1:3" x14ac:dyDescent="0.25">
      <c r="A1409" s="98">
        <v>4911208364831070</v>
      </c>
      <c r="B1409">
        <v>6.24</v>
      </c>
      <c r="C1409">
        <v>6.08</v>
      </c>
    </row>
    <row r="1410" spans="1:3" x14ac:dyDescent="0.25">
      <c r="A1410" s="98">
        <v>4914699087016000</v>
      </c>
      <c r="B1410">
        <v>6.14</v>
      </c>
      <c r="C1410">
        <v>5.91</v>
      </c>
    </row>
    <row r="1411" spans="1:3" x14ac:dyDescent="0.25">
      <c r="A1411" s="98">
        <v>4918189828655230</v>
      </c>
      <c r="B1411">
        <v>5.99</v>
      </c>
      <c r="C1411">
        <v>5.85</v>
      </c>
    </row>
    <row r="1412" spans="1:3" x14ac:dyDescent="0.25">
      <c r="A1412" s="98">
        <v>4921680425526910</v>
      </c>
      <c r="B1412">
        <v>0</v>
      </c>
      <c r="C1412">
        <v>0</v>
      </c>
    </row>
    <row r="1413" spans="1:3" x14ac:dyDescent="0.25">
      <c r="A1413" s="98">
        <v>4925170969940990</v>
      </c>
      <c r="B1413">
        <v>6.84</v>
      </c>
      <c r="C1413">
        <v>6.15</v>
      </c>
    </row>
    <row r="1414" spans="1:3" x14ac:dyDescent="0.25">
      <c r="A1414" s="98">
        <v>4928661548329720</v>
      </c>
      <c r="B1414">
        <v>6.28</v>
      </c>
      <c r="C1414">
        <v>5.67</v>
      </c>
    </row>
    <row r="1415" spans="1:3" x14ac:dyDescent="0.25">
      <c r="A1415" s="98">
        <v>4932152077241070</v>
      </c>
      <c r="B1415">
        <v>6.2</v>
      </c>
      <c r="C1415">
        <v>5.56</v>
      </c>
    </row>
    <row r="1416" spans="1:3" x14ac:dyDescent="0.25">
      <c r="A1416" s="98">
        <v>4935642588315180</v>
      </c>
      <c r="B1416">
        <v>6.14</v>
      </c>
      <c r="C1416">
        <v>5.53</v>
      </c>
    </row>
    <row r="1417" spans="1:3" x14ac:dyDescent="0.25">
      <c r="A1417" s="98">
        <v>4939133127491780</v>
      </c>
      <c r="B1417">
        <v>5.87</v>
      </c>
      <c r="C1417">
        <v>5.62</v>
      </c>
    </row>
    <row r="1418" spans="1:3" x14ac:dyDescent="0.25">
      <c r="A1418" s="98">
        <v>4942623594436380</v>
      </c>
      <c r="B1418">
        <v>5.59</v>
      </c>
      <c r="C1418">
        <v>5.92</v>
      </c>
    </row>
    <row r="1419" spans="1:3" x14ac:dyDescent="0.25">
      <c r="A1419" s="98">
        <v>4946114186352050</v>
      </c>
      <c r="B1419">
        <v>5.69</v>
      </c>
      <c r="C1419">
        <v>5.62</v>
      </c>
    </row>
    <row r="1420" spans="1:3" x14ac:dyDescent="0.25">
      <c r="A1420" s="98">
        <v>4949604737565470</v>
      </c>
      <c r="B1420">
        <v>5.69</v>
      </c>
      <c r="C1420">
        <v>5.55</v>
      </c>
    </row>
    <row r="1421" spans="1:3" x14ac:dyDescent="0.25">
      <c r="A1421" s="98">
        <v>4953095278662660</v>
      </c>
      <c r="B1421">
        <v>5.88</v>
      </c>
      <c r="C1421">
        <v>5.56</v>
      </c>
    </row>
    <row r="1422" spans="1:3" x14ac:dyDescent="0.25">
      <c r="A1422" s="98">
        <v>4956585915276290</v>
      </c>
      <c r="B1422">
        <v>6.13</v>
      </c>
      <c r="C1422">
        <v>5.46</v>
      </c>
    </row>
    <row r="1423" spans="1:3" x14ac:dyDescent="0.25">
      <c r="A1423" s="98">
        <v>4960076460943170</v>
      </c>
      <c r="B1423">
        <v>5.97</v>
      </c>
      <c r="C1423">
        <v>5.59</v>
      </c>
    </row>
    <row r="1424" spans="1:3" x14ac:dyDescent="0.25">
      <c r="A1424" s="98">
        <v>4963567039221520</v>
      </c>
      <c r="B1424">
        <v>6.55</v>
      </c>
      <c r="C1424">
        <v>5.87</v>
      </c>
    </row>
    <row r="1425" spans="1:3" x14ac:dyDescent="0.25">
      <c r="A1425" s="98">
        <v>4967057466766340</v>
      </c>
      <c r="B1425">
        <v>6.41</v>
      </c>
      <c r="C1425">
        <v>6.02</v>
      </c>
    </row>
    <row r="1426" spans="1:3" x14ac:dyDescent="0.25">
      <c r="A1426" s="98">
        <v>4970547933368770</v>
      </c>
      <c r="B1426">
        <v>5.68</v>
      </c>
      <c r="C1426">
        <v>5.78</v>
      </c>
    </row>
    <row r="1427" spans="1:3" x14ac:dyDescent="0.25">
      <c r="A1427" s="98">
        <v>4974038490741340</v>
      </c>
      <c r="B1427">
        <v>5.77</v>
      </c>
      <c r="C1427">
        <v>6.33</v>
      </c>
    </row>
    <row r="1428" spans="1:3" x14ac:dyDescent="0.25">
      <c r="A1428" s="98">
        <v>4977529041148990</v>
      </c>
      <c r="B1428">
        <v>5.88</v>
      </c>
      <c r="C1428">
        <v>5.91</v>
      </c>
    </row>
    <row r="1429" spans="1:3" x14ac:dyDescent="0.25">
      <c r="A1429" s="98">
        <v>4981019580347670</v>
      </c>
      <c r="B1429">
        <v>5.94</v>
      </c>
      <c r="C1429">
        <v>5.77</v>
      </c>
    </row>
    <row r="1430" spans="1:3" x14ac:dyDescent="0.25">
      <c r="A1430" s="98">
        <v>4984510397767570</v>
      </c>
      <c r="B1430">
        <v>5.93</v>
      </c>
      <c r="C1430">
        <v>5.91</v>
      </c>
    </row>
    <row r="1431" spans="1:3" x14ac:dyDescent="0.25">
      <c r="A1431" s="98">
        <v>4988000937380170</v>
      </c>
      <c r="B1431">
        <v>5.97</v>
      </c>
      <c r="C1431">
        <v>5.83</v>
      </c>
    </row>
    <row r="1432" spans="1:3" x14ac:dyDescent="0.25">
      <c r="A1432" s="98">
        <v>4991491571306070</v>
      </c>
      <c r="B1432">
        <v>6.01</v>
      </c>
      <c r="C1432">
        <v>5.87</v>
      </c>
    </row>
    <row r="1433" spans="1:3" x14ac:dyDescent="0.25">
      <c r="A1433" s="98">
        <v>4994982160760290</v>
      </c>
      <c r="B1433">
        <v>5.72</v>
      </c>
      <c r="C1433">
        <v>5.75</v>
      </c>
    </row>
    <row r="1434" spans="1:3" x14ac:dyDescent="0.25">
      <c r="A1434" s="98">
        <v>4998472783990480</v>
      </c>
      <c r="B1434">
        <v>5.55</v>
      </c>
      <c r="C1434">
        <v>5.78</v>
      </c>
    </row>
    <row r="1435" spans="1:3" x14ac:dyDescent="0.25">
      <c r="A1435" s="98">
        <v>5001963340728370</v>
      </c>
      <c r="B1435">
        <v>5.98</v>
      </c>
      <c r="C1435">
        <v>5.93</v>
      </c>
    </row>
    <row r="1436" spans="1:3" x14ac:dyDescent="0.25">
      <c r="A1436" s="98">
        <v>5005454066528210</v>
      </c>
      <c r="B1436">
        <v>5.97</v>
      </c>
      <c r="C1436">
        <v>5.98</v>
      </c>
    </row>
    <row r="1437" spans="1:3" x14ac:dyDescent="0.25">
      <c r="A1437" s="98">
        <v>5008944549406010</v>
      </c>
      <c r="B1437">
        <v>5.65</v>
      </c>
      <c r="C1437">
        <v>5.61</v>
      </c>
    </row>
    <row r="1438" spans="1:3" x14ac:dyDescent="0.25">
      <c r="A1438" s="98">
        <v>5012435146007270</v>
      </c>
      <c r="B1438">
        <v>5.71</v>
      </c>
      <c r="C1438">
        <v>5.66</v>
      </c>
    </row>
    <row r="1439" spans="1:3" x14ac:dyDescent="0.25">
      <c r="A1439" s="98">
        <v>5015925928768180</v>
      </c>
      <c r="B1439">
        <v>5.89</v>
      </c>
      <c r="C1439">
        <v>5.65</v>
      </c>
    </row>
    <row r="1440" spans="1:3" x14ac:dyDescent="0.25">
      <c r="A1440" s="98">
        <v>5019416417970700</v>
      </c>
      <c r="B1440">
        <v>5.7</v>
      </c>
      <c r="C1440">
        <v>5.62</v>
      </c>
    </row>
    <row r="1441" spans="1:3" x14ac:dyDescent="0.25">
      <c r="A1441" s="98">
        <v>5022907054302860</v>
      </c>
      <c r="B1441">
        <v>6.03</v>
      </c>
      <c r="C1441">
        <v>5.87</v>
      </c>
    </row>
    <row r="1442" spans="1:3" x14ac:dyDescent="0.25">
      <c r="A1442" s="98">
        <v>5026397582138020</v>
      </c>
      <c r="B1442">
        <v>5.9</v>
      </c>
      <c r="C1442">
        <v>5.92</v>
      </c>
    </row>
    <row r="1443" spans="1:3" x14ac:dyDescent="0.25">
      <c r="A1443" s="98">
        <v>5029888151497750</v>
      </c>
      <c r="B1443">
        <v>5.97</v>
      </c>
      <c r="C1443">
        <v>5.62</v>
      </c>
    </row>
    <row r="1444" spans="1:3" x14ac:dyDescent="0.25">
      <c r="A1444" s="98">
        <v>5033378631731970</v>
      </c>
      <c r="B1444">
        <v>5.9</v>
      </c>
      <c r="C1444">
        <v>5.52</v>
      </c>
    </row>
    <row r="1445" spans="1:3" x14ac:dyDescent="0.25">
      <c r="A1445" s="98">
        <v>5036869471166970</v>
      </c>
      <c r="B1445">
        <v>5.69</v>
      </c>
      <c r="C1445">
        <v>6.22</v>
      </c>
    </row>
    <row r="1446" spans="1:3" x14ac:dyDescent="0.25">
      <c r="A1446" s="98">
        <v>5040359973841240</v>
      </c>
      <c r="B1446">
        <v>6</v>
      </c>
      <c r="C1446">
        <v>5.82</v>
      </c>
    </row>
    <row r="1447" spans="1:3" x14ac:dyDescent="0.25">
      <c r="A1447" s="98">
        <v>5043850415674620</v>
      </c>
      <c r="B1447">
        <v>6.12</v>
      </c>
      <c r="C1447">
        <v>5.97</v>
      </c>
    </row>
    <row r="1448" spans="1:3" x14ac:dyDescent="0.25">
      <c r="A1448" s="98">
        <v>5047341136849580</v>
      </c>
      <c r="B1448">
        <v>5.9</v>
      </c>
      <c r="C1448">
        <v>5.29</v>
      </c>
    </row>
    <row r="1449" spans="1:3" x14ac:dyDescent="0.25">
      <c r="A1449" s="98">
        <v>5050831658746350</v>
      </c>
      <c r="B1449">
        <v>6.09</v>
      </c>
      <c r="C1449">
        <v>5.63</v>
      </c>
    </row>
    <row r="1450" spans="1:3" x14ac:dyDescent="0.25">
      <c r="A1450" s="98">
        <v>5054322125713030</v>
      </c>
      <c r="B1450">
        <v>5.73</v>
      </c>
      <c r="C1450">
        <v>5.42</v>
      </c>
    </row>
    <row r="1451" spans="1:3" x14ac:dyDescent="0.25">
      <c r="A1451" s="98">
        <v>5057812645468440</v>
      </c>
      <c r="B1451">
        <v>5.89</v>
      </c>
      <c r="C1451">
        <v>5.67</v>
      </c>
    </row>
    <row r="1452" spans="1:3" x14ac:dyDescent="0.25">
      <c r="A1452" s="98">
        <v>5061303199259210</v>
      </c>
      <c r="B1452">
        <v>5.74</v>
      </c>
      <c r="C1452">
        <v>5.93</v>
      </c>
    </row>
    <row r="1453" spans="1:3" x14ac:dyDescent="0.25">
      <c r="A1453" s="98">
        <v>5064793787830400</v>
      </c>
      <c r="B1453">
        <v>5.57</v>
      </c>
      <c r="C1453">
        <v>5.68</v>
      </c>
    </row>
    <row r="1454" spans="1:3" x14ac:dyDescent="0.25">
      <c r="A1454" s="98">
        <v>5068284454765140</v>
      </c>
      <c r="B1454">
        <v>5.58</v>
      </c>
      <c r="C1454">
        <v>5.47</v>
      </c>
    </row>
    <row r="1455" spans="1:3" x14ac:dyDescent="0.25">
      <c r="A1455" s="98">
        <v>5071775055908490</v>
      </c>
      <c r="B1455">
        <v>5.52</v>
      </c>
      <c r="C1455">
        <v>5.8</v>
      </c>
    </row>
    <row r="1456" spans="1:3" x14ac:dyDescent="0.25">
      <c r="A1456" s="98">
        <v>5075265488238240</v>
      </c>
      <c r="B1456">
        <v>5.51</v>
      </c>
      <c r="C1456">
        <v>6.03</v>
      </c>
    </row>
    <row r="1457" spans="1:3" x14ac:dyDescent="0.25">
      <c r="A1457" s="98">
        <v>5078756033044170</v>
      </c>
      <c r="B1457">
        <v>5.79</v>
      </c>
      <c r="C1457">
        <v>6.12</v>
      </c>
    </row>
    <row r="1458" spans="1:3" x14ac:dyDescent="0.25">
      <c r="A1458" s="98">
        <v>5082246476240730</v>
      </c>
      <c r="B1458">
        <v>5.28</v>
      </c>
      <c r="C1458">
        <v>5.98</v>
      </c>
    </row>
    <row r="1459" spans="1:3" x14ac:dyDescent="0.25">
      <c r="A1459" s="98">
        <v>5085737084878810</v>
      </c>
      <c r="B1459">
        <v>5.7</v>
      </c>
      <c r="C1459">
        <v>6.26</v>
      </c>
    </row>
    <row r="1460" spans="1:3" x14ac:dyDescent="0.25">
      <c r="A1460" s="98">
        <v>5089227664917700</v>
      </c>
      <c r="B1460">
        <v>5.86</v>
      </c>
      <c r="C1460">
        <v>5.94</v>
      </c>
    </row>
    <row r="1461" spans="1:3" x14ac:dyDescent="0.25">
      <c r="A1461" s="98">
        <v>5092718213051550</v>
      </c>
      <c r="B1461">
        <v>5.85</v>
      </c>
      <c r="C1461">
        <v>5.76</v>
      </c>
    </row>
    <row r="1462" spans="1:3" x14ac:dyDescent="0.25">
      <c r="A1462" s="98">
        <v>5096208623117870</v>
      </c>
      <c r="B1462">
        <v>5.96</v>
      </c>
      <c r="C1462">
        <v>5.39</v>
      </c>
    </row>
    <row r="1463" spans="1:3" x14ac:dyDescent="0.25">
      <c r="A1463" s="98">
        <v>5099699280582090</v>
      </c>
      <c r="B1463">
        <v>5.99</v>
      </c>
      <c r="C1463">
        <v>5.51</v>
      </c>
    </row>
    <row r="1464" spans="1:3" x14ac:dyDescent="0.25">
      <c r="A1464" s="98">
        <v>5103189935811140</v>
      </c>
      <c r="B1464">
        <v>5.72</v>
      </c>
      <c r="C1464">
        <v>5.91</v>
      </c>
    </row>
    <row r="1465" spans="1:3" x14ac:dyDescent="0.25">
      <c r="A1465" s="98">
        <v>5106680395045760</v>
      </c>
      <c r="B1465">
        <v>5.94</v>
      </c>
      <c r="C1465">
        <v>6.03</v>
      </c>
    </row>
    <row r="1466" spans="1:3" x14ac:dyDescent="0.25">
      <c r="A1466" s="98">
        <v>5110171205329670</v>
      </c>
      <c r="B1466">
        <v>5.82</v>
      </c>
      <c r="C1466">
        <v>5.93</v>
      </c>
    </row>
    <row r="1467" spans="1:3" x14ac:dyDescent="0.25">
      <c r="A1467" s="98">
        <v>5113661628266170</v>
      </c>
      <c r="B1467">
        <v>5.78</v>
      </c>
      <c r="C1467">
        <v>5.78</v>
      </c>
    </row>
    <row r="1468" spans="1:3" x14ac:dyDescent="0.25">
      <c r="A1468" s="98">
        <v>5117151969036570</v>
      </c>
      <c r="B1468">
        <v>5.72</v>
      </c>
      <c r="C1468">
        <v>5.72</v>
      </c>
    </row>
    <row r="1469" spans="1:3" x14ac:dyDescent="0.25">
      <c r="A1469" s="98">
        <v>5120642525923470</v>
      </c>
      <c r="B1469">
        <v>5.65</v>
      </c>
      <c r="C1469">
        <v>5.85</v>
      </c>
    </row>
    <row r="1470" spans="1:3" x14ac:dyDescent="0.25">
      <c r="A1470" s="98">
        <v>5124132828166080</v>
      </c>
      <c r="B1470">
        <v>5.89</v>
      </c>
      <c r="C1470">
        <v>5.6</v>
      </c>
    </row>
    <row r="1471" spans="1:3" x14ac:dyDescent="0.25">
      <c r="A1471" s="98">
        <v>5127623327517950</v>
      </c>
      <c r="B1471">
        <v>5.82</v>
      </c>
      <c r="C1471">
        <v>5.69</v>
      </c>
    </row>
    <row r="1472" spans="1:3" x14ac:dyDescent="0.25">
      <c r="A1472" s="98">
        <v>5131114020413820</v>
      </c>
      <c r="B1472">
        <v>5.73</v>
      </c>
      <c r="C1472">
        <v>5.85</v>
      </c>
    </row>
    <row r="1473" spans="1:3" x14ac:dyDescent="0.25">
      <c r="A1473" s="98">
        <v>5134604382829530</v>
      </c>
      <c r="B1473">
        <v>5.72</v>
      </c>
      <c r="C1473">
        <v>5.75</v>
      </c>
    </row>
    <row r="1474" spans="1:3" x14ac:dyDescent="0.25">
      <c r="A1474" s="98">
        <v>5138094778579690</v>
      </c>
      <c r="B1474">
        <v>5.79</v>
      </c>
      <c r="C1474">
        <v>5.35</v>
      </c>
    </row>
    <row r="1475" spans="1:3" x14ac:dyDescent="0.25">
      <c r="A1475" s="98">
        <v>5141585153722100</v>
      </c>
      <c r="B1475">
        <v>5.8</v>
      </c>
      <c r="C1475">
        <v>5.66</v>
      </c>
    </row>
    <row r="1476" spans="1:3" x14ac:dyDescent="0.25">
      <c r="A1476" s="98">
        <v>5145075672793160</v>
      </c>
      <c r="B1476">
        <v>6.03</v>
      </c>
      <c r="C1476">
        <v>5.74</v>
      </c>
    </row>
    <row r="1477" spans="1:3" x14ac:dyDescent="0.25">
      <c r="A1477" s="98">
        <v>5148566080265570</v>
      </c>
      <c r="B1477">
        <v>5.89</v>
      </c>
      <c r="C1477">
        <v>5.91</v>
      </c>
    </row>
    <row r="1478" spans="1:3" x14ac:dyDescent="0.25">
      <c r="A1478" s="98">
        <v>5152056636435010</v>
      </c>
      <c r="B1478">
        <v>5.98</v>
      </c>
      <c r="C1478">
        <v>5.83</v>
      </c>
    </row>
    <row r="1479" spans="1:3" x14ac:dyDescent="0.25">
      <c r="A1479" s="98">
        <v>5155547254731250</v>
      </c>
      <c r="B1479">
        <v>5.71</v>
      </c>
      <c r="C1479">
        <v>5.55</v>
      </c>
    </row>
    <row r="1480" spans="1:3" x14ac:dyDescent="0.25">
      <c r="A1480" s="98">
        <v>5159037702044950</v>
      </c>
      <c r="B1480">
        <v>5.73</v>
      </c>
      <c r="C1480">
        <v>5.55</v>
      </c>
    </row>
    <row r="1481" spans="1:3" x14ac:dyDescent="0.25">
      <c r="A1481" s="98">
        <v>5162528509961230</v>
      </c>
      <c r="B1481">
        <v>5.52</v>
      </c>
      <c r="C1481">
        <v>5.27</v>
      </c>
    </row>
    <row r="1482" spans="1:3" x14ac:dyDescent="0.25">
      <c r="A1482" s="98">
        <v>5166019175146460</v>
      </c>
      <c r="B1482">
        <v>6.08</v>
      </c>
      <c r="C1482">
        <v>5.52</v>
      </c>
    </row>
    <row r="1483" spans="1:3" x14ac:dyDescent="0.25">
      <c r="A1483" s="98">
        <v>5169509820435880</v>
      </c>
      <c r="B1483">
        <v>5.63</v>
      </c>
      <c r="C1483">
        <v>5.45</v>
      </c>
    </row>
    <row r="1484" spans="1:3" x14ac:dyDescent="0.25">
      <c r="A1484" s="98">
        <v>5173000749895970</v>
      </c>
      <c r="B1484">
        <v>5.83</v>
      </c>
      <c r="C1484">
        <v>5.43</v>
      </c>
    </row>
    <row r="1485" spans="1:3" x14ac:dyDescent="0.25">
      <c r="A1485" s="98">
        <v>5176491325470030</v>
      </c>
      <c r="B1485">
        <v>5.7</v>
      </c>
      <c r="C1485">
        <v>5.39</v>
      </c>
    </row>
    <row r="1486" spans="1:3" x14ac:dyDescent="0.25">
      <c r="A1486" s="98">
        <v>5179982007377670</v>
      </c>
      <c r="B1486">
        <v>5.84</v>
      </c>
      <c r="C1486">
        <v>5.75</v>
      </c>
    </row>
    <row r="1487" spans="1:3" x14ac:dyDescent="0.25">
      <c r="A1487" s="98">
        <v>5183472764359580</v>
      </c>
      <c r="B1487">
        <v>5.73</v>
      </c>
      <c r="C1487">
        <v>5.49</v>
      </c>
    </row>
    <row r="1488" spans="1:3" x14ac:dyDescent="0.25">
      <c r="A1488" s="98">
        <v>5186963206601360</v>
      </c>
      <c r="B1488">
        <v>6.31</v>
      </c>
      <c r="C1488">
        <v>5.36</v>
      </c>
    </row>
    <row r="1489" spans="1:3" x14ac:dyDescent="0.25">
      <c r="A1489" s="98">
        <v>5190453888867740</v>
      </c>
      <c r="B1489">
        <v>5.93</v>
      </c>
      <c r="C1489">
        <v>5.42</v>
      </c>
    </row>
    <row r="1490" spans="1:3" x14ac:dyDescent="0.25">
      <c r="A1490" s="98">
        <v>5193944774479770</v>
      </c>
      <c r="B1490">
        <v>5.62</v>
      </c>
      <c r="C1490">
        <v>5.83</v>
      </c>
    </row>
    <row r="1491" spans="1:3" x14ac:dyDescent="0.25">
      <c r="A1491" s="98">
        <v>5197435429543250</v>
      </c>
      <c r="B1491">
        <v>6.03</v>
      </c>
      <c r="C1491">
        <v>5.4</v>
      </c>
    </row>
    <row r="1492" spans="1:3" x14ac:dyDescent="0.25">
      <c r="A1492" s="98">
        <v>5200926147158500</v>
      </c>
      <c r="B1492">
        <v>5.86</v>
      </c>
      <c r="C1492">
        <v>5.38</v>
      </c>
    </row>
    <row r="1493" spans="1:3" x14ac:dyDescent="0.25">
      <c r="A1493" s="98">
        <v>5204416998210880</v>
      </c>
      <c r="B1493">
        <v>5.98</v>
      </c>
      <c r="C1493">
        <v>5.34</v>
      </c>
    </row>
    <row r="1494" spans="1:3" x14ac:dyDescent="0.25">
      <c r="A1494" s="98">
        <v>5207907596765840</v>
      </c>
      <c r="B1494">
        <v>5.55</v>
      </c>
      <c r="C1494">
        <v>5.43</v>
      </c>
    </row>
    <row r="1495" spans="1:3" x14ac:dyDescent="0.25">
      <c r="A1495" s="98">
        <v>5211398115814830</v>
      </c>
      <c r="B1495">
        <v>5.45</v>
      </c>
      <c r="C1495">
        <v>5.33</v>
      </c>
    </row>
    <row r="1496" spans="1:3" x14ac:dyDescent="0.25">
      <c r="A1496" s="98">
        <v>5214888662822820</v>
      </c>
      <c r="B1496">
        <v>5.58</v>
      </c>
      <c r="C1496">
        <v>5.6</v>
      </c>
    </row>
    <row r="1497" spans="1:3" x14ac:dyDescent="0.25">
      <c r="A1497" s="98">
        <v>5218379301616430</v>
      </c>
      <c r="B1497">
        <v>5.84</v>
      </c>
      <c r="C1497">
        <v>5.57</v>
      </c>
    </row>
    <row r="1498" spans="1:3" x14ac:dyDescent="0.25">
      <c r="A1498" s="98">
        <v>5221869894183340</v>
      </c>
      <c r="B1498">
        <v>5.75</v>
      </c>
      <c r="C1498">
        <v>5.48</v>
      </c>
    </row>
    <row r="1499" spans="1:3" x14ac:dyDescent="0.25">
      <c r="A1499" s="98">
        <v>5225360463294710</v>
      </c>
      <c r="B1499">
        <v>5.72</v>
      </c>
      <c r="C1499">
        <v>5.51</v>
      </c>
    </row>
    <row r="1500" spans="1:3" x14ac:dyDescent="0.25">
      <c r="A1500" s="98">
        <v>5228851102408430</v>
      </c>
      <c r="B1500">
        <v>5.88</v>
      </c>
      <c r="C1500">
        <v>5.5</v>
      </c>
    </row>
    <row r="1501" spans="1:3" x14ac:dyDescent="0.25">
      <c r="A1501" s="98">
        <v>5232341759878170</v>
      </c>
      <c r="B1501">
        <v>5.7</v>
      </c>
      <c r="C1501">
        <v>5.24</v>
      </c>
    </row>
    <row r="1502" spans="1:3" x14ac:dyDescent="0.25">
      <c r="A1502" s="98">
        <v>5235832546287110</v>
      </c>
      <c r="B1502">
        <v>6.05</v>
      </c>
      <c r="C1502">
        <v>5.41</v>
      </c>
    </row>
    <row r="1503" spans="1:3" x14ac:dyDescent="0.25">
      <c r="A1503" s="98">
        <v>5239323050015500</v>
      </c>
      <c r="B1503">
        <v>5.9</v>
      </c>
      <c r="C1503">
        <v>5.19</v>
      </c>
    </row>
    <row r="1504" spans="1:3" x14ac:dyDescent="0.25">
      <c r="A1504" s="98">
        <v>5242813670055730</v>
      </c>
      <c r="B1504">
        <v>5.51</v>
      </c>
      <c r="C1504">
        <v>5.62</v>
      </c>
    </row>
    <row r="1505" spans="1:3" x14ac:dyDescent="0.25">
      <c r="A1505" s="98">
        <v>5246304283831950</v>
      </c>
      <c r="B1505">
        <v>5.92</v>
      </c>
      <c r="C1505">
        <v>5.53</v>
      </c>
    </row>
    <row r="1506" spans="1:3" x14ac:dyDescent="0.25">
      <c r="A1506" s="98">
        <v>5249794842523550</v>
      </c>
      <c r="B1506">
        <v>5.78</v>
      </c>
      <c r="C1506">
        <v>5.55</v>
      </c>
    </row>
    <row r="1507" spans="1:3" x14ac:dyDescent="0.25">
      <c r="A1507" s="98">
        <v>5253285305273750</v>
      </c>
      <c r="B1507">
        <v>5.57</v>
      </c>
      <c r="C1507">
        <v>5.55</v>
      </c>
    </row>
    <row r="1508" spans="1:3" x14ac:dyDescent="0.25">
      <c r="A1508" s="98">
        <v>5256776102869590</v>
      </c>
      <c r="B1508">
        <v>5.63</v>
      </c>
      <c r="C1508">
        <v>5.5</v>
      </c>
    </row>
    <row r="1509" spans="1:3" x14ac:dyDescent="0.25">
      <c r="A1509" s="98">
        <v>5260266618480280</v>
      </c>
      <c r="B1509">
        <v>5.82</v>
      </c>
      <c r="C1509">
        <v>5.88</v>
      </c>
    </row>
    <row r="1510" spans="1:3" x14ac:dyDescent="0.25">
      <c r="A1510" s="98">
        <v>5263757116093680</v>
      </c>
      <c r="B1510">
        <v>5.59</v>
      </c>
      <c r="C1510">
        <v>5.45</v>
      </c>
    </row>
    <row r="1511" spans="1:3" x14ac:dyDescent="0.25">
      <c r="A1511" s="98">
        <v>5267247521524070</v>
      </c>
      <c r="B1511">
        <v>5.59</v>
      </c>
      <c r="C1511">
        <v>5.33</v>
      </c>
    </row>
    <row r="1512" spans="1:3" x14ac:dyDescent="0.25">
      <c r="A1512" s="98">
        <v>5270738064321100</v>
      </c>
      <c r="B1512">
        <v>5.35</v>
      </c>
      <c r="C1512">
        <v>5.56</v>
      </c>
    </row>
    <row r="1513" spans="1:3" x14ac:dyDescent="0.25">
      <c r="A1513" s="98">
        <v>5274228496325230</v>
      </c>
      <c r="B1513">
        <v>5.63</v>
      </c>
      <c r="C1513">
        <v>5.46</v>
      </c>
    </row>
    <row r="1514" spans="1:3" x14ac:dyDescent="0.25">
      <c r="A1514" s="98">
        <v>5277719156173640</v>
      </c>
      <c r="B1514">
        <v>5.5</v>
      </c>
      <c r="C1514">
        <v>5.54</v>
      </c>
    </row>
    <row r="1515" spans="1:3" x14ac:dyDescent="0.25">
      <c r="A1515" s="98">
        <v>5281209607825230</v>
      </c>
      <c r="B1515">
        <v>5.51</v>
      </c>
      <c r="C1515">
        <v>5.43</v>
      </c>
    </row>
    <row r="1516" spans="1:3" x14ac:dyDescent="0.25">
      <c r="A1516" s="98">
        <v>5284700140230080</v>
      </c>
      <c r="B1516">
        <v>5.72</v>
      </c>
      <c r="C1516">
        <v>5.38</v>
      </c>
    </row>
    <row r="1517" spans="1:3" x14ac:dyDescent="0.25">
      <c r="A1517" s="98">
        <v>5288190521332950</v>
      </c>
      <c r="B1517">
        <v>5.55</v>
      </c>
      <c r="C1517">
        <v>5.65</v>
      </c>
    </row>
    <row r="1518" spans="1:3" x14ac:dyDescent="0.25">
      <c r="A1518" s="98">
        <v>5291681171583900</v>
      </c>
      <c r="B1518">
        <v>5.83</v>
      </c>
      <c r="C1518">
        <v>5.8</v>
      </c>
    </row>
    <row r="1519" spans="1:3" x14ac:dyDescent="0.25">
      <c r="A1519" s="98">
        <v>5295171736710600</v>
      </c>
      <c r="B1519">
        <v>5.64</v>
      </c>
      <c r="C1519">
        <v>5.71</v>
      </c>
    </row>
    <row r="1520" spans="1:3" x14ac:dyDescent="0.25">
      <c r="A1520" s="98">
        <v>5298662789601970</v>
      </c>
      <c r="B1520">
        <v>5.51</v>
      </c>
      <c r="C1520">
        <v>5.53</v>
      </c>
    </row>
    <row r="1521" spans="1:3" x14ac:dyDescent="0.25">
      <c r="A1521" s="98">
        <v>5302153195440760</v>
      </c>
      <c r="B1521">
        <v>5.39</v>
      </c>
      <c r="C1521">
        <v>5.33</v>
      </c>
    </row>
    <row r="1522" spans="1:3" x14ac:dyDescent="0.25">
      <c r="A1522" s="98">
        <v>5305643812158590</v>
      </c>
      <c r="B1522">
        <v>5.74</v>
      </c>
      <c r="C1522">
        <v>5.07</v>
      </c>
    </row>
    <row r="1523" spans="1:3" x14ac:dyDescent="0.25">
      <c r="A1523" s="98">
        <v>5309134452729310</v>
      </c>
      <c r="B1523">
        <v>5.58</v>
      </c>
      <c r="C1523">
        <v>5.28</v>
      </c>
    </row>
    <row r="1524" spans="1:3" x14ac:dyDescent="0.25">
      <c r="A1524" s="98">
        <v>5312625044495970</v>
      </c>
      <c r="B1524">
        <v>5.57</v>
      </c>
      <c r="C1524">
        <v>5.41</v>
      </c>
    </row>
    <row r="1525" spans="1:3" x14ac:dyDescent="0.25">
      <c r="A1525" s="98">
        <v>5316115520916600</v>
      </c>
      <c r="B1525">
        <v>5.68</v>
      </c>
      <c r="C1525">
        <v>5.35</v>
      </c>
    </row>
    <row r="1526" spans="1:3" x14ac:dyDescent="0.25">
      <c r="A1526" s="98">
        <v>5319605908973340</v>
      </c>
      <c r="B1526">
        <v>5.55</v>
      </c>
      <c r="C1526">
        <v>5.71</v>
      </c>
    </row>
    <row r="1527" spans="1:3" x14ac:dyDescent="0.25">
      <c r="A1527" s="98">
        <v>5323096293431740</v>
      </c>
      <c r="B1527">
        <v>5.53</v>
      </c>
      <c r="C1527">
        <v>5.67</v>
      </c>
    </row>
    <row r="1528" spans="1:3" x14ac:dyDescent="0.25">
      <c r="A1528" s="98">
        <v>5326586745127480</v>
      </c>
      <c r="B1528">
        <v>5.98</v>
      </c>
      <c r="C1528">
        <v>5.53</v>
      </c>
    </row>
    <row r="1529" spans="1:3" x14ac:dyDescent="0.25">
      <c r="A1529" s="98">
        <v>5330077630932680</v>
      </c>
      <c r="B1529">
        <v>6.12</v>
      </c>
      <c r="C1529">
        <v>5.58</v>
      </c>
    </row>
    <row r="1530" spans="1:3" x14ac:dyDescent="0.25">
      <c r="A1530" s="98">
        <v>5333568154385790</v>
      </c>
      <c r="B1530">
        <v>5.57</v>
      </c>
      <c r="C1530">
        <v>5.41</v>
      </c>
    </row>
    <row r="1531" spans="1:3" x14ac:dyDescent="0.25">
      <c r="A1531" s="98">
        <v>5337058868700700</v>
      </c>
      <c r="B1531">
        <v>5.36</v>
      </c>
      <c r="C1531">
        <v>5.45</v>
      </c>
    </row>
    <row r="1532" spans="1:3" x14ac:dyDescent="0.25">
      <c r="A1532" s="98">
        <v>5340549589450710</v>
      </c>
      <c r="B1532">
        <v>5.46</v>
      </c>
      <c r="C1532">
        <v>5.55</v>
      </c>
    </row>
    <row r="1533" spans="1:3" x14ac:dyDescent="0.25">
      <c r="A1533" s="98">
        <v>5344040090342360</v>
      </c>
      <c r="B1533">
        <v>5.58</v>
      </c>
      <c r="C1533">
        <v>5.3</v>
      </c>
    </row>
    <row r="1534" spans="1:3" x14ac:dyDescent="0.25">
      <c r="A1534" s="98">
        <v>5347530538450780</v>
      </c>
      <c r="B1534">
        <v>5.86</v>
      </c>
      <c r="C1534">
        <v>5.6</v>
      </c>
    </row>
    <row r="1535" spans="1:3" x14ac:dyDescent="0.25">
      <c r="A1535" s="98">
        <v>5351021391065030</v>
      </c>
      <c r="B1535">
        <v>5.31</v>
      </c>
      <c r="C1535">
        <v>5.52</v>
      </c>
    </row>
    <row r="1536" spans="1:3" x14ac:dyDescent="0.25">
      <c r="A1536" s="98">
        <v>5354512066620360</v>
      </c>
      <c r="B1536">
        <v>5.78</v>
      </c>
      <c r="C1536">
        <v>5.46</v>
      </c>
    </row>
    <row r="1537" spans="1:3" x14ac:dyDescent="0.25">
      <c r="A1537" s="98">
        <v>5358002618805120</v>
      </c>
      <c r="B1537">
        <v>5.79</v>
      </c>
      <c r="C1537">
        <v>5.59</v>
      </c>
    </row>
    <row r="1538" spans="1:3" x14ac:dyDescent="0.25">
      <c r="A1538" s="98">
        <v>5361493104894950</v>
      </c>
      <c r="B1538">
        <v>5.69</v>
      </c>
      <c r="C1538">
        <v>5.69</v>
      </c>
    </row>
    <row r="1539" spans="1:3" x14ac:dyDescent="0.25">
      <c r="A1539" s="98">
        <v>5364983595637260</v>
      </c>
      <c r="B1539">
        <v>5.57</v>
      </c>
      <c r="C1539">
        <v>5.42</v>
      </c>
    </row>
    <row r="1540" spans="1:3" x14ac:dyDescent="0.25">
      <c r="A1540" s="98">
        <v>5368474177315270</v>
      </c>
      <c r="B1540">
        <v>5.35</v>
      </c>
      <c r="C1540">
        <v>5.49</v>
      </c>
    </row>
    <row r="1541" spans="1:3" x14ac:dyDescent="0.25">
      <c r="A1541" s="98">
        <v>5371965011154060</v>
      </c>
      <c r="B1541">
        <v>5.67</v>
      </c>
      <c r="C1541">
        <v>5.33</v>
      </c>
    </row>
    <row r="1542" spans="1:3" x14ac:dyDescent="0.25">
      <c r="A1542" s="98">
        <v>5375455696378590</v>
      </c>
      <c r="B1542">
        <v>5.67</v>
      </c>
      <c r="C1542">
        <v>5.45</v>
      </c>
    </row>
    <row r="1543" spans="1:3" x14ac:dyDescent="0.25">
      <c r="A1543" s="98">
        <v>5378946352137460</v>
      </c>
      <c r="B1543">
        <v>5.47</v>
      </c>
      <c r="C1543">
        <v>5.36</v>
      </c>
    </row>
    <row r="1544" spans="1:3" x14ac:dyDescent="0.25">
      <c r="A1544" s="98">
        <v>5382436745255080</v>
      </c>
      <c r="B1544">
        <v>5.66</v>
      </c>
      <c r="C1544">
        <v>5.51</v>
      </c>
    </row>
    <row r="1545" spans="1:3" x14ac:dyDescent="0.25">
      <c r="A1545" s="98">
        <v>5385927196851480</v>
      </c>
      <c r="B1545">
        <v>5.64</v>
      </c>
      <c r="C1545">
        <v>5.54</v>
      </c>
    </row>
    <row r="1546" spans="1:3" x14ac:dyDescent="0.25">
      <c r="A1546" s="98">
        <v>5389417423440350</v>
      </c>
      <c r="B1546">
        <v>5.54</v>
      </c>
      <c r="C1546">
        <v>5.4</v>
      </c>
    </row>
    <row r="1547" spans="1:3" x14ac:dyDescent="0.25">
      <c r="A1547" s="98">
        <v>5392908094690900</v>
      </c>
      <c r="B1547">
        <v>5.64</v>
      </c>
      <c r="C1547">
        <v>6.16</v>
      </c>
    </row>
    <row r="1548" spans="1:3" x14ac:dyDescent="0.25">
      <c r="A1548" s="98">
        <v>5396398584991690</v>
      </c>
      <c r="B1548">
        <v>5.75</v>
      </c>
      <c r="C1548">
        <v>5.44</v>
      </c>
    </row>
    <row r="1549" spans="1:3" x14ac:dyDescent="0.25">
      <c r="A1549" s="98">
        <v>5399889097666290</v>
      </c>
      <c r="B1549">
        <v>5.67</v>
      </c>
      <c r="C1549">
        <v>5.44</v>
      </c>
    </row>
    <row r="1550" spans="1:3" x14ac:dyDescent="0.25">
      <c r="A1550" s="98">
        <v>5403379744324410</v>
      </c>
      <c r="B1550">
        <v>5.78</v>
      </c>
      <c r="C1550">
        <v>5.31</v>
      </c>
    </row>
    <row r="1551" spans="1:3" x14ac:dyDescent="0.25">
      <c r="A1551" s="98">
        <v>5406870335627480</v>
      </c>
      <c r="B1551">
        <v>5.57</v>
      </c>
      <c r="C1551">
        <v>5.57</v>
      </c>
    </row>
    <row r="1552" spans="1:3" x14ac:dyDescent="0.25">
      <c r="A1552" s="98">
        <v>5410360818759150</v>
      </c>
      <c r="B1552">
        <v>5.79</v>
      </c>
      <c r="C1552">
        <v>5.56</v>
      </c>
    </row>
    <row r="1553" spans="1:3" x14ac:dyDescent="0.25">
      <c r="A1553" s="98">
        <v>5413851419786610</v>
      </c>
      <c r="B1553">
        <v>5.75</v>
      </c>
      <c r="C1553">
        <v>5.41</v>
      </c>
    </row>
    <row r="1554" spans="1:3" x14ac:dyDescent="0.25">
      <c r="A1554" s="98">
        <v>5417341897283430</v>
      </c>
      <c r="B1554">
        <v>5.46</v>
      </c>
      <c r="C1554">
        <v>5.64</v>
      </c>
    </row>
    <row r="1555" spans="1:3" x14ac:dyDescent="0.25">
      <c r="A1555" s="98">
        <v>5420832401712730</v>
      </c>
      <c r="B1555">
        <v>5.84</v>
      </c>
      <c r="C1555">
        <v>5.56</v>
      </c>
    </row>
    <row r="1556" spans="1:3" x14ac:dyDescent="0.25">
      <c r="A1556" s="98">
        <v>5424322807369400</v>
      </c>
      <c r="B1556">
        <v>5.64</v>
      </c>
      <c r="C1556">
        <v>5.4</v>
      </c>
    </row>
    <row r="1557" spans="1:3" x14ac:dyDescent="0.25">
      <c r="A1557" s="98">
        <v>5427813205636210</v>
      </c>
      <c r="B1557">
        <v>5.75</v>
      </c>
      <c r="C1557">
        <v>5.48</v>
      </c>
    </row>
    <row r="1558" spans="1:3" x14ac:dyDescent="0.25">
      <c r="A1558" s="98">
        <v>5431303613561170</v>
      </c>
      <c r="B1558">
        <v>5.31</v>
      </c>
      <c r="C1558">
        <v>5.62</v>
      </c>
    </row>
    <row r="1559" spans="1:3" x14ac:dyDescent="0.25">
      <c r="A1559" s="98">
        <v>5434794279221030</v>
      </c>
      <c r="B1559">
        <v>5.8</v>
      </c>
      <c r="C1559">
        <v>5.6</v>
      </c>
    </row>
    <row r="1560" spans="1:3" x14ac:dyDescent="0.25">
      <c r="A1560" s="98">
        <v>5438284882461580</v>
      </c>
      <c r="B1560">
        <v>5.62</v>
      </c>
      <c r="C1560">
        <v>5.24</v>
      </c>
    </row>
    <row r="1561" spans="1:3" x14ac:dyDescent="0.25">
      <c r="A1561" s="98">
        <v>5441775443388350</v>
      </c>
      <c r="B1561">
        <v>5.56</v>
      </c>
      <c r="C1561">
        <v>5.62</v>
      </c>
    </row>
    <row r="1562" spans="1:3" x14ac:dyDescent="0.25">
      <c r="A1562" s="98">
        <v>5445265871236720</v>
      </c>
      <c r="B1562">
        <v>5.39</v>
      </c>
      <c r="C1562">
        <v>5.45</v>
      </c>
    </row>
    <row r="1563" spans="1:3" x14ac:dyDescent="0.25">
      <c r="A1563" s="98">
        <v>5448756462528750</v>
      </c>
      <c r="B1563">
        <v>5.43</v>
      </c>
      <c r="C1563">
        <v>5.09</v>
      </c>
    </row>
    <row r="1564" spans="1:3" x14ac:dyDescent="0.25">
      <c r="A1564" s="98">
        <v>5452246875674630</v>
      </c>
      <c r="B1564">
        <v>5.62</v>
      </c>
      <c r="C1564">
        <v>5.4</v>
      </c>
    </row>
    <row r="1565" spans="1:3" x14ac:dyDescent="0.25">
      <c r="A1565" s="98">
        <v>5455737545230870</v>
      </c>
      <c r="B1565">
        <v>5.52</v>
      </c>
      <c r="C1565">
        <v>5.71</v>
      </c>
    </row>
    <row r="1566" spans="1:3" x14ac:dyDescent="0.25">
      <c r="A1566" s="98">
        <v>5459228045035290</v>
      </c>
      <c r="B1566">
        <v>5.46</v>
      </c>
      <c r="C1566">
        <v>5.18</v>
      </c>
    </row>
    <row r="1567" spans="1:3" x14ac:dyDescent="0.25">
      <c r="A1567" s="98">
        <v>5462718337597670</v>
      </c>
      <c r="B1567">
        <v>5.71</v>
      </c>
      <c r="C1567">
        <v>5.28</v>
      </c>
    </row>
    <row r="1568" spans="1:3" x14ac:dyDescent="0.25">
      <c r="A1568" s="98">
        <v>5466209026194280</v>
      </c>
      <c r="B1568">
        <v>5.85</v>
      </c>
      <c r="C1568">
        <v>5.15</v>
      </c>
    </row>
    <row r="1569" spans="1:3" x14ac:dyDescent="0.25">
      <c r="A1569" s="98">
        <v>5469699529343180</v>
      </c>
      <c r="B1569">
        <v>5.66</v>
      </c>
      <c r="C1569">
        <v>5.3</v>
      </c>
    </row>
    <row r="1570" spans="1:3" x14ac:dyDescent="0.25">
      <c r="A1570" s="98">
        <v>5473189956981820</v>
      </c>
      <c r="B1570">
        <v>5.44</v>
      </c>
      <c r="C1570">
        <v>5.38</v>
      </c>
    </row>
    <row r="1571" spans="1:3" x14ac:dyDescent="0.25">
      <c r="A1571" s="98">
        <v>5476680655871270</v>
      </c>
      <c r="B1571">
        <v>5.32</v>
      </c>
      <c r="C1571">
        <v>5.77</v>
      </c>
    </row>
    <row r="1572" spans="1:3" x14ac:dyDescent="0.25">
      <c r="A1572" s="98">
        <v>5480171227052250</v>
      </c>
      <c r="B1572">
        <v>5.62</v>
      </c>
      <c r="C1572">
        <v>5.58</v>
      </c>
    </row>
    <row r="1573" spans="1:3" x14ac:dyDescent="0.25">
      <c r="A1573" s="98">
        <v>5483661465070860</v>
      </c>
      <c r="B1573">
        <v>5.84</v>
      </c>
      <c r="C1573">
        <v>5.6</v>
      </c>
    </row>
    <row r="1574" spans="1:3" x14ac:dyDescent="0.25">
      <c r="A1574" s="98">
        <v>5487152131801400</v>
      </c>
      <c r="B1574">
        <v>5.55</v>
      </c>
      <c r="C1574">
        <v>5.63</v>
      </c>
    </row>
    <row r="1575" spans="1:3" x14ac:dyDescent="0.25">
      <c r="A1575" s="98">
        <v>5490642584098710</v>
      </c>
      <c r="B1575">
        <v>5.7</v>
      </c>
      <c r="C1575">
        <v>5.54</v>
      </c>
    </row>
    <row r="1576" spans="1:3" x14ac:dyDescent="0.25">
      <c r="A1576" s="98">
        <v>5494132977972420</v>
      </c>
      <c r="B1576">
        <v>5.42</v>
      </c>
      <c r="C1576">
        <v>5.59</v>
      </c>
    </row>
    <row r="1577" spans="1:3" x14ac:dyDescent="0.25">
      <c r="A1577" s="98">
        <v>5497623431500460</v>
      </c>
      <c r="B1577">
        <v>5.68</v>
      </c>
      <c r="C1577">
        <v>5.58</v>
      </c>
    </row>
    <row r="1578" spans="1:3" x14ac:dyDescent="0.25">
      <c r="A1578" s="98">
        <v>5501113680286540</v>
      </c>
      <c r="B1578">
        <v>5.89</v>
      </c>
      <c r="C1578">
        <v>5.3</v>
      </c>
    </row>
    <row r="1579" spans="1:3" x14ac:dyDescent="0.25">
      <c r="A1579" s="98">
        <v>5504604035897380</v>
      </c>
      <c r="B1579">
        <v>5.57</v>
      </c>
      <c r="C1579">
        <v>5.57</v>
      </c>
    </row>
    <row r="1580" spans="1:3" x14ac:dyDescent="0.25">
      <c r="A1580" s="98">
        <v>5508094730117800</v>
      </c>
      <c r="B1580">
        <v>5.66</v>
      </c>
      <c r="C1580">
        <v>5.34</v>
      </c>
    </row>
    <row r="1581" spans="1:3" x14ac:dyDescent="0.25">
      <c r="A1581" s="98">
        <v>5511585427163920</v>
      </c>
      <c r="B1581">
        <v>5.85</v>
      </c>
      <c r="C1581">
        <v>5.3</v>
      </c>
    </row>
    <row r="1582" spans="1:3" x14ac:dyDescent="0.25">
      <c r="A1582" s="98">
        <v>5515076028130670</v>
      </c>
      <c r="B1582">
        <v>5.41</v>
      </c>
      <c r="C1582">
        <v>5.24</v>
      </c>
    </row>
    <row r="1583" spans="1:3" x14ac:dyDescent="0.25">
      <c r="A1583" s="98">
        <v>5518566550667630</v>
      </c>
      <c r="B1583">
        <v>5.58</v>
      </c>
      <c r="C1583">
        <v>5.51</v>
      </c>
    </row>
    <row r="1584" spans="1:3" x14ac:dyDescent="0.25">
      <c r="A1584" s="98">
        <v>5522057083552630</v>
      </c>
      <c r="B1584">
        <v>5.75</v>
      </c>
      <c r="C1584">
        <v>5.55</v>
      </c>
    </row>
    <row r="1585" spans="1:3" x14ac:dyDescent="0.25">
      <c r="A1585" s="98">
        <v>5525547697163290</v>
      </c>
      <c r="B1585">
        <v>5.42</v>
      </c>
      <c r="C1585">
        <v>5.35</v>
      </c>
    </row>
    <row r="1586" spans="1:3" x14ac:dyDescent="0.25">
      <c r="A1586" s="98">
        <v>5529038340885330</v>
      </c>
      <c r="B1586">
        <v>5.83</v>
      </c>
      <c r="C1586">
        <v>4.87</v>
      </c>
    </row>
    <row r="1587" spans="1:3" x14ac:dyDescent="0.25">
      <c r="A1587" s="98">
        <v>5532528723842560</v>
      </c>
      <c r="B1587">
        <v>5.7</v>
      </c>
      <c r="C1587">
        <v>5.33</v>
      </c>
    </row>
    <row r="1588" spans="1:3" x14ac:dyDescent="0.25">
      <c r="A1588" s="98">
        <v>5536019311083680</v>
      </c>
      <c r="B1588">
        <v>5.79</v>
      </c>
      <c r="C1588">
        <v>5.28</v>
      </c>
    </row>
    <row r="1589" spans="1:3" x14ac:dyDescent="0.25">
      <c r="A1589" s="98">
        <v>5539509745924560</v>
      </c>
      <c r="B1589">
        <v>5.51</v>
      </c>
      <c r="C1589">
        <v>5.03</v>
      </c>
    </row>
    <row r="1590" spans="1:3" x14ac:dyDescent="0.25">
      <c r="A1590" s="98">
        <v>5543000012117400</v>
      </c>
      <c r="B1590">
        <v>5.55</v>
      </c>
      <c r="C1590">
        <v>5.65</v>
      </c>
    </row>
    <row r="1591" spans="1:3" x14ac:dyDescent="0.25">
      <c r="A1591" s="98">
        <v>5546490325276490</v>
      </c>
      <c r="B1591">
        <v>5.54</v>
      </c>
      <c r="C1591">
        <v>5.73</v>
      </c>
    </row>
    <row r="1592" spans="1:3" x14ac:dyDescent="0.25">
      <c r="A1592" s="98">
        <v>5549980849877550</v>
      </c>
      <c r="B1592">
        <v>5.61</v>
      </c>
      <c r="C1592">
        <v>5.51</v>
      </c>
    </row>
    <row r="1593" spans="1:3" x14ac:dyDescent="0.25">
      <c r="A1593" s="98">
        <v>5553471489366550</v>
      </c>
      <c r="B1593">
        <v>5.32</v>
      </c>
      <c r="C1593">
        <v>5.74</v>
      </c>
    </row>
    <row r="1594" spans="1:3" x14ac:dyDescent="0.25">
      <c r="A1594" s="98">
        <v>5556962051358480</v>
      </c>
      <c r="B1594">
        <v>5.81</v>
      </c>
      <c r="C1594">
        <v>5.68</v>
      </c>
    </row>
    <row r="1595" spans="1:3" x14ac:dyDescent="0.25">
      <c r="A1595" s="98">
        <v>5560452500471360</v>
      </c>
      <c r="B1595">
        <v>5.72</v>
      </c>
      <c r="C1595">
        <v>5.67</v>
      </c>
    </row>
    <row r="1596" spans="1:3" x14ac:dyDescent="0.25">
      <c r="A1596" s="98">
        <v>5563942892584530</v>
      </c>
      <c r="B1596">
        <v>5.69</v>
      </c>
      <c r="C1596">
        <v>5.03</v>
      </c>
    </row>
    <row r="1597" spans="1:3" x14ac:dyDescent="0.25">
      <c r="A1597" s="98">
        <v>5567433401528330</v>
      </c>
      <c r="B1597">
        <v>5.81</v>
      </c>
      <c r="C1597">
        <v>5.28</v>
      </c>
    </row>
    <row r="1598" spans="1:3" x14ac:dyDescent="0.25">
      <c r="A1598" s="98">
        <v>5570923975038300</v>
      </c>
      <c r="B1598">
        <v>5.54</v>
      </c>
      <c r="C1598">
        <v>5.34</v>
      </c>
    </row>
    <row r="1599" spans="1:3" x14ac:dyDescent="0.25">
      <c r="A1599" s="98">
        <v>5574414592970300</v>
      </c>
      <c r="B1599">
        <v>5.33</v>
      </c>
      <c r="C1599">
        <v>5.27</v>
      </c>
    </row>
    <row r="1600" spans="1:3" x14ac:dyDescent="0.25">
      <c r="A1600" s="98">
        <v>5577905091417050</v>
      </c>
      <c r="B1600">
        <v>5.69</v>
      </c>
      <c r="C1600">
        <v>5.18</v>
      </c>
    </row>
    <row r="1601" spans="1:3" x14ac:dyDescent="0.25">
      <c r="A1601" s="98">
        <v>5581395585470720</v>
      </c>
      <c r="B1601">
        <v>5.67</v>
      </c>
      <c r="C1601">
        <v>5.53</v>
      </c>
    </row>
    <row r="1602" spans="1:3" x14ac:dyDescent="0.25">
      <c r="A1602" s="98">
        <v>5584886080324650</v>
      </c>
      <c r="B1602">
        <v>5.92</v>
      </c>
      <c r="C1602">
        <v>5.45</v>
      </c>
    </row>
    <row r="1603" spans="1:3" x14ac:dyDescent="0.25">
      <c r="A1603" s="98">
        <v>5588376626074310</v>
      </c>
      <c r="B1603">
        <v>5.85</v>
      </c>
      <c r="C1603">
        <v>5.64</v>
      </c>
    </row>
    <row r="1604" spans="1:3" x14ac:dyDescent="0.25">
      <c r="A1604" s="98">
        <v>5591867335322830</v>
      </c>
      <c r="B1604">
        <v>5.67</v>
      </c>
      <c r="C1604">
        <v>5.36</v>
      </c>
    </row>
    <row r="1605" spans="1:3" x14ac:dyDescent="0.25">
      <c r="A1605" s="98">
        <v>5595357857699740</v>
      </c>
      <c r="B1605">
        <v>6</v>
      </c>
      <c r="C1605">
        <v>5.0999999999999996</v>
      </c>
    </row>
    <row r="1606" spans="1:3" x14ac:dyDescent="0.25">
      <c r="A1606" s="98">
        <v>5598848478275310</v>
      </c>
      <c r="B1606">
        <v>5.46</v>
      </c>
      <c r="C1606">
        <v>5.0999999999999996</v>
      </c>
    </row>
    <row r="1607" spans="1:3" x14ac:dyDescent="0.25">
      <c r="A1607" s="98">
        <v>5602339164702980</v>
      </c>
      <c r="B1607">
        <v>5.54</v>
      </c>
      <c r="C1607">
        <v>5.42</v>
      </c>
    </row>
    <row r="1608" spans="1:3" x14ac:dyDescent="0.25">
      <c r="A1608" s="98">
        <v>5605829671174280</v>
      </c>
      <c r="B1608">
        <v>5.65</v>
      </c>
      <c r="C1608">
        <v>5.63</v>
      </c>
    </row>
    <row r="1609" spans="1:3" x14ac:dyDescent="0.25">
      <c r="A1609" s="98">
        <v>5609320367823040</v>
      </c>
      <c r="B1609">
        <v>5.63</v>
      </c>
      <c r="C1609">
        <v>5.36</v>
      </c>
    </row>
    <row r="1610" spans="1:3" x14ac:dyDescent="0.25">
      <c r="A1610" s="98">
        <v>5612810842306520</v>
      </c>
      <c r="B1610">
        <v>5.78</v>
      </c>
      <c r="C1610">
        <v>5.45</v>
      </c>
    </row>
    <row r="1611" spans="1:3" x14ac:dyDescent="0.25">
      <c r="A1611" s="98">
        <v>5616301420805630</v>
      </c>
      <c r="B1611">
        <v>5.73</v>
      </c>
      <c r="C1611">
        <v>5.56</v>
      </c>
    </row>
    <row r="1612" spans="1:3" x14ac:dyDescent="0.25">
      <c r="A1612" s="98">
        <v>5619792023582590</v>
      </c>
      <c r="B1612">
        <v>5.53</v>
      </c>
      <c r="C1612">
        <v>5.75</v>
      </c>
    </row>
    <row r="1613" spans="1:3" x14ac:dyDescent="0.25">
      <c r="A1613" s="98">
        <v>5623282894961260</v>
      </c>
      <c r="B1613">
        <v>5.45</v>
      </c>
      <c r="C1613">
        <v>5.24</v>
      </c>
    </row>
    <row r="1614" spans="1:3" x14ac:dyDescent="0.25">
      <c r="A1614" s="98">
        <v>5626773373341110</v>
      </c>
      <c r="B1614">
        <v>5.7</v>
      </c>
      <c r="C1614">
        <v>5.62</v>
      </c>
    </row>
    <row r="1615" spans="1:3" x14ac:dyDescent="0.25">
      <c r="A1615" s="98">
        <v>5630263974434800</v>
      </c>
      <c r="B1615">
        <v>5.9</v>
      </c>
      <c r="C1615">
        <v>5.52</v>
      </c>
    </row>
    <row r="1616" spans="1:3" x14ac:dyDescent="0.25">
      <c r="A1616" s="98">
        <v>5633754467693740</v>
      </c>
      <c r="B1616">
        <v>5.87</v>
      </c>
      <c r="C1616">
        <v>5.68</v>
      </c>
    </row>
    <row r="1617" spans="1:3" x14ac:dyDescent="0.25">
      <c r="A1617" s="98">
        <v>5637245094638180</v>
      </c>
      <c r="B1617">
        <v>5.29</v>
      </c>
      <c r="C1617">
        <v>5.75</v>
      </c>
    </row>
    <row r="1618" spans="1:3" x14ac:dyDescent="0.25">
      <c r="A1618" s="98">
        <v>5640735707100890</v>
      </c>
      <c r="B1618">
        <v>5.56</v>
      </c>
      <c r="C1618">
        <v>5.57</v>
      </c>
    </row>
    <row r="1619" spans="1:3" x14ac:dyDescent="0.25">
      <c r="A1619" s="98">
        <v>5644226226238180</v>
      </c>
      <c r="B1619">
        <v>5.63</v>
      </c>
      <c r="C1619">
        <v>5.25</v>
      </c>
    </row>
    <row r="1620" spans="1:3" x14ac:dyDescent="0.25">
      <c r="A1620" s="98">
        <v>5647716877648120</v>
      </c>
      <c r="B1620">
        <v>6.15</v>
      </c>
      <c r="C1620">
        <v>5.29</v>
      </c>
    </row>
    <row r="1621" spans="1:3" x14ac:dyDescent="0.25">
      <c r="A1621" s="98">
        <v>5651207394136320</v>
      </c>
      <c r="B1621">
        <v>5.59</v>
      </c>
      <c r="C1621">
        <v>5.66</v>
      </c>
    </row>
    <row r="1622" spans="1:3" x14ac:dyDescent="0.25">
      <c r="A1622" s="98">
        <v>5654698153574150</v>
      </c>
      <c r="B1622">
        <v>5.53</v>
      </c>
      <c r="C1622">
        <v>5.3</v>
      </c>
    </row>
    <row r="1623" spans="1:3" x14ac:dyDescent="0.25">
      <c r="A1623" s="98">
        <v>5658188636672710</v>
      </c>
      <c r="B1623">
        <v>5.6</v>
      </c>
      <c r="C1623">
        <v>5.18</v>
      </c>
    </row>
    <row r="1624" spans="1:3" x14ac:dyDescent="0.25">
      <c r="A1624" s="98">
        <v>5661679300996990</v>
      </c>
      <c r="B1624">
        <v>5.57</v>
      </c>
      <c r="C1624">
        <v>5.43</v>
      </c>
    </row>
    <row r="1625" spans="1:3" x14ac:dyDescent="0.25">
      <c r="A1625" s="98">
        <v>5665169809896630</v>
      </c>
      <c r="B1625">
        <v>5.92</v>
      </c>
      <c r="C1625">
        <v>5.01</v>
      </c>
    </row>
    <row r="1626" spans="1:3" x14ac:dyDescent="0.25">
      <c r="A1626" s="98">
        <v>5668660440765040</v>
      </c>
      <c r="B1626">
        <v>6.09</v>
      </c>
      <c r="C1626">
        <v>5.67</v>
      </c>
    </row>
    <row r="1627" spans="1:3" x14ac:dyDescent="0.25">
      <c r="A1627" s="98">
        <v>5672150834721540</v>
      </c>
      <c r="B1627">
        <v>5.64</v>
      </c>
      <c r="C1627">
        <v>5.43</v>
      </c>
    </row>
    <row r="1628" spans="1:3" x14ac:dyDescent="0.25">
      <c r="A1628" s="98">
        <v>5675641567806400</v>
      </c>
      <c r="B1628">
        <v>5.22</v>
      </c>
      <c r="C1628">
        <v>5.36</v>
      </c>
    </row>
    <row r="1629" spans="1:3" x14ac:dyDescent="0.25">
      <c r="A1629" s="98">
        <v>5679131977387040</v>
      </c>
      <c r="B1629">
        <v>5.94</v>
      </c>
      <c r="C1629">
        <v>5.09</v>
      </c>
    </row>
    <row r="1630" spans="1:3" x14ac:dyDescent="0.25">
      <c r="A1630" s="98">
        <v>5682622578889130</v>
      </c>
      <c r="B1630">
        <v>5.81</v>
      </c>
      <c r="C1630">
        <v>5.71</v>
      </c>
    </row>
    <row r="1631" spans="1:3" x14ac:dyDescent="0.25">
      <c r="A1631" s="98">
        <v>5686113183349370</v>
      </c>
      <c r="B1631">
        <v>5.23</v>
      </c>
      <c r="C1631">
        <v>5.52</v>
      </c>
    </row>
    <row r="1632" spans="1:3" x14ac:dyDescent="0.25">
      <c r="A1632" s="98">
        <v>5689603677579650</v>
      </c>
      <c r="B1632">
        <v>6.28</v>
      </c>
      <c r="C1632">
        <v>5.5</v>
      </c>
    </row>
    <row r="1633" spans="1:3" x14ac:dyDescent="0.25">
      <c r="A1633" s="98">
        <v>5693094155368980</v>
      </c>
      <c r="B1633">
        <v>5.85</v>
      </c>
      <c r="C1633">
        <v>5.35</v>
      </c>
    </row>
    <row r="1634" spans="1:3" x14ac:dyDescent="0.25">
      <c r="A1634" s="98">
        <v>5696584708398130</v>
      </c>
      <c r="B1634">
        <v>5.68</v>
      </c>
      <c r="C1634">
        <v>5.1100000000000003</v>
      </c>
    </row>
    <row r="1635" spans="1:3" x14ac:dyDescent="0.25">
      <c r="A1635" s="98">
        <v>5700075248750270</v>
      </c>
      <c r="B1635">
        <v>5.27</v>
      </c>
      <c r="C1635">
        <v>5.33</v>
      </c>
    </row>
    <row r="1636" spans="1:3" x14ac:dyDescent="0.25">
      <c r="A1636" s="98">
        <v>5703565718007300</v>
      </c>
      <c r="B1636">
        <v>5.85</v>
      </c>
      <c r="C1636">
        <v>5.56</v>
      </c>
    </row>
    <row r="1637" spans="1:3" x14ac:dyDescent="0.25">
      <c r="A1637" s="98">
        <v>5707056411201200</v>
      </c>
      <c r="B1637">
        <v>5.65</v>
      </c>
      <c r="C1637">
        <v>5.27</v>
      </c>
    </row>
    <row r="1638" spans="1:3" x14ac:dyDescent="0.25">
      <c r="A1638" s="98">
        <v>5710546986295110</v>
      </c>
      <c r="B1638">
        <v>5.87</v>
      </c>
      <c r="C1638">
        <v>5.0199999999999996</v>
      </c>
    </row>
    <row r="1639" spans="1:3" x14ac:dyDescent="0.25">
      <c r="A1639" s="98">
        <v>5714037602074720</v>
      </c>
      <c r="B1639">
        <v>5.72</v>
      </c>
      <c r="C1639">
        <v>5.56</v>
      </c>
    </row>
    <row r="1640" spans="1:3" x14ac:dyDescent="0.25">
      <c r="A1640" s="98">
        <v>5717528101332760</v>
      </c>
      <c r="B1640">
        <v>6.13</v>
      </c>
      <c r="C1640">
        <v>5.44</v>
      </c>
    </row>
    <row r="1641" spans="1:3" x14ac:dyDescent="0.25">
      <c r="A1641" s="98">
        <v>5721018702685830</v>
      </c>
      <c r="B1641">
        <v>5.57</v>
      </c>
      <c r="C1641">
        <v>4.7699999999999996</v>
      </c>
    </row>
    <row r="1642" spans="1:3" x14ac:dyDescent="0.25">
      <c r="A1642" s="98">
        <v>5724509111885670</v>
      </c>
      <c r="B1642">
        <v>5.5</v>
      </c>
      <c r="C1642">
        <v>5.51</v>
      </c>
    </row>
    <row r="1643" spans="1:3" x14ac:dyDescent="0.25">
      <c r="A1643" s="98">
        <v>5727999563989810</v>
      </c>
      <c r="B1643">
        <v>5.92</v>
      </c>
      <c r="C1643">
        <v>5.45</v>
      </c>
    </row>
    <row r="1644" spans="1:3" x14ac:dyDescent="0.25">
      <c r="A1644" s="98">
        <v>5731490021546680</v>
      </c>
      <c r="B1644">
        <v>5.54</v>
      </c>
      <c r="C1644">
        <v>5.42</v>
      </c>
    </row>
    <row r="1645" spans="1:3" x14ac:dyDescent="0.25">
      <c r="A1645" s="98">
        <v>5734980589311430</v>
      </c>
      <c r="B1645">
        <v>5.68</v>
      </c>
      <c r="C1645">
        <v>5.31</v>
      </c>
    </row>
    <row r="1646" spans="1:3" x14ac:dyDescent="0.25">
      <c r="A1646" s="98">
        <v>5738471302677080</v>
      </c>
      <c r="B1646">
        <v>6.02</v>
      </c>
      <c r="C1646">
        <v>4.8600000000000003</v>
      </c>
    </row>
    <row r="1647" spans="1:3" x14ac:dyDescent="0.25">
      <c r="A1647" s="98">
        <v>5741961861738450</v>
      </c>
      <c r="B1647">
        <v>5.66</v>
      </c>
      <c r="C1647">
        <v>5.19</v>
      </c>
    </row>
    <row r="1648" spans="1:3" x14ac:dyDescent="0.25">
      <c r="A1648" s="98">
        <v>5745452279829310</v>
      </c>
      <c r="B1648">
        <v>5.2</v>
      </c>
      <c r="C1648">
        <v>6.03</v>
      </c>
    </row>
    <row r="1649" spans="1:3" x14ac:dyDescent="0.25">
      <c r="A1649" s="98">
        <v>5748942854023640</v>
      </c>
      <c r="B1649">
        <v>5.68</v>
      </c>
      <c r="C1649">
        <v>5.73</v>
      </c>
    </row>
    <row r="1650" spans="1:3" x14ac:dyDescent="0.25">
      <c r="A1650" s="98">
        <v>5752433484417420</v>
      </c>
      <c r="B1650">
        <v>5.47</v>
      </c>
      <c r="C1650">
        <v>5.24</v>
      </c>
    </row>
    <row r="1651" spans="1:3" x14ac:dyDescent="0.25">
      <c r="A1651" s="98">
        <v>5755923976302140</v>
      </c>
      <c r="B1651">
        <v>5.99</v>
      </c>
      <c r="C1651">
        <v>5.62</v>
      </c>
    </row>
    <row r="1652" spans="1:3" x14ac:dyDescent="0.25">
      <c r="A1652" s="98">
        <v>5759414414034940</v>
      </c>
      <c r="B1652">
        <v>5.4</v>
      </c>
      <c r="C1652">
        <v>5.14</v>
      </c>
    </row>
    <row r="1653" spans="1:3" x14ac:dyDescent="0.25">
      <c r="A1653" s="98">
        <v>5762905002137020</v>
      </c>
      <c r="B1653">
        <v>5.55</v>
      </c>
      <c r="C1653">
        <v>5.45</v>
      </c>
    </row>
    <row r="1654" spans="1:3" x14ac:dyDescent="0.25">
      <c r="A1654" s="98">
        <v>5766395522996230</v>
      </c>
      <c r="B1654">
        <v>5.2</v>
      </c>
      <c r="C1654">
        <v>5.2</v>
      </c>
    </row>
    <row r="1655" spans="1:3" x14ac:dyDescent="0.25">
      <c r="A1655" s="98">
        <v>5769886145867680</v>
      </c>
      <c r="B1655">
        <v>5.16</v>
      </c>
      <c r="C1655">
        <v>5.38</v>
      </c>
    </row>
    <row r="1656" spans="1:3" x14ac:dyDescent="0.25">
      <c r="A1656" s="98">
        <v>5773376670612230</v>
      </c>
      <c r="B1656">
        <v>5.07</v>
      </c>
      <c r="C1656">
        <v>5.66</v>
      </c>
    </row>
    <row r="1657" spans="1:3" x14ac:dyDescent="0.25">
      <c r="A1657" s="98">
        <v>5776867377945670</v>
      </c>
      <c r="B1657">
        <v>5.16</v>
      </c>
      <c r="C1657">
        <v>6.05</v>
      </c>
    </row>
    <row r="1658" spans="1:3" x14ac:dyDescent="0.25">
      <c r="A1658" s="98">
        <v>5780357973647330</v>
      </c>
      <c r="B1658">
        <v>5.47</v>
      </c>
      <c r="C1658">
        <v>5.93</v>
      </c>
    </row>
    <row r="1659" spans="1:3" x14ac:dyDescent="0.25">
      <c r="A1659" s="98">
        <v>5783848539072050</v>
      </c>
      <c r="B1659">
        <v>5.61</v>
      </c>
      <c r="C1659">
        <v>5.67</v>
      </c>
    </row>
    <row r="1660" spans="1:3" x14ac:dyDescent="0.25">
      <c r="A1660" s="98">
        <v>5787338916554490</v>
      </c>
      <c r="B1660">
        <v>5.59</v>
      </c>
      <c r="C1660">
        <v>5.29</v>
      </c>
    </row>
    <row r="1661" spans="1:3" x14ac:dyDescent="0.25">
      <c r="A1661" s="98">
        <v>5790829543796950</v>
      </c>
      <c r="B1661">
        <v>5.4</v>
      </c>
      <c r="C1661">
        <v>5.44</v>
      </c>
    </row>
    <row r="1662" spans="1:3" x14ac:dyDescent="0.25">
      <c r="A1662" s="98">
        <v>5794320016398470</v>
      </c>
      <c r="B1662">
        <v>5.3</v>
      </c>
      <c r="C1662">
        <v>5.76</v>
      </c>
    </row>
    <row r="1663" spans="1:3" x14ac:dyDescent="0.25">
      <c r="A1663" s="98">
        <v>5797810517908240</v>
      </c>
      <c r="B1663">
        <v>5.84</v>
      </c>
      <c r="C1663">
        <v>4.8899999999999997</v>
      </c>
    </row>
    <row r="1664" spans="1:3" x14ac:dyDescent="0.25">
      <c r="A1664" s="98">
        <v>5801301266302660</v>
      </c>
      <c r="B1664">
        <v>5.9</v>
      </c>
      <c r="C1664">
        <v>4.88</v>
      </c>
    </row>
    <row r="1665" spans="1:3" x14ac:dyDescent="0.25">
      <c r="A1665" s="98">
        <v>5804791660341950</v>
      </c>
      <c r="B1665">
        <v>6.35</v>
      </c>
      <c r="C1665">
        <v>5.24</v>
      </c>
    </row>
    <row r="1666" spans="1:3" x14ac:dyDescent="0.25">
      <c r="A1666" s="98">
        <v>5808282247682410</v>
      </c>
      <c r="B1666">
        <v>5.52</v>
      </c>
      <c r="C1666">
        <v>5.85</v>
      </c>
    </row>
    <row r="1667" spans="1:3" x14ac:dyDescent="0.25">
      <c r="A1667" s="98">
        <v>5811772623006940</v>
      </c>
      <c r="B1667">
        <v>5.58</v>
      </c>
      <c r="C1667">
        <v>5.51</v>
      </c>
    </row>
    <row r="1668" spans="1:3" x14ac:dyDescent="0.25">
      <c r="A1668" s="98">
        <v>5815263088240660</v>
      </c>
      <c r="B1668">
        <v>5.8</v>
      </c>
      <c r="C1668">
        <v>5.9</v>
      </c>
    </row>
    <row r="1669" spans="1:3" x14ac:dyDescent="0.25">
      <c r="A1669" s="98">
        <v>5818753446506120</v>
      </c>
      <c r="B1669">
        <v>5.91</v>
      </c>
      <c r="C1669">
        <v>5.44</v>
      </c>
    </row>
    <row r="1670" spans="1:3" x14ac:dyDescent="0.25">
      <c r="A1670" s="98">
        <v>5822243957061450</v>
      </c>
      <c r="B1670">
        <v>5.71</v>
      </c>
      <c r="C1670">
        <v>6.02</v>
      </c>
    </row>
    <row r="1671" spans="1:3" x14ac:dyDescent="0.25">
      <c r="A1671" s="98">
        <v>5825734586036860</v>
      </c>
      <c r="B1671">
        <v>5.74</v>
      </c>
      <c r="C1671">
        <v>6.15</v>
      </c>
    </row>
    <row r="1672" spans="1:3" x14ac:dyDescent="0.25">
      <c r="A1672" s="98">
        <v>5829224810710650</v>
      </c>
      <c r="B1672">
        <v>5.77</v>
      </c>
      <c r="C1672">
        <v>5.88</v>
      </c>
    </row>
    <row r="1673" spans="1:3" x14ac:dyDescent="0.25">
      <c r="A1673" s="98">
        <v>5832715530229930</v>
      </c>
      <c r="B1673">
        <v>5.47</v>
      </c>
      <c r="C1673">
        <v>5.48</v>
      </c>
    </row>
    <row r="1674" spans="1:3" x14ac:dyDescent="0.25">
      <c r="A1674" s="98">
        <v>5836206084053820</v>
      </c>
      <c r="B1674">
        <v>6.32</v>
      </c>
      <c r="C1674">
        <v>5.38</v>
      </c>
    </row>
    <row r="1675" spans="1:3" x14ac:dyDescent="0.25">
      <c r="A1675" s="98">
        <v>5839696657768000</v>
      </c>
      <c r="B1675">
        <v>5.91</v>
      </c>
      <c r="C1675">
        <v>4.95</v>
      </c>
    </row>
    <row r="1676" spans="1:3" x14ac:dyDescent="0.25">
      <c r="A1676" s="98">
        <v>5843187239297010</v>
      </c>
      <c r="B1676">
        <v>5.6</v>
      </c>
      <c r="C1676">
        <v>5.04</v>
      </c>
    </row>
    <row r="1677" spans="1:3" x14ac:dyDescent="0.25">
      <c r="A1677" s="98">
        <v>5846677679016630</v>
      </c>
      <c r="B1677">
        <v>5.26</v>
      </c>
      <c r="C1677">
        <v>5.38</v>
      </c>
    </row>
    <row r="1678" spans="1:3" x14ac:dyDescent="0.25">
      <c r="A1678" s="98">
        <v>5850168138063610</v>
      </c>
      <c r="B1678">
        <v>5.93</v>
      </c>
      <c r="C1678">
        <v>5.26</v>
      </c>
    </row>
    <row r="1679" spans="1:3" x14ac:dyDescent="0.25">
      <c r="A1679" s="98">
        <v>5853658826417390</v>
      </c>
      <c r="B1679">
        <v>5.92</v>
      </c>
      <c r="C1679">
        <v>5.94</v>
      </c>
    </row>
    <row r="1680" spans="1:3" x14ac:dyDescent="0.25">
      <c r="A1680" s="98">
        <v>5857149267847890</v>
      </c>
      <c r="B1680">
        <v>6.06</v>
      </c>
      <c r="C1680">
        <v>5.3</v>
      </c>
    </row>
    <row r="1681" spans="1:3" x14ac:dyDescent="0.25">
      <c r="A1681" s="98">
        <v>5860639871193300</v>
      </c>
      <c r="B1681">
        <v>5.26</v>
      </c>
      <c r="C1681">
        <v>5.29</v>
      </c>
    </row>
    <row r="1682" spans="1:3" x14ac:dyDescent="0.25">
      <c r="A1682" s="98">
        <v>5864130424730200</v>
      </c>
      <c r="B1682">
        <v>5.46</v>
      </c>
      <c r="C1682">
        <v>5.15</v>
      </c>
    </row>
    <row r="1683" spans="1:3" x14ac:dyDescent="0.25">
      <c r="A1683" s="98">
        <v>5867620995221310</v>
      </c>
      <c r="B1683">
        <v>5.2</v>
      </c>
      <c r="C1683">
        <v>4.8899999999999997</v>
      </c>
    </row>
    <row r="1684" spans="1:3" x14ac:dyDescent="0.25">
      <c r="A1684" s="98">
        <v>5871111387185470</v>
      </c>
      <c r="B1684">
        <v>5.53</v>
      </c>
      <c r="C1684">
        <v>5.4</v>
      </c>
    </row>
    <row r="1685" spans="1:3" x14ac:dyDescent="0.25">
      <c r="A1685" s="98">
        <v>5874602127246280</v>
      </c>
      <c r="B1685">
        <v>5.32</v>
      </c>
      <c r="C1685">
        <v>5.44</v>
      </c>
    </row>
    <row r="1686" spans="1:3" x14ac:dyDescent="0.25">
      <c r="A1686" s="98">
        <v>5878092501731930</v>
      </c>
      <c r="B1686">
        <v>5.07</v>
      </c>
      <c r="C1686">
        <v>4.95</v>
      </c>
    </row>
    <row r="1687" spans="1:3" x14ac:dyDescent="0.25">
      <c r="A1687" s="98">
        <v>5881583080700150</v>
      </c>
      <c r="B1687">
        <v>5.51</v>
      </c>
      <c r="C1687">
        <v>5.31</v>
      </c>
    </row>
    <row r="1688" spans="1:3" x14ac:dyDescent="0.25">
      <c r="A1688" s="98">
        <v>5885073748368900</v>
      </c>
      <c r="B1688">
        <v>5.37</v>
      </c>
      <c r="C1688">
        <v>5.35</v>
      </c>
    </row>
    <row r="1689" spans="1:3" x14ac:dyDescent="0.25">
      <c r="A1689" s="98">
        <v>5888564120486930</v>
      </c>
      <c r="B1689">
        <v>5.56</v>
      </c>
      <c r="C1689">
        <v>5.49</v>
      </c>
    </row>
    <row r="1690" spans="1:3" x14ac:dyDescent="0.25">
      <c r="A1690" s="98">
        <v>5892054608232440</v>
      </c>
      <c r="B1690">
        <v>5.44</v>
      </c>
      <c r="C1690">
        <v>4.84</v>
      </c>
    </row>
    <row r="1691" spans="1:3" x14ac:dyDescent="0.25">
      <c r="A1691" s="98">
        <v>5895545257953580</v>
      </c>
      <c r="B1691">
        <v>5</v>
      </c>
      <c r="C1691">
        <v>4.96</v>
      </c>
    </row>
    <row r="1692" spans="1:3" x14ac:dyDescent="0.25">
      <c r="A1692" s="98">
        <v>5899035655204890</v>
      </c>
      <c r="B1692">
        <v>5.22</v>
      </c>
      <c r="C1692">
        <v>5.21</v>
      </c>
    </row>
    <row r="1693" spans="1:3" x14ac:dyDescent="0.25">
      <c r="A1693" s="98">
        <v>5902526007951410</v>
      </c>
      <c r="B1693">
        <v>5.43</v>
      </c>
      <c r="C1693">
        <v>5.16</v>
      </c>
    </row>
    <row r="1694" spans="1:3" x14ac:dyDescent="0.25">
      <c r="A1694" s="98">
        <v>5906016660978390</v>
      </c>
      <c r="B1694">
        <v>5.45</v>
      </c>
      <c r="C1694">
        <v>5.36</v>
      </c>
    </row>
    <row r="1695" spans="1:3" x14ac:dyDescent="0.25">
      <c r="A1695" s="98">
        <v>5909507285759400</v>
      </c>
      <c r="B1695">
        <v>5.84</v>
      </c>
      <c r="C1695">
        <v>5.08</v>
      </c>
    </row>
    <row r="1696" spans="1:3" x14ac:dyDescent="0.25">
      <c r="A1696" s="98">
        <v>5912997887570540</v>
      </c>
      <c r="B1696">
        <v>5.33</v>
      </c>
      <c r="C1696">
        <v>4.76</v>
      </c>
    </row>
    <row r="1697" spans="1:3" x14ac:dyDescent="0.25">
      <c r="A1697" s="98">
        <v>5916488527368610</v>
      </c>
      <c r="B1697">
        <v>5.59</v>
      </c>
      <c r="C1697">
        <v>5.65</v>
      </c>
    </row>
    <row r="1698" spans="1:3" x14ac:dyDescent="0.25">
      <c r="A1698" s="98">
        <v>5919978993264610</v>
      </c>
      <c r="B1698">
        <v>5.21</v>
      </c>
      <c r="C1698">
        <v>5.37</v>
      </c>
    </row>
    <row r="1699" spans="1:3" x14ac:dyDescent="0.25">
      <c r="A1699" s="98">
        <v>5923469483366710</v>
      </c>
      <c r="B1699">
        <v>5.91</v>
      </c>
      <c r="C1699">
        <v>5.0599999999999996</v>
      </c>
    </row>
    <row r="1700" spans="1:3" x14ac:dyDescent="0.25">
      <c r="A1700" s="98">
        <v>5926960241877370</v>
      </c>
      <c r="B1700">
        <v>5.22</v>
      </c>
      <c r="C1700">
        <v>4.54</v>
      </c>
    </row>
    <row r="1701" spans="1:3" x14ac:dyDescent="0.25">
      <c r="A1701" s="98">
        <v>5930450888469260</v>
      </c>
      <c r="B1701">
        <v>5.3</v>
      </c>
      <c r="C1701">
        <v>5.35</v>
      </c>
    </row>
    <row r="1702" spans="1:3" x14ac:dyDescent="0.25">
      <c r="A1702" s="98">
        <v>5933941586431530</v>
      </c>
      <c r="B1702">
        <v>5.54</v>
      </c>
      <c r="C1702">
        <v>5.54</v>
      </c>
    </row>
    <row r="1703" spans="1:3" x14ac:dyDescent="0.25">
      <c r="A1703" s="98">
        <v>5937432253664290</v>
      </c>
      <c r="B1703">
        <v>5.24</v>
      </c>
      <c r="C1703">
        <v>5.07</v>
      </c>
    </row>
    <row r="1704" spans="1:3" x14ac:dyDescent="0.25">
      <c r="A1704" s="98">
        <v>5940922726563830</v>
      </c>
      <c r="B1704">
        <v>5.13</v>
      </c>
      <c r="C1704">
        <v>5.56</v>
      </c>
    </row>
    <row r="1705" spans="1:3" x14ac:dyDescent="0.25">
      <c r="A1705" s="98">
        <v>5944413251534650</v>
      </c>
      <c r="B1705">
        <v>5.36</v>
      </c>
      <c r="C1705">
        <v>4.8499999999999996</v>
      </c>
    </row>
    <row r="1706" spans="1:3" x14ac:dyDescent="0.25">
      <c r="A1706" s="98">
        <v>5947903850139290</v>
      </c>
      <c r="B1706">
        <v>5.98</v>
      </c>
      <c r="C1706">
        <v>4.46</v>
      </c>
    </row>
    <row r="1707" spans="1:3" x14ac:dyDescent="0.25">
      <c r="A1707" s="98">
        <v>5951394494440820</v>
      </c>
      <c r="B1707">
        <v>5.75</v>
      </c>
      <c r="C1707">
        <v>5.14</v>
      </c>
    </row>
    <row r="1708" spans="1:3" x14ac:dyDescent="0.25">
      <c r="A1708" s="98">
        <v>5954885100777500</v>
      </c>
      <c r="B1708">
        <v>5.24</v>
      </c>
      <c r="C1708">
        <v>5.24</v>
      </c>
    </row>
    <row r="1709" spans="1:3" x14ac:dyDescent="0.25">
      <c r="A1709" s="98">
        <v>5958375512941010</v>
      </c>
      <c r="B1709">
        <v>5.68</v>
      </c>
      <c r="C1709">
        <v>5.0999999999999996</v>
      </c>
    </row>
    <row r="1710" spans="1:3" x14ac:dyDescent="0.25">
      <c r="A1710" s="98">
        <v>5961866178258700</v>
      </c>
      <c r="B1710">
        <v>5.2</v>
      </c>
      <c r="C1710">
        <v>5.26</v>
      </c>
    </row>
    <row r="1711" spans="1:3" x14ac:dyDescent="0.25">
      <c r="A1711" s="98">
        <v>5965356733258120</v>
      </c>
      <c r="B1711">
        <v>5.92</v>
      </c>
      <c r="C1711">
        <v>5.65</v>
      </c>
    </row>
    <row r="1712" spans="1:3" x14ac:dyDescent="0.25">
      <c r="A1712" s="98">
        <v>5968847680941770</v>
      </c>
      <c r="B1712">
        <v>4.8099999999999996</v>
      </c>
      <c r="C1712">
        <v>5.51</v>
      </c>
    </row>
    <row r="1713" spans="1:3" x14ac:dyDescent="0.25">
      <c r="A1713" s="98">
        <v>5972338096091040</v>
      </c>
      <c r="B1713">
        <v>5.04</v>
      </c>
      <c r="C1713">
        <v>5.44</v>
      </c>
    </row>
    <row r="1714" spans="1:3" x14ac:dyDescent="0.25">
      <c r="A1714" s="98">
        <v>5975828636774310</v>
      </c>
      <c r="B1714">
        <v>5.2</v>
      </c>
      <c r="C1714">
        <v>5.78</v>
      </c>
    </row>
    <row r="1715" spans="1:3" x14ac:dyDescent="0.25">
      <c r="A1715" s="98">
        <v>5979319067619460</v>
      </c>
      <c r="B1715">
        <v>5.19</v>
      </c>
      <c r="C1715">
        <v>5.26</v>
      </c>
    </row>
    <row r="1716" spans="1:3" x14ac:dyDescent="0.25">
      <c r="A1716" s="98">
        <v>5982809651758930</v>
      </c>
      <c r="B1716">
        <v>5.51</v>
      </c>
      <c r="C1716">
        <v>5.24</v>
      </c>
    </row>
    <row r="1717" spans="1:3" x14ac:dyDescent="0.25">
      <c r="A1717" s="98">
        <v>5986300278813750</v>
      </c>
      <c r="B1717">
        <v>5.53</v>
      </c>
      <c r="C1717">
        <v>5.56</v>
      </c>
    </row>
    <row r="1718" spans="1:3" x14ac:dyDescent="0.25">
      <c r="A1718" s="98">
        <v>5989790807024190</v>
      </c>
      <c r="B1718">
        <v>5.2</v>
      </c>
      <c r="C1718">
        <v>5.21</v>
      </c>
    </row>
    <row r="1719" spans="1:3" x14ac:dyDescent="0.25">
      <c r="A1719" s="98">
        <v>5993281152998960</v>
      </c>
      <c r="B1719">
        <v>5.35</v>
      </c>
      <c r="C1719">
        <v>6.05</v>
      </c>
    </row>
    <row r="1720" spans="1:3" x14ac:dyDescent="0.25">
      <c r="A1720" s="98">
        <v>5996771617691820</v>
      </c>
      <c r="B1720">
        <v>5.33</v>
      </c>
      <c r="C1720">
        <v>5.34</v>
      </c>
    </row>
    <row r="1721" spans="1:3" x14ac:dyDescent="0.25">
      <c r="A1721" s="98">
        <v>6000262428257200</v>
      </c>
      <c r="B1721">
        <v>5.7</v>
      </c>
      <c r="C1721">
        <v>5.48</v>
      </c>
    </row>
    <row r="1722" spans="1:3" x14ac:dyDescent="0.25">
      <c r="A1722" s="98">
        <v>6003753071416300</v>
      </c>
      <c r="B1722">
        <v>4.92</v>
      </c>
      <c r="C1722">
        <v>5.51</v>
      </c>
    </row>
    <row r="1723" spans="1:3" x14ac:dyDescent="0.25">
      <c r="A1723" s="98">
        <v>6007243610283840</v>
      </c>
      <c r="B1723">
        <v>4.74</v>
      </c>
      <c r="C1723">
        <v>5.23</v>
      </c>
    </row>
    <row r="1724" spans="1:3" x14ac:dyDescent="0.25">
      <c r="A1724" s="98">
        <v>6010734352712270</v>
      </c>
      <c r="B1724">
        <v>5.49</v>
      </c>
      <c r="C1724">
        <v>4.8099999999999996</v>
      </c>
    </row>
    <row r="1725" spans="1:3" x14ac:dyDescent="0.25">
      <c r="A1725" s="98">
        <v>6014224786609410</v>
      </c>
      <c r="B1725">
        <v>4.9800000000000004</v>
      </c>
      <c r="C1725">
        <v>4.9000000000000004</v>
      </c>
    </row>
    <row r="1726" spans="1:3" x14ac:dyDescent="0.25">
      <c r="A1726" s="98">
        <v>6017715104360270</v>
      </c>
      <c r="B1726">
        <v>5.05</v>
      </c>
      <c r="C1726">
        <v>4.99</v>
      </c>
    </row>
    <row r="1727" spans="1:3" x14ac:dyDescent="0.25">
      <c r="A1727" s="98">
        <v>6021205645805150</v>
      </c>
      <c r="B1727">
        <v>4.83</v>
      </c>
      <c r="C1727">
        <v>5.91</v>
      </c>
    </row>
    <row r="1728" spans="1:3" x14ac:dyDescent="0.25">
      <c r="A1728" s="98">
        <v>6024696169302420</v>
      </c>
      <c r="B1728">
        <v>5.46</v>
      </c>
      <c r="C1728">
        <v>5.3</v>
      </c>
    </row>
    <row r="1729" spans="1:3" x14ac:dyDescent="0.25">
      <c r="A1729" s="98">
        <v>6028186578838910</v>
      </c>
      <c r="B1729">
        <v>5.42</v>
      </c>
      <c r="C1729">
        <v>4.99</v>
      </c>
    </row>
    <row r="1730" spans="1:3" x14ac:dyDescent="0.25">
      <c r="A1730" s="98">
        <v>6031677042748080</v>
      </c>
      <c r="B1730">
        <v>5.75</v>
      </c>
      <c r="C1730">
        <v>4.7300000000000004</v>
      </c>
    </row>
    <row r="1731" spans="1:3" x14ac:dyDescent="0.25">
      <c r="A1731" s="98">
        <v>6035167601969500</v>
      </c>
      <c r="B1731">
        <v>5.95</v>
      </c>
      <c r="C1731">
        <v>4.82</v>
      </c>
    </row>
    <row r="1732" spans="1:3" x14ac:dyDescent="0.25">
      <c r="A1732" s="98">
        <v>6038658188432450</v>
      </c>
      <c r="B1732">
        <v>5.1100000000000003</v>
      </c>
      <c r="C1732">
        <v>5.15</v>
      </c>
    </row>
    <row r="1733" spans="1:3" x14ac:dyDescent="0.25">
      <c r="A1733" s="98">
        <v>6042148981497240</v>
      </c>
      <c r="B1733">
        <v>5.83</v>
      </c>
      <c r="C1733">
        <v>5.46</v>
      </c>
    </row>
    <row r="1734" spans="1:3" x14ac:dyDescent="0.25">
      <c r="A1734" s="98">
        <v>6045639651793020</v>
      </c>
      <c r="B1734">
        <v>6.01</v>
      </c>
      <c r="C1734">
        <v>4.68</v>
      </c>
    </row>
    <row r="1735" spans="1:3" x14ac:dyDescent="0.25">
      <c r="A1735" s="98">
        <v>6049130149268440</v>
      </c>
      <c r="B1735">
        <v>5.17</v>
      </c>
      <c r="C1735">
        <v>5.2</v>
      </c>
    </row>
    <row r="1736" spans="1:3" x14ac:dyDescent="0.25">
      <c r="A1736" s="98">
        <v>6052620619673420</v>
      </c>
      <c r="B1736">
        <v>5.88</v>
      </c>
      <c r="C1736">
        <v>5.31</v>
      </c>
    </row>
    <row r="1737" spans="1:3" x14ac:dyDescent="0.25">
      <c r="A1737" s="98">
        <v>6056111116823220</v>
      </c>
      <c r="B1737">
        <v>5.49</v>
      </c>
      <c r="C1737">
        <v>5.64</v>
      </c>
    </row>
    <row r="1738" spans="1:3" x14ac:dyDescent="0.25">
      <c r="A1738" s="98">
        <v>6059601586990880</v>
      </c>
      <c r="B1738">
        <v>5.14</v>
      </c>
      <c r="C1738">
        <v>5.61</v>
      </c>
    </row>
    <row r="1739" spans="1:3" x14ac:dyDescent="0.25">
      <c r="A1739" s="98">
        <v>6063092309529030</v>
      </c>
      <c r="B1739">
        <v>4.5999999999999996</v>
      </c>
      <c r="C1739">
        <v>5.66</v>
      </c>
    </row>
    <row r="1740" spans="1:3" x14ac:dyDescent="0.25">
      <c r="A1740" s="98">
        <v>6066582891852760</v>
      </c>
      <c r="B1740">
        <v>5.36</v>
      </c>
      <c r="C1740">
        <v>4.9000000000000004</v>
      </c>
    </row>
    <row r="1741" spans="1:3" x14ac:dyDescent="0.25">
      <c r="A1741" s="98">
        <v>6070073424505960</v>
      </c>
      <c r="B1741">
        <v>5.43</v>
      </c>
      <c r="C1741">
        <v>5.18</v>
      </c>
    </row>
    <row r="1742" spans="1:3" x14ac:dyDescent="0.25">
      <c r="A1742" s="98">
        <v>6073564232361530</v>
      </c>
      <c r="B1742">
        <v>4.95</v>
      </c>
      <c r="C1742">
        <v>5.18</v>
      </c>
    </row>
    <row r="1743" spans="1:3" x14ac:dyDescent="0.25">
      <c r="A1743" s="98">
        <v>6077054828008010</v>
      </c>
      <c r="B1743">
        <v>5.76</v>
      </c>
      <c r="C1743">
        <v>5.81</v>
      </c>
    </row>
    <row r="1744" spans="1:3" x14ac:dyDescent="0.25">
      <c r="A1744" s="98">
        <v>6080545356063930</v>
      </c>
      <c r="B1744">
        <v>5.14</v>
      </c>
      <c r="C1744">
        <v>4.6900000000000004</v>
      </c>
    </row>
    <row r="1745" spans="1:3" x14ac:dyDescent="0.25">
      <c r="A1745" s="98">
        <v>6084035888639860</v>
      </c>
      <c r="B1745">
        <v>5</v>
      </c>
      <c r="C1745">
        <v>5.53</v>
      </c>
    </row>
    <row r="1746" spans="1:3" x14ac:dyDescent="0.25">
      <c r="A1746" s="98">
        <v>6087526357935530</v>
      </c>
      <c r="B1746">
        <v>5.59</v>
      </c>
      <c r="C1746">
        <v>5.38</v>
      </c>
    </row>
    <row r="1747" spans="1:3" x14ac:dyDescent="0.25">
      <c r="A1747" s="98">
        <v>6091016960580040</v>
      </c>
      <c r="B1747">
        <v>4.74</v>
      </c>
      <c r="C1747">
        <v>5.28</v>
      </c>
    </row>
    <row r="1748" spans="1:3" x14ac:dyDescent="0.25">
      <c r="A1748" s="98">
        <v>6094507414306750</v>
      </c>
      <c r="B1748">
        <v>5.22</v>
      </c>
      <c r="C1748">
        <v>5.32</v>
      </c>
    </row>
    <row r="1749" spans="1:3" x14ac:dyDescent="0.25">
      <c r="A1749" s="98">
        <v>6097997844655200</v>
      </c>
      <c r="B1749">
        <v>5.18</v>
      </c>
      <c r="C1749">
        <v>5.4</v>
      </c>
    </row>
    <row r="1750" spans="1:3" x14ac:dyDescent="0.25">
      <c r="A1750" s="98">
        <v>6101488433590640</v>
      </c>
      <c r="B1750">
        <v>5.71</v>
      </c>
      <c r="C1750">
        <v>5.46</v>
      </c>
    </row>
    <row r="1751" spans="1:3" x14ac:dyDescent="0.25">
      <c r="A1751" s="98">
        <v>6104979014523600</v>
      </c>
      <c r="B1751">
        <v>4.95</v>
      </c>
      <c r="C1751">
        <v>5.23</v>
      </c>
    </row>
    <row r="1752" spans="1:3" x14ac:dyDescent="0.25">
      <c r="A1752" s="98">
        <v>6108469323736650</v>
      </c>
      <c r="B1752">
        <v>5.05</v>
      </c>
      <c r="C1752">
        <v>5.61</v>
      </c>
    </row>
    <row r="1753" spans="1:3" x14ac:dyDescent="0.25">
      <c r="A1753" s="98">
        <v>6111959988491400</v>
      </c>
      <c r="B1753">
        <v>5.54</v>
      </c>
      <c r="C1753">
        <v>4.9000000000000004</v>
      </c>
    </row>
    <row r="1754" spans="1:3" x14ac:dyDescent="0.25">
      <c r="A1754" s="98">
        <v>6115450492926210</v>
      </c>
      <c r="B1754">
        <v>5.4</v>
      </c>
      <c r="C1754">
        <v>4.95</v>
      </c>
    </row>
    <row r="1755" spans="1:3" x14ac:dyDescent="0.25">
      <c r="A1755" s="98">
        <v>6118940986367280</v>
      </c>
      <c r="B1755">
        <v>5.79</v>
      </c>
      <c r="C1755">
        <v>5.12</v>
      </c>
    </row>
    <row r="1756" spans="1:3" x14ac:dyDescent="0.25">
      <c r="A1756" s="98">
        <v>6122431520935560</v>
      </c>
      <c r="B1756">
        <v>5.33</v>
      </c>
      <c r="C1756">
        <v>5.44</v>
      </c>
    </row>
    <row r="1757" spans="1:3" x14ac:dyDescent="0.25">
      <c r="A1757" s="98">
        <v>6125921952592000</v>
      </c>
      <c r="B1757">
        <v>5.05</v>
      </c>
      <c r="C1757">
        <v>5.68</v>
      </c>
    </row>
    <row r="1758" spans="1:3" x14ac:dyDescent="0.25">
      <c r="A1758" s="98">
        <v>6129412388470430</v>
      </c>
      <c r="B1758">
        <v>5.84</v>
      </c>
      <c r="C1758">
        <v>5.25</v>
      </c>
    </row>
    <row r="1759" spans="1:3" x14ac:dyDescent="0.25">
      <c r="A1759" s="98">
        <v>6132902781593570</v>
      </c>
      <c r="B1759">
        <v>5.09</v>
      </c>
      <c r="C1759">
        <v>5.76</v>
      </c>
    </row>
    <row r="1760" spans="1:3" x14ac:dyDescent="0.25">
      <c r="A1760" s="98">
        <v>6136393692432730</v>
      </c>
      <c r="B1760">
        <v>4.75</v>
      </c>
      <c r="C1760">
        <v>4.6900000000000004</v>
      </c>
    </row>
    <row r="1761" spans="1:3" x14ac:dyDescent="0.25">
      <c r="A1761" s="98">
        <v>6139884317638690</v>
      </c>
      <c r="B1761">
        <v>5.51</v>
      </c>
      <c r="C1761">
        <v>5.26</v>
      </c>
    </row>
    <row r="1762" spans="1:3" x14ac:dyDescent="0.25">
      <c r="A1762" s="98">
        <v>6143374833238340</v>
      </c>
      <c r="B1762">
        <v>5.73</v>
      </c>
      <c r="C1762">
        <v>5.74</v>
      </c>
    </row>
    <row r="1763" spans="1:3" x14ac:dyDescent="0.25">
      <c r="A1763" s="98">
        <v>6146865326017140</v>
      </c>
      <c r="B1763">
        <v>5.03</v>
      </c>
      <c r="C1763">
        <v>5.05</v>
      </c>
    </row>
    <row r="1764" spans="1:3" x14ac:dyDescent="0.25">
      <c r="A1764" s="98">
        <v>6150355724995880</v>
      </c>
      <c r="B1764">
        <v>5.41</v>
      </c>
      <c r="C1764">
        <v>5.21</v>
      </c>
    </row>
    <row r="1765" spans="1:3" x14ac:dyDescent="0.25">
      <c r="A1765" s="98">
        <v>6153846212912480</v>
      </c>
      <c r="B1765">
        <v>4.4400000000000004</v>
      </c>
      <c r="C1765">
        <v>5.94</v>
      </c>
    </row>
    <row r="1766" spans="1:3" x14ac:dyDescent="0.25">
      <c r="A1766" s="98">
        <v>6157336975738950</v>
      </c>
      <c r="B1766">
        <v>5.21</v>
      </c>
      <c r="C1766">
        <v>5.1100000000000003</v>
      </c>
    </row>
    <row r="1767" spans="1:3" x14ac:dyDescent="0.25">
      <c r="A1767" s="98">
        <v>6160827583709240</v>
      </c>
      <c r="B1767">
        <v>5.9</v>
      </c>
      <c r="C1767">
        <v>5.31</v>
      </c>
    </row>
    <row r="1768" spans="1:3" x14ac:dyDescent="0.25">
      <c r="A1768" s="98">
        <v>6164318144740880</v>
      </c>
      <c r="B1768">
        <v>4.28</v>
      </c>
      <c r="C1768">
        <v>4.87</v>
      </c>
    </row>
    <row r="1769" spans="1:3" x14ac:dyDescent="0.25">
      <c r="A1769" s="98">
        <v>6167808925801950</v>
      </c>
      <c r="B1769">
        <v>5.42</v>
      </c>
      <c r="C1769">
        <v>5.66</v>
      </c>
    </row>
    <row r="1770" spans="1:3" x14ac:dyDescent="0.25">
      <c r="A1770" s="98">
        <v>6171299385571920</v>
      </c>
      <c r="B1770">
        <v>4.8899999999999997</v>
      </c>
      <c r="C1770">
        <v>4.75</v>
      </c>
    </row>
    <row r="1771" spans="1:3" x14ac:dyDescent="0.25">
      <c r="A1771" s="98">
        <v>6174789836357030</v>
      </c>
      <c r="B1771">
        <v>4.53</v>
      </c>
      <c r="C1771">
        <v>5.43</v>
      </c>
    </row>
    <row r="1772" spans="1:3" x14ac:dyDescent="0.25">
      <c r="A1772" s="98">
        <v>6178280336619520</v>
      </c>
      <c r="B1772">
        <v>4.37</v>
      </c>
      <c r="C1772">
        <v>5.33</v>
      </c>
    </row>
    <row r="1773" spans="1:3" x14ac:dyDescent="0.25">
      <c r="A1773" s="98">
        <v>6181770752116480</v>
      </c>
      <c r="B1773">
        <v>5.69</v>
      </c>
      <c r="C1773">
        <v>5.12</v>
      </c>
    </row>
    <row r="1774" spans="1:3" x14ac:dyDescent="0.25">
      <c r="A1774" s="98">
        <v>6185261260767770</v>
      </c>
      <c r="B1774">
        <v>4.47</v>
      </c>
      <c r="C1774">
        <v>5</v>
      </c>
    </row>
    <row r="1775" spans="1:3" x14ac:dyDescent="0.25">
      <c r="A1775" s="98">
        <v>6188751720499100</v>
      </c>
      <c r="B1775">
        <v>4.01</v>
      </c>
      <c r="C1775">
        <v>4.93</v>
      </c>
    </row>
    <row r="1776" spans="1:3" x14ac:dyDescent="0.25">
      <c r="A1776" s="98">
        <v>6192242333303990</v>
      </c>
      <c r="B1776">
        <v>4.59</v>
      </c>
      <c r="C1776">
        <v>5.46</v>
      </c>
    </row>
    <row r="1777" spans="1:3" x14ac:dyDescent="0.25">
      <c r="A1777" s="98">
        <v>6195733022220700</v>
      </c>
      <c r="B1777">
        <v>5.78</v>
      </c>
      <c r="C1777">
        <v>5.0199999999999996</v>
      </c>
    </row>
    <row r="1778" spans="1:3" x14ac:dyDescent="0.25">
      <c r="A1778" s="98">
        <v>6199223755277960</v>
      </c>
      <c r="B1778">
        <v>5.13</v>
      </c>
      <c r="C1778">
        <v>5</v>
      </c>
    </row>
    <row r="1779" spans="1:3" x14ac:dyDescent="0.25">
      <c r="A1779" s="98">
        <v>6202714327943540</v>
      </c>
      <c r="B1779">
        <v>4.96</v>
      </c>
      <c r="C1779">
        <v>5.63</v>
      </c>
    </row>
    <row r="1780" spans="1:3" x14ac:dyDescent="0.25">
      <c r="A1780" s="98">
        <v>6206204488487150</v>
      </c>
      <c r="B1780">
        <v>5.93</v>
      </c>
      <c r="C1780">
        <v>5.01</v>
      </c>
    </row>
    <row r="1781" spans="1:3" x14ac:dyDescent="0.25">
      <c r="A1781" s="98">
        <v>6209694855936140</v>
      </c>
      <c r="B1781">
        <v>5.98</v>
      </c>
      <c r="C1781">
        <v>5.49</v>
      </c>
    </row>
    <row r="1782" spans="1:3" x14ac:dyDescent="0.25">
      <c r="A1782" s="98">
        <v>6213185443431130</v>
      </c>
      <c r="B1782">
        <v>4.97</v>
      </c>
      <c r="C1782">
        <v>5.13</v>
      </c>
    </row>
    <row r="1783" spans="1:3" x14ac:dyDescent="0.25">
      <c r="A1783" s="98">
        <v>6216676050452170</v>
      </c>
      <c r="B1783">
        <v>4.92</v>
      </c>
      <c r="C1783">
        <v>5.43</v>
      </c>
    </row>
    <row r="1784" spans="1:3" x14ac:dyDescent="0.25">
      <c r="A1784" s="98">
        <v>6220166415820510</v>
      </c>
      <c r="B1784">
        <v>4.9800000000000004</v>
      </c>
      <c r="C1784">
        <v>5.78</v>
      </c>
    </row>
    <row r="1785" spans="1:3" x14ac:dyDescent="0.25">
      <c r="A1785" s="98">
        <v>6223656987879010</v>
      </c>
      <c r="B1785">
        <v>4.8899999999999997</v>
      </c>
      <c r="C1785">
        <v>4.84</v>
      </c>
    </row>
    <row r="1786" spans="1:3" x14ac:dyDescent="0.25">
      <c r="A1786" s="98">
        <v>6227147362922070</v>
      </c>
      <c r="B1786">
        <v>4.63</v>
      </c>
      <c r="C1786">
        <v>5.35</v>
      </c>
    </row>
    <row r="1787" spans="1:3" x14ac:dyDescent="0.25">
      <c r="A1787" s="98">
        <v>6230638161130520</v>
      </c>
      <c r="B1787">
        <v>5.23</v>
      </c>
      <c r="C1787">
        <v>4.9800000000000004</v>
      </c>
    </row>
    <row r="1788" spans="1:3" x14ac:dyDescent="0.25">
      <c r="A1788" s="98">
        <v>6234128870831590</v>
      </c>
      <c r="B1788">
        <v>5.68</v>
      </c>
      <c r="C1788">
        <v>6.47</v>
      </c>
    </row>
    <row r="1789" spans="1:3" x14ac:dyDescent="0.25">
      <c r="A1789" s="98">
        <v>6237619527572830</v>
      </c>
      <c r="B1789">
        <v>5.8</v>
      </c>
      <c r="C1789">
        <v>5.77</v>
      </c>
    </row>
    <row r="1790" spans="1:3" x14ac:dyDescent="0.25">
      <c r="A1790" s="98">
        <v>6241110293313300</v>
      </c>
      <c r="B1790">
        <v>4.8</v>
      </c>
      <c r="C1790">
        <v>5.48</v>
      </c>
    </row>
    <row r="1791" spans="1:3" x14ac:dyDescent="0.25">
      <c r="A1791" s="98">
        <v>6244600689157290</v>
      </c>
      <c r="B1791">
        <v>4.8</v>
      </c>
      <c r="C1791">
        <v>4.8499999999999996</v>
      </c>
    </row>
    <row r="1792" spans="1:3" x14ac:dyDescent="0.25">
      <c r="A1792" s="98">
        <v>6248091229343850</v>
      </c>
      <c r="B1792">
        <v>4.96</v>
      </c>
      <c r="C1792">
        <v>5.13</v>
      </c>
    </row>
    <row r="1793" spans="1:3" x14ac:dyDescent="0.25">
      <c r="A1793" s="98">
        <v>6251581697618520</v>
      </c>
      <c r="B1793">
        <v>5.34</v>
      </c>
      <c r="C1793">
        <v>4.62</v>
      </c>
    </row>
    <row r="1794" spans="1:3" x14ac:dyDescent="0.25">
      <c r="A1794" s="98">
        <v>6255072124462430</v>
      </c>
      <c r="B1794">
        <v>4.75</v>
      </c>
      <c r="C1794">
        <v>5.78</v>
      </c>
    </row>
    <row r="1795" spans="1:3" x14ac:dyDescent="0.25">
      <c r="A1795" s="98">
        <v>6258562775750950</v>
      </c>
      <c r="B1795">
        <v>4.6399999999999997</v>
      </c>
      <c r="C1795">
        <v>5.4</v>
      </c>
    </row>
    <row r="1796" spans="1:3" x14ac:dyDescent="0.25">
      <c r="A1796" s="98">
        <v>6262053495479950</v>
      </c>
      <c r="B1796">
        <v>5.94</v>
      </c>
      <c r="C1796">
        <v>4.6399999999999997</v>
      </c>
    </row>
    <row r="1797" spans="1:3" x14ac:dyDescent="0.25">
      <c r="A1797" s="98">
        <v>6265544016797230</v>
      </c>
      <c r="B1797">
        <v>4.66</v>
      </c>
      <c r="C1797">
        <v>4.9000000000000004</v>
      </c>
    </row>
    <row r="1798" spans="1:3" x14ac:dyDescent="0.25">
      <c r="A1798" s="98">
        <v>6269034515635830</v>
      </c>
      <c r="B1798">
        <v>5.53</v>
      </c>
      <c r="C1798">
        <v>5.5</v>
      </c>
    </row>
    <row r="1799" spans="1:3" x14ac:dyDescent="0.25">
      <c r="A1799" s="98">
        <v>6272525290830260</v>
      </c>
      <c r="B1799">
        <v>4.87</v>
      </c>
      <c r="C1799">
        <v>4.93</v>
      </c>
    </row>
    <row r="1800" spans="1:3" x14ac:dyDescent="0.25">
      <c r="A1800" s="98">
        <v>6276015520211720</v>
      </c>
      <c r="B1800">
        <v>4.78</v>
      </c>
      <c r="C1800">
        <v>5.66</v>
      </c>
    </row>
    <row r="1801" spans="1:3" x14ac:dyDescent="0.25">
      <c r="A1801" s="98">
        <v>6279506121487520</v>
      </c>
      <c r="B1801">
        <v>4.9400000000000004</v>
      </c>
      <c r="C1801">
        <v>5.86</v>
      </c>
    </row>
    <row r="1802" spans="1:3" x14ac:dyDescent="0.25">
      <c r="A1802" s="98">
        <v>6282996646861230</v>
      </c>
      <c r="B1802">
        <v>5.23</v>
      </c>
      <c r="C1802">
        <v>5.52</v>
      </c>
    </row>
    <row r="1803" spans="1:3" x14ac:dyDescent="0.25">
      <c r="A1803" s="98">
        <v>6286487009977850</v>
      </c>
      <c r="B1803">
        <v>4.7300000000000004</v>
      </c>
      <c r="C1803">
        <v>5.37</v>
      </c>
    </row>
    <row r="1804" spans="1:3" x14ac:dyDescent="0.25">
      <c r="A1804" s="98">
        <v>6289977465277460</v>
      </c>
      <c r="B1804">
        <v>5.0999999999999996</v>
      </c>
      <c r="C1804">
        <v>4.55</v>
      </c>
    </row>
    <row r="1805" spans="1:3" x14ac:dyDescent="0.25">
      <c r="A1805" s="98">
        <v>6293468078192730</v>
      </c>
      <c r="B1805">
        <v>5.34</v>
      </c>
      <c r="C1805">
        <v>4.67</v>
      </c>
    </row>
    <row r="1806" spans="1:3" x14ac:dyDescent="0.25">
      <c r="A1806" s="98">
        <v>6296958333927170</v>
      </c>
      <c r="B1806">
        <v>5.22</v>
      </c>
      <c r="C1806">
        <v>4.34</v>
      </c>
    </row>
    <row r="1807" spans="1:3" x14ac:dyDescent="0.25">
      <c r="A1807" s="98">
        <v>6300448975701020</v>
      </c>
      <c r="B1807">
        <v>4.8099999999999996</v>
      </c>
      <c r="C1807">
        <v>4.9800000000000004</v>
      </c>
    </row>
    <row r="1808" spans="1:3" x14ac:dyDescent="0.25">
      <c r="A1808" s="98">
        <v>6303939468546040</v>
      </c>
      <c r="B1808">
        <v>5.54</v>
      </c>
      <c r="C1808">
        <v>5.96</v>
      </c>
    </row>
    <row r="1809" spans="1:3" x14ac:dyDescent="0.25">
      <c r="A1809" s="98">
        <v>6307429903574560</v>
      </c>
      <c r="B1809">
        <v>5</v>
      </c>
      <c r="C1809">
        <v>6.73</v>
      </c>
    </row>
    <row r="1810" spans="1:3" x14ac:dyDescent="0.25">
      <c r="A1810" s="98">
        <v>6310920410636390</v>
      </c>
      <c r="B1810">
        <v>4.92</v>
      </c>
      <c r="C1810">
        <v>5.66</v>
      </c>
    </row>
    <row r="1811" spans="1:3" x14ac:dyDescent="0.25">
      <c r="A1811" s="98">
        <v>6314411095656730</v>
      </c>
      <c r="B1811">
        <v>5.36</v>
      </c>
      <c r="C1811">
        <v>5.15</v>
      </c>
    </row>
    <row r="1812" spans="1:3" x14ac:dyDescent="0.25">
      <c r="A1812" s="98">
        <v>6317901698257080</v>
      </c>
      <c r="B1812">
        <v>4.9000000000000004</v>
      </c>
      <c r="C1812">
        <v>5.54</v>
      </c>
    </row>
    <row r="1813" spans="1:3" x14ac:dyDescent="0.25">
      <c r="A1813" s="98">
        <v>6321392398062670</v>
      </c>
      <c r="B1813">
        <v>5.47</v>
      </c>
      <c r="C1813">
        <v>5.19</v>
      </c>
    </row>
    <row r="1814" spans="1:3" x14ac:dyDescent="0.25">
      <c r="A1814" s="98">
        <v>6324883019283960</v>
      </c>
      <c r="B1814">
        <v>5.85</v>
      </c>
      <c r="C1814">
        <v>5.52</v>
      </c>
    </row>
    <row r="1815" spans="1:3" x14ac:dyDescent="0.25">
      <c r="A1815" s="98">
        <v>6328373704006270</v>
      </c>
      <c r="B1815">
        <v>4.68</v>
      </c>
      <c r="C1815">
        <v>4.97</v>
      </c>
    </row>
    <row r="1816" spans="1:3" x14ac:dyDescent="0.25">
      <c r="A1816" s="98">
        <v>6331864381774700</v>
      </c>
      <c r="B1816">
        <v>4.7300000000000004</v>
      </c>
      <c r="C1816">
        <v>4.8099999999999996</v>
      </c>
    </row>
    <row r="1817" spans="1:3" x14ac:dyDescent="0.25">
      <c r="A1817" s="98">
        <v>6335355270626360</v>
      </c>
      <c r="B1817">
        <v>5.18</v>
      </c>
      <c r="C1817">
        <v>4.7</v>
      </c>
    </row>
    <row r="1818" spans="1:3" x14ac:dyDescent="0.25">
      <c r="A1818" s="98">
        <v>6338845957423800</v>
      </c>
      <c r="B1818">
        <v>5.43</v>
      </c>
      <c r="C1818">
        <v>5.73</v>
      </c>
    </row>
    <row r="1819" spans="1:3" x14ac:dyDescent="0.25">
      <c r="A1819" s="98">
        <v>6342336457426900</v>
      </c>
      <c r="B1819">
        <v>4.32</v>
      </c>
      <c r="C1819">
        <v>5.12</v>
      </c>
    </row>
    <row r="1820" spans="1:3" x14ac:dyDescent="0.25">
      <c r="A1820" s="98">
        <v>6345826980173580</v>
      </c>
      <c r="B1820">
        <v>4.5599999999999996</v>
      </c>
      <c r="C1820">
        <v>6.05</v>
      </c>
    </row>
    <row r="1821" spans="1:3" x14ac:dyDescent="0.25">
      <c r="A1821" s="98">
        <v>6349317459889030</v>
      </c>
      <c r="B1821">
        <v>4.9800000000000004</v>
      </c>
      <c r="C1821">
        <v>5.27</v>
      </c>
    </row>
    <row r="1822" spans="1:3" x14ac:dyDescent="0.25">
      <c r="A1822" s="98">
        <v>6352808009954510</v>
      </c>
      <c r="B1822">
        <v>4.71</v>
      </c>
      <c r="C1822">
        <v>5.18</v>
      </c>
    </row>
    <row r="1823" spans="1:3" x14ac:dyDescent="0.25">
      <c r="A1823" s="98">
        <v>6356298590694310</v>
      </c>
      <c r="B1823">
        <v>5.31</v>
      </c>
      <c r="C1823">
        <v>4.8600000000000003</v>
      </c>
    </row>
    <row r="1824" spans="1:3" x14ac:dyDescent="0.25">
      <c r="A1824" s="98">
        <v>6359789202776220</v>
      </c>
      <c r="B1824">
        <v>4.8899999999999997</v>
      </c>
      <c r="C1824">
        <v>4.9800000000000004</v>
      </c>
    </row>
    <row r="1825" spans="1:3" x14ac:dyDescent="0.25">
      <c r="A1825" s="98">
        <v>6363279533518680</v>
      </c>
      <c r="B1825">
        <v>5</v>
      </c>
      <c r="C1825">
        <v>5.6</v>
      </c>
    </row>
    <row r="1826" spans="1:3" x14ac:dyDescent="0.25">
      <c r="A1826" s="98">
        <v>6366770488663950</v>
      </c>
      <c r="B1826">
        <v>5.46</v>
      </c>
      <c r="C1826">
        <v>5.21</v>
      </c>
    </row>
    <row r="1827" spans="1:3" x14ac:dyDescent="0.25">
      <c r="A1827" s="98">
        <v>6370261141525370</v>
      </c>
      <c r="B1827">
        <v>6.15</v>
      </c>
      <c r="C1827">
        <v>5.1100000000000003</v>
      </c>
    </row>
    <row r="1828" spans="1:3" x14ac:dyDescent="0.25">
      <c r="A1828" s="98">
        <v>6373751616952590</v>
      </c>
      <c r="B1828">
        <v>4.88</v>
      </c>
      <c r="C1828">
        <v>6.31</v>
      </c>
    </row>
    <row r="1829" spans="1:3" x14ac:dyDescent="0.25">
      <c r="A1829" s="98">
        <v>6377242046246920</v>
      </c>
      <c r="B1829">
        <v>5.24</v>
      </c>
      <c r="C1829">
        <v>5.19</v>
      </c>
    </row>
    <row r="1830" spans="1:3" x14ac:dyDescent="0.25">
      <c r="A1830" s="98">
        <v>6380732719120050</v>
      </c>
      <c r="B1830">
        <v>4.68</v>
      </c>
      <c r="C1830">
        <v>5.31</v>
      </c>
    </row>
    <row r="1831" spans="1:3" x14ac:dyDescent="0.25">
      <c r="A1831" s="98">
        <v>6384223405387660</v>
      </c>
      <c r="B1831">
        <v>5.3</v>
      </c>
      <c r="C1831">
        <v>4.76</v>
      </c>
    </row>
    <row r="1832" spans="1:3" x14ac:dyDescent="0.25">
      <c r="A1832" s="98">
        <v>6387714159361740</v>
      </c>
      <c r="B1832">
        <v>4.95</v>
      </c>
      <c r="C1832">
        <v>5.1100000000000003</v>
      </c>
    </row>
    <row r="1833" spans="1:3" x14ac:dyDescent="0.25">
      <c r="A1833" s="98">
        <v>6391204659204790</v>
      </c>
      <c r="B1833">
        <v>4.79</v>
      </c>
      <c r="C1833">
        <v>4.62</v>
      </c>
    </row>
    <row r="1834" spans="1:3" x14ac:dyDescent="0.25">
      <c r="A1834" s="98">
        <v>6394695168005090</v>
      </c>
      <c r="B1834">
        <v>6.05</v>
      </c>
      <c r="C1834">
        <v>4.4400000000000004</v>
      </c>
    </row>
    <row r="1835" spans="1:3" x14ac:dyDescent="0.25">
      <c r="A1835" s="98">
        <v>6398186060515810</v>
      </c>
      <c r="B1835">
        <v>4.5199999999999996</v>
      </c>
      <c r="C1835">
        <v>5.21</v>
      </c>
    </row>
    <row r="1836" spans="1:3" x14ac:dyDescent="0.25">
      <c r="A1836" s="98">
        <v>6401676601922070</v>
      </c>
      <c r="B1836">
        <v>5.13</v>
      </c>
      <c r="C1836">
        <v>5.22</v>
      </c>
    </row>
    <row r="1837" spans="1:3" x14ac:dyDescent="0.25">
      <c r="A1837" s="98">
        <v>6405167145701470</v>
      </c>
      <c r="B1837">
        <v>5.15</v>
      </c>
      <c r="C1837">
        <v>5.96</v>
      </c>
    </row>
    <row r="1838" spans="1:3" x14ac:dyDescent="0.25">
      <c r="A1838" s="98">
        <v>6408657774472670</v>
      </c>
      <c r="B1838">
        <v>5.01</v>
      </c>
      <c r="C1838">
        <v>5.35</v>
      </c>
    </row>
    <row r="1839" spans="1:3" x14ac:dyDescent="0.25">
      <c r="A1839" s="98">
        <v>6412148409033260</v>
      </c>
      <c r="B1839">
        <v>4.51</v>
      </c>
      <c r="C1839">
        <v>5.43</v>
      </c>
    </row>
    <row r="1840" spans="1:3" x14ac:dyDescent="0.25">
      <c r="A1840" s="98">
        <v>6415639006611370</v>
      </c>
      <c r="B1840">
        <v>5.26</v>
      </c>
      <c r="C1840">
        <v>5.1100000000000003</v>
      </c>
    </row>
    <row r="1841" spans="1:3" x14ac:dyDescent="0.25">
      <c r="A1841" s="98">
        <v>6419129631315110</v>
      </c>
      <c r="B1841">
        <v>4.8</v>
      </c>
      <c r="C1841">
        <v>4.04</v>
      </c>
    </row>
    <row r="1842" spans="1:3" x14ac:dyDescent="0.25">
      <c r="A1842" s="98">
        <v>6422620275528340</v>
      </c>
      <c r="B1842">
        <v>4.95</v>
      </c>
      <c r="C1842">
        <v>4.88</v>
      </c>
    </row>
    <row r="1843" spans="1:3" x14ac:dyDescent="0.25">
      <c r="A1843" s="98">
        <v>6426110976801970</v>
      </c>
      <c r="B1843">
        <v>4.63</v>
      </c>
      <c r="C1843">
        <v>4.5599999999999996</v>
      </c>
    </row>
    <row r="1844" spans="1:3" x14ac:dyDescent="0.25">
      <c r="A1844" s="98">
        <v>6429601457279030</v>
      </c>
      <c r="B1844">
        <v>4.21</v>
      </c>
      <c r="C1844">
        <v>5.58</v>
      </c>
    </row>
    <row r="1845" spans="1:3" x14ac:dyDescent="0.25">
      <c r="A1845" s="98">
        <v>6433092094472160</v>
      </c>
      <c r="B1845">
        <v>4.97</v>
      </c>
      <c r="C1845">
        <v>4.8099999999999996</v>
      </c>
    </row>
    <row r="1846" spans="1:3" x14ac:dyDescent="0.25">
      <c r="A1846" s="98">
        <v>6436582596627650</v>
      </c>
      <c r="B1846">
        <v>5.19</v>
      </c>
      <c r="C1846">
        <v>5.25</v>
      </c>
    </row>
    <row r="1847" spans="1:3" x14ac:dyDescent="0.25">
      <c r="A1847" s="98">
        <v>6440073093970610</v>
      </c>
      <c r="B1847">
        <v>5.37</v>
      </c>
      <c r="C1847">
        <v>6.21</v>
      </c>
    </row>
    <row r="1848" spans="1:3" x14ac:dyDescent="0.25">
      <c r="A1848" s="98">
        <v>6443563594602870</v>
      </c>
      <c r="B1848">
        <v>4.12</v>
      </c>
      <c r="C1848">
        <v>5.42</v>
      </c>
    </row>
    <row r="1849" spans="1:3" x14ac:dyDescent="0.25">
      <c r="A1849" s="98">
        <v>6447054307676020</v>
      </c>
      <c r="B1849">
        <v>4.3899999999999997</v>
      </c>
      <c r="C1849">
        <v>4.68</v>
      </c>
    </row>
    <row r="1850" spans="1:3" x14ac:dyDescent="0.25">
      <c r="A1850" s="98">
        <v>6450544957264700</v>
      </c>
      <c r="B1850">
        <v>4.7300000000000004</v>
      </c>
      <c r="C1850">
        <v>5.0199999999999996</v>
      </c>
    </row>
    <row r="1851" spans="1:3" x14ac:dyDescent="0.25">
      <c r="A1851" s="98">
        <v>6454035444016810</v>
      </c>
      <c r="B1851">
        <v>5.23</v>
      </c>
      <c r="C1851">
        <v>3.89</v>
      </c>
    </row>
    <row r="1852" spans="1:3" x14ac:dyDescent="0.25">
      <c r="A1852" s="98">
        <v>6457525831648590</v>
      </c>
      <c r="B1852">
        <v>4.4000000000000004</v>
      </c>
      <c r="C1852">
        <v>4.9000000000000004</v>
      </c>
    </row>
    <row r="1853" spans="1:3" x14ac:dyDescent="0.25">
      <c r="A1853" s="98">
        <v>6461016365996110</v>
      </c>
      <c r="B1853">
        <v>4.97</v>
      </c>
      <c r="C1853">
        <v>4.7</v>
      </c>
    </row>
    <row r="1854" spans="1:3" x14ac:dyDescent="0.25">
      <c r="A1854" s="98">
        <v>6464506957210870</v>
      </c>
      <c r="B1854">
        <v>5.2</v>
      </c>
      <c r="C1854">
        <v>5.34</v>
      </c>
    </row>
    <row r="1855" spans="1:3" x14ac:dyDescent="0.25">
      <c r="A1855" s="98">
        <v>6467997315399070</v>
      </c>
      <c r="B1855">
        <v>4.79</v>
      </c>
      <c r="C1855">
        <v>4.96</v>
      </c>
    </row>
    <row r="1856" spans="1:3" x14ac:dyDescent="0.25">
      <c r="A1856" s="98">
        <v>6471488195028570</v>
      </c>
      <c r="B1856">
        <v>4.17</v>
      </c>
      <c r="C1856">
        <v>5.1100000000000003</v>
      </c>
    </row>
    <row r="1857" spans="1:3" x14ac:dyDescent="0.25">
      <c r="A1857" s="98">
        <v>6474978699573760</v>
      </c>
      <c r="B1857">
        <v>4.59</v>
      </c>
      <c r="C1857">
        <v>5.38</v>
      </c>
    </row>
    <row r="1858" spans="1:3" x14ac:dyDescent="0.25">
      <c r="A1858" s="98">
        <v>6478469315518930</v>
      </c>
      <c r="B1858">
        <v>4.82</v>
      </c>
      <c r="C1858">
        <v>5.77</v>
      </c>
    </row>
    <row r="1859" spans="1:3" x14ac:dyDescent="0.25">
      <c r="A1859" s="98">
        <v>6481959671162890</v>
      </c>
      <c r="B1859">
        <v>3.81</v>
      </c>
      <c r="C1859">
        <v>5</v>
      </c>
    </row>
    <row r="1860" spans="1:3" x14ac:dyDescent="0.25">
      <c r="A1860" s="98">
        <v>6485450177534860</v>
      </c>
      <c r="B1860">
        <v>4.9400000000000004</v>
      </c>
      <c r="C1860">
        <v>5.28</v>
      </c>
    </row>
    <row r="1861" spans="1:3" x14ac:dyDescent="0.25">
      <c r="A1861" s="98">
        <v>6488940903908670</v>
      </c>
      <c r="B1861">
        <v>5.6</v>
      </c>
      <c r="C1861">
        <v>4.6399999999999997</v>
      </c>
    </row>
    <row r="1862" spans="1:3" x14ac:dyDescent="0.25">
      <c r="A1862" s="98">
        <v>6492431428255850</v>
      </c>
      <c r="B1862">
        <v>4.21</v>
      </c>
      <c r="C1862">
        <v>4.92</v>
      </c>
    </row>
    <row r="1863" spans="1:3" x14ac:dyDescent="0.25">
      <c r="A1863" s="98">
        <v>6495921900802180</v>
      </c>
      <c r="B1863">
        <v>4.1399999999999997</v>
      </c>
      <c r="C1863">
        <v>4.47</v>
      </c>
    </row>
    <row r="1864" spans="1:3" x14ac:dyDescent="0.25">
      <c r="A1864" s="98">
        <v>6499412437241380</v>
      </c>
      <c r="B1864">
        <v>4.88</v>
      </c>
      <c r="C1864">
        <v>4.28</v>
      </c>
    </row>
    <row r="1865" spans="1:3" x14ac:dyDescent="0.25">
      <c r="A1865" s="98">
        <v>6502903036193710</v>
      </c>
      <c r="B1865">
        <v>4.72</v>
      </c>
      <c r="C1865">
        <v>5.26</v>
      </c>
    </row>
    <row r="1866" spans="1:3" x14ac:dyDescent="0.25">
      <c r="A1866" s="98">
        <v>6506393487387230</v>
      </c>
      <c r="B1866">
        <v>5.54</v>
      </c>
      <c r="C1866">
        <v>5.55</v>
      </c>
    </row>
    <row r="1867" spans="1:3" x14ac:dyDescent="0.25">
      <c r="A1867" s="98">
        <v>6509884003130370</v>
      </c>
      <c r="B1867">
        <v>4.0599999999999996</v>
      </c>
      <c r="C1867">
        <v>4.72</v>
      </c>
    </row>
    <row r="1868" spans="1:3" x14ac:dyDescent="0.25">
      <c r="A1868" s="98">
        <v>6513374917407830</v>
      </c>
      <c r="B1868">
        <v>5.22</v>
      </c>
      <c r="C1868">
        <v>5.16</v>
      </c>
    </row>
    <row r="1869" spans="1:3" x14ac:dyDescent="0.25">
      <c r="A1869" s="98">
        <v>6516865522916670</v>
      </c>
      <c r="B1869">
        <v>4.16</v>
      </c>
      <c r="C1869">
        <v>5.62</v>
      </c>
    </row>
    <row r="1870" spans="1:3" x14ac:dyDescent="0.25">
      <c r="A1870" s="98">
        <v>6520356079544180</v>
      </c>
      <c r="B1870">
        <v>5.25</v>
      </c>
      <c r="C1870">
        <v>4.79</v>
      </c>
    </row>
    <row r="1871" spans="1:3" x14ac:dyDescent="0.25">
      <c r="A1871" s="98">
        <v>6523846838899230</v>
      </c>
      <c r="B1871">
        <v>4.22</v>
      </c>
      <c r="C1871">
        <v>4.18</v>
      </c>
    </row>
    <row r="1872" spans="1:3" x14ac:dyDescent="0.25">
      <c r="A1872" s="98">
        <v>6527337306997290</v>
      </c>
      <c r="B1872">
        <v>4.16</v>
      </c>
      <c r="C1872">
        <v>4.76</v>
      </c>
    </row>
    <row r="1873" spans="1:3" x14ac:dyDescent="0.25">
      <c r="A1873" s="98">
        <v>6530827935658110</v>
      </c>
      <c r="B1873">
        <v>4.59</v>
      </c>
      <c r="C1873">
        <v>4.58</v>
      </c>
    </row>
    <row r="1874" spans="1:3" x14ac:dyDescent="0.25">
      <c r="A1874" s="98">
        <v>6534318523749150</v>
      </c>
      <c r="B1874">
        <v>4.84</v>
      </c>
      <c r="C1874">
        <v>5.08</v>
      </c>
    </row>
    <row r="1875" spans="1:3" x14ac:dyDescent="0.25">
      <c r="A1875" s="98">
        <v>6537809070906150</v>
      </c>
      <c r="B1875">
        <v>4.95</v>
      </c>
      <c r="C1875">
        <v>4.82</v>
      </c>
    </row>
    <row r="1876" spans="1:3" x14ac:dyDescent="0.25">
      <c r="A1876" s="98">
        <v>6541299687210050</v>
      </c>
      <c r="B1876">
        <v>4.01</v>
      </c>
      <c r="C1876">
        <v>4.88</v>
      </c>
    </row>
    <row r="1877" spans="1:3" x14ac:dyDescent="0.25">
      <c r="A1877" s="98">
        <v>6544790360088700</v>
      </c>
      <c r="B1877">
        <v>5.45</v>
      </c>
      <c r="C1877">
        <v>4.22</v>
      </c>
    </row>
    <row r="1878" spans="1:3" x14ac:dyDescent="0.25">
      <c r="A1878" s="98">
        <v>6548280663766240</v>
      </c>
      <c r="B1878">
        <v>4.28</v>
      </c>
      <c r="C1878">
        <v>5.36</v>
      </c>
    </row>
    <row r="1879" spans="1:3" x14ac:dyDescent="0.25">
      <c r="A1879" s="98">
        <v>6551771266471450</v>
      </c>
      <c r="B1879">
        <v>4.7699999999999996</v>
      </c>
      <c r="C1879">
        <v>5.45</v>
      </c>
    </row>
    <row r="1880" spans="1:3" x14ac:dyDescent="0.25">
      <c r="A1880" s="98">
        <v>6555261706627070</v>
      </c>
      <c r="B1880">
        <v>4.0999999999999996</v>
      </c>
      <c r="C1880">
        <v>4.22</v>
      </c>
    </row>
    <row r="1881" spans="1:3" x14ac:dyDescent="0.25">
      <c r="A1881" s="98">
        <v>6558751937349630</v>
      </c>
      <c r="B1881">
        <v>3.83</v>
      </c>
      <c r="C1881">
        <v>4.9000000000000004</v>
      </c>
    </row>
    <row r="1882" spans="1:3" x14ac:dyDescent="0.25">
      <c r="A1882" s="98">
        <v>6562242149534040</v>
      </c>
      <c r="B1882">
        <v>4.2699999999999996</v>
      </c>
      <c r="C1882">
        <v>5</v>
      </c>
    </row>
    <row r="1883" spans="1:3" x14ac:dyDescent="0.25">
      <c r="A1883" s="98">
        <v>6565732590451280</v>
      </c>
      <c r="B1883">
        <v>4.5</v>
      </c>
      <c r="C1883">
        <v>4.7699999999999996</v>
      </c>
    </row>
    <row r="1884" spans="1:3" x14ac:dyDescent="0.25">
      <c r="A1884" s="98">
        <v>6569223207737560</v>
      </c>
      <c r="B1884">
        <v>4.72</v>
      </c>
      <c r="C1884">
        <v>4.51</v>
      </c>
    </row>
    <row r="1885" spans="1:3" x14ac:dyDescent="0.25">
      <c r="A1885" s="98">
        <v>6572713669063860</v>
      </c>
      <c r="B1885">
        <v>4.13</v>
      </c>
      <c r="C1885">
        <v>4.72</v>
      </c>
    </row>
    <row r="1886" spans="1:3" x14ac:dyDescent="0.25">
      <c r="A1886" s="98">
        <v>6576204319347930</v>
      </c>
      <c r="B1886">
        <v>4.38</v>
      </c>
      <c r="C1886">
        <v>5.25</v>
      </c>
    </row>
    <row r="1887" spans="1:3" x14ac:dyDescent="0.25">
      <c r="A1887" s="98">
        <v>6579694466182470</v>
      </c>
      <c r="B1887">
        <v>3.95</v>
      </c>
      <c r="C1887">
        <v>5.48</v>
      </c>
    </row>
    <row r="1888" spans="1:3" x14ac:dyDescent="0.25">
      <c r="A1888" s="98">
        <v>6583184985275620</v>
      </c>
      <c r="B1888">
        <v>3.75</v>
      </c>
      <c r="C1888">
        <v>4.71</v>
      </c>
    </row>
    <row r="1889" spans="1:3" x14ac:dyDescent="0.25">
      <c r="A1889" s="98">
        <v>6586675598339900</v>
      </c>
      <c r="B1889">
        <v>3.95</v>
      </c>
      <c r="C1889">
        <v>5.08</v>
      </c>
    </row>
    <row r="1890" spans="1:3" x14ac:dyDescent="0.25">
      <c r="A1890" s="98">
        <v>6590166001148790</v>
      </c>
      <c r="B1890">
        <v>4.34</v>
      </c>
      <c r="C1890">
        <v>4.63</v>
      </c>
    </row>
    <row r="1891" spans="1:3" x14ac:dyDescent="0.25">
      <c r="A1891" s="98">
        <v>6593656428787440</v>
      </c>
      <c r="B1891">
        <v>4.54</v>
      </c>
      <c r="C1891">
        <v>4.74</v>
      </c>
    </row>
    <row r="1892" spans="1:3" x14ac:dyDescent="0.25">
      <c r="A1892" s="98">
        <v>6597147007098900</v>
      </c>
      <c r="B1892">
        <v>3.99</v>
      </c>
      <c r="C1892">
        <v>4.62</v>
      </c>
    </row>
    <row r="1893" spans="1:3" x14ac:dyDescent="0.25">
      <c r="A1893" s="98">
        <v>6600637613043740</v>
      </c>
      <c r="B1893">
        <v>3.97</v>
      </c>
      <c r="C1893">
        <v>5.0199999999999996</v>
      </c>
    </row>
    <row r="1894" spans="1:3" x14ac:dyDescent="0.25">
      <c r="A1894" s="98">
        <v>6604128250424500</v>
      </c>
      <c r="B1894">
        <v>3.98</v>
      </c>
      <c r="C1894">
        <v>4.96</v>
      </c>
    </row>
    <row r="1895" spans="1:3" x14ac:dyDescent="0.25">
      <c r="A1895" s="98">
        <v>6607618809491390</v>
      </c>
      <c r="B1895">
        <v>4.03</v>
      </c>
      <c r="C1895">
        <v>5.25</v>
      </c>
    </row>
    <row r="1896" spans="1:3" x14ac:dyDescent="0.25">
      <c r="A1896" s="98">
        <v>6611109103008550</v>
      </c>
      <c r="B1896">
        <v>3.36</v>
      </c>
      <c r="C1896">
        <v>5.0599999999999996</v>
      </c>
    </row>
    <row r="1897" spans="1:3" x14ac:dyDescent="0.25">
      <c r="A1897" s="98">
        <v>6614599578319870</v>
      </c>
      <c r="B1897">
        <v>3.23</v>
      </c>
      <c r="C1897">
        <v>4.5999999999999996</v>
      </c>
    </row>
    <row r="1898" spans="1:3" x14ac:dyDescent="0.25">
      <c r="A1898" s="98">
        <v>6618090087727260</v>
      </c>
      <c r="B1898">
        <v>3.83</v>
      </c>
      <c r="C1898">
        <v>4.96</v>
      </c>
    </row>
    <row r="1899" spans="1:3" x14ac:dyDescent="0.25">
      <c r="A1899" s="98">
        <v>6621580564434880</v>
      </c>
      <c r="B1899">
        <v>4.43</v>
      </c>
      <c r="C1899">
        <v>4.8499999999999996</v>
      </c>
    </row>
    <row r="1900" spans="1:3" x14ac:dyDescent="0.25">
      <c r="A1900" s="98">
        <v>6625070936486670</v>
      </c>
      <c r="B1900">
        <v>3.3</v>
      </c>
      <c r="C1900">
        <v>4.82</v>
      </c>
    </row>
    <row r="1901" spans="1:3" x14ac:dyDescent="0.25">
      <c r="A1901" s="98">
        <v>6628561443664410</v>
      </c>
      <c r="B1901">
        <v>3.48</v>
      </c>
      <c r="C1901">
        <v>4.62</v>
      </c>
    </row>
    <row r="1902" spans="1:3" x14ac:dyDescent="0.25">
      <c r="A1902" s="98">
        <v>6632051905194910</v>
      </c>
      <c r="B1902">
        <v>3.78</v>
      </c>
      <c r="C1902">
        <v>4.9800000000000004</v>
      </c>
    </row>
    <row r="1903" spans="1:3" x14ac:dyDescent="0.25">
      <c r="A1903" s="98">
        <v>6635542330305880</v>
      </c>
      <c r="B1903">
        <v>3.17</v>
      </c>
      <c r="C1903">
        <v>4.53</v>
      </c>
    </row>
    <row r="1904" spans="1:3" x14ac:dyDescent="0.25">
      <c r="A1904" s="98">
        <v>6639033195801350</v>
      </c>
      <c r="B1904">
        <v>3.43</v>
      </c>
      <c r="C1904">
        <v>4.95</v>
      </c>
    </row>
    <row r="1905" spans="1:3" x14ac:dyDescent="0.25">
      <c r="A1905" s="98">
        <v>6642523693999750</v>
      </c>
      <c r="B1905">
        <v>3.37</v>
      </c>
      <c r="C1905">
        <v>4.4000000000000004</v>
      </c>
    </row>
    <row r="1906" spans="1:3" x14ac:dyDescent="0.25">
      <c r="A1906" s="98">
        <v>6646014173924920</v>
      </c>
      <c r="B1906">
        <v>3.23</v>
      </c>
      <c r="C1906">
        <v>4.76</v>
      </c>
    </row>
    <row r="1907" spans="1:3" x14ac:dyDescent="0.25">
      <c r="A1907" s="98">
        <v>6649504563444190</v>
      </c>
      <c r="B1907">
        <v>3.37</v>
      </c>
      <c r="C1907">
        <v>4.58</v>
      </c>
    </row>
    <row r="1908" spans="1:3" x14ac:dyDescent="0.25">
      <c r="A1908" s="98">
        <v>6652995264331500</v>
      </c>
      <c r="B1908">
        <v>3.13</v>
      </c>
      <c r="C1908">
        <v>5.22</v>
      </c>
    </row>
    <row r="1909" spans="1:3" x14ac:dyDescent="0.25">
      <c r="A1909" s="98">
        <v>6656485792657840</v>
      </c>
      <c r="B1909">
        <v>3.21</v>
      </c>
      <c r="C1909">
        <v>4.71</v>
      </c>
    </row>
    <row r="1910" spans="1:3" x14ac:dyDescent="0.25">
      <c r="A1910" s="98">
        <v>6659976576859200</v>
      </c>
      <c r="B1910">
        <v>3.06</v>
      </c>
      <c r="C1910">
        <v>4.5199999999999996</v>
      </c>
    </row>
    <row r="1911" spans="1:3" x14ac:dyDescent="0.25">
      <c r="A1911" s="98">
        <v>6663467059764590</v>
      </c>
      <c r="B1911">
        <v>2.82</v>
      </c>
      <c r="C1911">
        <v>4.9000000000000004</v>
      </c>
    </row>
    <row r="1912" spans="1:3" x14ac:dyDescent="0.25">
      <c r="A1912" s="98">
        <v>6666957550148160</v>
      </c>
      <c r="B1912">
        <v>3.36</v>
      </c>
      <c r="C1912">
        <v>5.03</v>
      </c>
    </row>
    <row r="1913" spans="1:3" x14ac:dyDescent="0.25">
      <c r="A1913" s="98">
        <v>6670448039339640</v>
      </c>
      <c r="B1913">
        <v>2.96</v>
      </c>
      <c r="C1913">
        <v>4.76</v>
      </c>
    </row>
    <row r="1914" spans="1:3" x14ac:dyDescent="0.25">
      <c r="A1914" s="98">
        <v>6673938568747700</v>
      </c>
      <c r="B1914">
        <v>2.96</v>
      </c>
      <c r="C1914">
        <v>4.1399999999999997</v>
      </c>
    </row>
    <row r="1915" spans="1:3" x14ac:dyDescent="0.25">
      <c r="A1915" s="98">
        <v>6677429129398530</v>
      </c>
      <c r="B1915">
        <v>2.52</v>
      </c>
      <c r="C1915">
        <v>4.41</v>
      </c>
    </row>
    <row r="1916" spans="1:3" x14ac:dyDescent="0.25">
      <c r="A1916" s="98">
        <v>6680919692841940</v>
      </c>
      <c r="B1916">
        <v>2.96</v>
      </c>
      <c r="C1916">
        <v>4.34</v>
      </c>
    </row>
    <row r="1917" spans="1:3" x14ac:dyDescent="0.25">
      <c r="A1917" s="98">
        <v>6684410149499220</v>
      </c>
      <c r="B1917">
        <v>3.32</v>
      </c>
      <c r="C1917">
        <v>4.12</v>
      </c>
    </row>
    <row r="1918" spans="1:3" x14ac:dyDescent="0.25">
      <c r="A1918" s="98">
        <v>6687900732573530</v>
      </c>
      <c r="B1918">
        <v>3.25</v>
      </c>
      <c r="C1918">
        <v>5.13</v>
      </c>
    </row>
    <row r="1919" spans="1:3" x14ac:dyDescent="0.25">
      <c r="A1919" s="98">
        <v>6691391694380170</v>
      </c>
      <c r="B1919">
        <v>2.46</v>
      </c>
      <c r="C1919">
        <v>4.5</v>
      </c>
    </row>
    <row r="1920" spans="1:3" x14ac:dyDescent="0.25">
      <c r="A1920" s="98">
        <v>6694882304784320</v>
      </c>
      <c r="B1920">
        <v>2.56</v>
      </c>
      <c r="C1920">
        <v>4.67</v>
      </c>
    </row>
    <row r="1921" spans="1:3" x14ac:dyDescent="0.25">
      <c r="A1921" s="98">
        <v>6698372769648270</v>
      </c>
      <c r="B1921">
        <v>2.65</v>
      </c>
      <c r="C1921">
        <v>5.14</v>
      </c>
    </row>
    <row r="1922" spans="1:3" x14ac:dyDescent="0.25">
      <c r="A1922" s="98">
        <v>6701863369025560</v>
      </c>
      <c r="B1922">
        <v>2.74</v>
      </c>
      <c r="C1922">
        <v>4.08</v>
      </c>
    </row>
    <row r="1923" spans="1:3" x14ac:dyDescent="0.25">
      <c r="A1923" s="98">
        <v>6705354177129490</v>
      </c>
      <c r="B1923">
        <v>2.67</v>
      </c>
      <c r="C1923">
        <v>4.72</v>
      </c>
    </row>
    <row r="1924" spans="1:3" x14ac:dyDescent="0.25">
      <c r="A1924" s="98">
        <v>6708844725313010</v>
      </c>
      <c r="B1924">
        <v>2.65</v>
      </c>
      <c r="C1924">
        <v>4.38</v>
      </c>
    </row>
    <row r="1925" spans="1:3" x14ac:dyDescent="0.25">
      <c r="A1925" s="98">
        <v>6712335124860200</v>
      </c>
      <c r="B1925">
        <v>2.5</v>
      </c>
      <c r="C1925">
        <v>4.3099999999999996</v>
      </c>
    </row>
    <row r="1926" spans="1:3" x14ac:dyDescent="0.25">
      <c r="A1926" s="98">
        <v>6715825717609230</v>
      </c>
      <c r="B1926">
        <v>2.33</v>
      </c>
      <c r="C1926">
        <v>4.8099999999999996</v>
      </c>
    </row>
    <row r="1927" spans="1:3" x14ac:dyDescent="0.25">
      <c r="A1927" s="98">
        <v>6719316323090480</v>
      </c>
      <c r="B1927">
        <v>2.42</v>
      </c>
      <c r="C1927">
        <v>4.3499999999999996</v>
      </c>
    </row>
    <row r="1928" spans="1:3" x14ac:dyDescent="0.25">
      <c r="A1928" s="98">
        <v>6722807031516670</v>
      </c>
      <c r="B1928">
        <v>2.58</v>
      </c>
      <c r="C1928">
        <v>4.3</v>
      </c>
    </row>
    <row r="1929" spans="1:3" x14ac:dyDescent="0.25">
      <c r="A1929" s="98">
        <v>6726297229760220</v>
      </c>
      <c r="B1929">
        <v>2.65</v>
      </c>
      <c r="C1929">
        <v>4.1900000000000004</v>
      </c>
    </row>
    <row r="1930" spans="1:3" x14ac:dyDescent="0.25">
      <c r="A1930" s="98">
        <v>6729787631062440</v>
      </c>
      <c r="B1930">
        <v>2.33</v>
      </c>
      <c r="C1930">
        <v>3.92</v>
      </c>
    </row>
    <row r="1931" spans="1:3" x14ac:dyDescent="0.25">
      <c r="A1931" s="98">
        <v>6733278376404880</v>
      </c>
      <c r="B1931">
        <v>2.3199999999999998</v>
      </c>
      <c r="C1931">
        <v>4.0599999999999996</v>
      </c>
    </row>
    <row r="1932" spans="1:3" x14ac:dyDescent="0.25">
      <c r="A1932" s="98">
        <v>6736768855722960</v>
      </c>
      <c r="B1932">
        <v>2.5499999999999998</v>
      </c>
      <c r="C1932">
        <v>4.25</v>
      </c>
    </row>
    <row r="1933" spans="1:3" x14ac:dyDescent="0.25">
      <c r="A1933" s="98">
        <v>6740259500361150</v>
      </c>
      <c r="B1933">
        <v>2.1</v>
      </c>
      <c r="C1933">
        <v>4.29</v>
      </c>
    </row>
    <row r="1934" spans="1:3" x14ac:dyDescent="0.25">
      <c r="A1934" s="98">
        <v>6743750089202760</v>
      </c>
      <c r="B1934">
        <v>2.2200000000000002</v>
      </c>
      <c r="C1934">
        <v>4.7300000000000004</v>
      </c>
    </row>
    <row r="1935" spans="1:3" x14ac:dyDescent="0.25">
      <c r="A1935" s="98">
        <v>6747240765265840</v>
      </c>
      <c r="B1935">
        <v>2.2000000000000002</v>
      </c>
      <c r="C1935">
        <v>4.21</v>
      </c>
    </row>
    <row r="1936" spans="1:3" x14ac:dyDescent="0.25">
      <c r="A1936" s="98">
        <v>6750731361442140</v>
      </c>
      <c r="B1936">
        <v>2.2599999999999998</v>
      </c>
      <c r="C1936">
        <v>4.37</v>
      </c>
    </row>
    <row r="1937" spans="1:3" x14ac:dyDescent="0.25">
      <c r="A1937" s="98">
        <v>6754221871859490</v>
      </c>
      <c r="B1937">
        <v>2.48</v>
      </c>
      <c r="C1937">
        <v>4.0199999999999996</v>
      </c>
    </row>
    <row r="1938" spans="1:3" x14ac:dyDescent="0.25">
      <c r="A1938" s="98">
        <v>6757712559545480</v>
      </c>
      <c r="B1938">
        <v>2.09</v>
      </c>
      <c r="C1938">
        <v>4.47</v>
      </c>
    </row>
    <row r="1939" spans="1:3" x14ac:dyDescent="0.25">
      <c r="A1939" s="98">
        <v>6761203163619390</v>
      </c>
      <c r="B1939">
        <v>2.38</v>
      </c>
      <c r="C1939">
        <v>3.89</v>
      </c>
    </row>
    <row r="1940" spans="1:3" x14ac:dyDescent="0.25">
      <c r="A1940" s="98">
        <v>6764694045969730</v>
      </c>
      <c r="B1940">
        <v>2.21</v>
      </c>
      <c r="C1940">
        <v>4.38</v>
      </c>
    </row>
    <row r="1941" spans="1:3" x14ac:dyDescent="0.25">
      <c r="A1941" s="98">
        <v>6768184731387420</v>
      </c>
      <c r="B1941">
        <v>1.92</v>
      </c>
      <c r="C1941">
        <v>3.94</v>
      </c>
    </row>
    <row r="1942" spans="1:3" x14ac:dyDescent="0.25">
      <c r="A1942" s="98">
        <v>6771675268257100</v>
      </c>
      <c r="B1942">
        <v>1.73</v>
      </c>
      <c r="C1942">
        <v>4.51</v>
      </c>
    </row>
    <row r="1943" spans="1:3" x14ac:dyDescent="0.25">
      <c r="A1943" s="98">
        <v>6775165848389820</v>
      </c>
      <c r="B1943">
        <v>1.96</v>
      </c>
      <c r="C1943">
        <v>4.2699999999999996</v>
      </c>
    </row>
    <row r="1944" spans="1:3" x14ac:dyDescent="0.25">
      <c r="A1944" s="98">
        <v>6778656358062110</v>
      </c>
      <c r="B1944">
        <v>1.95</v>
      </c>
      <c r="C1944">
        <v>4.71</v>
      </c>
    </row>
    <row r="1945" spans="1:3" x14ac:dyDescent="0.25">
      <c r="A1945" s="98">
        <v>6782146867866860</v>
      </c>
      <c r="B1945">
        <v>1.8</v>
      </c>
      <c r="C1945">
        <v>4.29</v>
      </c>
    </row>
    <row r="1946" spans="1:3" x14ac:dyDescent="0.25">
      <c r="A1946" s="98">
        <v>6785637523278040</v>
      </c>
      <c r="B1946">
        <v>2.0299999999999998</v>
      </c>
      <c r="C1946">
        <v>3.76</v>
      </c>
    </row>
    <row r="1947" spans="1:3" x14ac:dyDescent="0.25">
      <c r="A1947" s="98">
        <v>6789128234231910</v>
      </c>
      <c r="B1947">
        <v>2.0699999999999998</v>
      </c>
      <c r="C1947">
        <v>4.5199999999999996</v>
      </c>
    </row>
    <row r="1948" spans="1:3" x14ac:dyDescent="0.25">
      <c r="A1948" s="98">
        <v>6792618573561860</v>
      </c>
      <c r="B1948">
        <v>2</v>
      </c>
      <c r="C1948">
        <v>3.9</v>
      </c>
    </row>
    <row r="1949" spans="1:3" x14ac:dyDescent="0.25">
      <c r="A1949" s="98">
        <v>6796109147778260</v>
      </c>
      <c r="B1949">
        <v>1.82</v>
      </c>
      <c r="C1949">
        <v>4.47</v>
      </c>
    </row>
    <row r="1950" spans="1:3" x14ac:dyDescent="0.25">
      <c r="A1950" s="98">
        <v>6799599657185650</v>
      </c>
      <c r="B1950">
        <v>1.84</v>
      </c>
      <c r="C1950">
        <v>3.86</v>
      </c>
    </row>
    <row r="1951" spans="1:3" x14ac:dyDescent="0.25">
      <c r="A1951" s="98">
        <v>6803090361434000</v>
      </c>
      <c r="B1951">
        <v>2.0499999999999998</v>
      </c>
      <c r="C1951">
        <v>3.8</v>
      </c>
    </row>
    <row r="1952" spans="1:3" x14ac:dyDescent="0.25">
      <c r="A1952" s="98">
        <v>6806580925556240</v>
      </c>
      <c r="B1952">
        <v>2.0099999999999998</v>
      </c>
      <c r="C1952">
        <v>3.6</v>
      </c>
    </row>
    <row r="1953" spans="1:3" x14ac:dyDescent="0.25">
      <c r="A1953" s="98">
        <v>6810071398130160</v>
      </c>
      <c r="B1953">
        <v>1.64</v>
      </c>
      <c r="C1953">
        <v>4.71</v>
      </c>
    </row>
    <row r="1954" spans="1:3" x14ac:dyDescent="0.25">
      <c r="A1954" s="98">
        <v>6813561907857650</v>
      </c>
      <c r="B1954">
        <v>1.81</v>
      </c>
      <c r="C1954">
        <v>3.72</v>
      </c>
    </row>
    <row r="1955" spans="1:3" x14ac:dyDescent="0.25">
      <c r="A1955" s="98">
        <v>6817052639656590</v>
      </c>
      <c r="B1955">
        <v>1.71</v>
      </c>
      <c r="C1955">
        <v>3.51</v>
      </c>
    </row>
    <row r="1956" spans="1:3" x14ac:dyDescent="0.25">
      <c r="A1956" s="98">
        <v>6820543243868480</v>
      </c>
      <c r="B1956">
        <v>1.76</v>
      </c>
      <c r="C1956">
        <v>3.81</v>
      </c>
    </row>
    <row r="1957" spans="1:3" x14ac:dyDescent="0.25">
      <c r="A1957" s="98">
        <v>6824033820838840</v>
      </c>
      <c r="B1957">
        <v>1.54</v>
      </c>
      <c r="C1957">
        <v>3.44</v>
      </c>
    </row>
    <row r="1958" spans="1:3" x14ac:dyDescent="0.25">
      <c r="A1958" s="98">
        <v>6827524726672300</v>
      </c>
      <c r="B1958">
        <v>1.73</v>
      </c>
      <c r="C1958">
        <v>3.37</v>
      </c>
    </row>
    <row r="1959" spans="1:3" x14ac:dyDescent="0.25">
      <c r="A1959" s="98">
        <v>6831015348064670</v>
      </c>
      <c r="B1959">
        <v>1.53</v>
      </c>
      <c r="C1959">
        <v>3.96</v>
      </c>
    </row>
    <row r="1960" spans="1:3" x14ac:dyDescent="0.25">
      <c r="A1960" s="98">
        <v>6834505864227260</v>
      </c>
      <c r="B1960">
        <v>1.82</v>
      </c>
      <c r="C1960">
        <v>3.02</v>
      </c>
    </row>
    <row r="1961" spans="1:3" x14ac:dyDescent="0.25">
      <c r="A1961" s="98">
        <v>6837996759138720</v>
      </c>
      <c r="B1961">
        <v>1.48</v>
      </c>
      <c r="C1961">
        <v>3.62</v>
      </c>
    </row>
    <row r="1962" spans="1:3" x14ac:dyDescent="0.25">
      <c r="A1962" s="98">
        <v>6841487280748500</v>
      </c>
      <c r="B1962">
        <v>1.49</v>
      </c>
      <c r="C1962">
        <v>3.98</v>
      </c>
    </row>
    <row r="1963" spans="1:3" x14ac:dyDescent="0.25">
      <c r="A1963" s="98">
        <v>6844970759545210</v>
      </c>
      <c r="B1963">
        <v>1.56</v>
      </c>
      <c r="C1963">
        <v>2.97</v>
      </c>
    </row>
    <row r="1964" spans="1:3" x14ac:dyDescent="0.25">
      <c r="A1964" s="98">
        <v>6848461382869210</v>
      </c>
      <c r="B1964">
        <v>1.52</v>
      </c>
      <c r="C1964">
        <v>3.29</v>
      </c>
    </row>
    <row r="1965" spans="1:3" x14ac:dyDescent="0.25">
      <c r="A1965" s="98">
        <v>6851951803195250</v>
      </c>
      <c r="B1965">
        <v>1.67</v>
      </c>
      <c r="C1965">
        <v>3.47</v>
      </c>
    </row>
    <row r="1966" spans="1:3" x14ac:dyDescent="0.25">
      <c r="A1966" s="98">
        <v>6855442359464030</v>
      </c>
      <c r="B1966">
        <v>1.6</v>
      </c>
      <c r="C1966">
        <v>3.61</v>
      </c>
    </row>
    <row r="1967" spans="1:3" x14ac:dyDescent="0.25">
      <c r="A1967" s="98">
        <v>6858932677176260</v>
      </c>
      <c r="B1967">
        <v>1.64</v>
      </c>
      <c r="C1967">
        <v>3.27</v>
      </c>
    </row>
    <row r="1968" spans="1:3" x14ac:dyDescent="0.25">
      <c r="A1968" s="98">
        <v>6862423268341350</v>
      </c>
      <c r="B1968">
        <v>1.57</v>
      </c>
      <c r="C1968">
        <v>3.27</v>
      </c>
    </row>
    <row r="1969" spans="1:3" x14ac:dyDescent="0.25">
      <c r="A1969" s="98">
        <v>6865913712255380</v>
      </c>
      <c r="B1969">
        <v>1.56</v>
      </c>
      <c r="C1969">
        <v>3.21</v>
      </c>
    </row>
    <row r="1970" spans="1:3" x14ac:dyDescent="0.25">
      <c r="A1970" s="98">
        <v>6869404046982520</v>
      </c>
      <c r="B1970">
        <v>1.59</v>
      </c>
      <c r="C1970">
        <v>3.52</v>
      </c>
    </row>
    <row r="1971" spans="1:3" x14ac:dyDescent="0.25">
      <c r="A1971" s="98">
        <v>6872894638859560</v>
      </c>
      <c r="B1971">
        <v>1.36</v>
      </c>
      <c r="C1971">
        <v>3.28</v>
      </c>
    </row>
    <row r="1972" spans="1:3" x14ac:dyDescent="0.25">
      <c r="A1972" s="98">
        <v>6876385225018970</v>
      </c>
      <c r="B1972">
        <v>1.35</v>
      </c>
      <c r="C1972">
        <v>3.62</v>
      </c>
    </row>
    <row r="1973" spans="1:3" x14ac:dyDescent="0.25">
      <c r="A1973" s="98">
        <v>6879876168127410</v>
      </c>
      <c r="B1973">
        <v>1.6</v>
      </c>
      <c r="C1973">
        <v>3.05</v>
      </c>
    </row>
    <row r="1974" spans="1:3" x14ac:dyDescent="0.25">
      <c r="A1974" s="98">
        <v>6883366790927110</v>
      </c>
      <c r="B1974">
        <v>1.77</v>
      </c>
      <c r="C1974">
        <v>2.98</v>
      </c>
    </row>
    <row r="1975" spans="1:3" x14ac:dyDescent="0.25">
      <c r="A1975" s="98">
        <v>6886857376926470</v>
      </c>
      <c r="B1975">
        <v>1.32</v>
      </c>
      <c r="C1975">
        <v>3.02</v>
      </c>
    </row>
    <row r="1976" spans="1:3" x14ac:dyDescent="0.25">
      <c r="A1976" s="98">
        <v>6890348183943160</v>
      </c>
      <c r="B1976">
        <v>1.7</v>
      </c>
      <c r="C1976">
        <v>2.87</v>
      </c>
    </row>
    <row r="1977" spans="1:3" x14ac:dyDescent="0.25">
      <c r="A1977" s="98">
        <v>6893838797912550</v>
      </c>
      <c r="B1977">
        <v>1.55</v>
      </c>
      <c r="C1977">
        <v>3.1</v>
      </c>
    </row>
    <row r="1978" spans="1:3" x14ac:dyDescent="0.25">
      <c r="A1978" s="98">
        <v>6897329325377940</v>
      </c>
      <c r="B1978">
        <v>1.31</v>
      </c>
      <c r="C1978">
        <v>2.4900000000000002</v>
      </c>
    </row>
    <row r="1979" spans="1:3" x14ac:dyDescent="0.25">
      <c r="A1979" s="98">
        <v>6900819627681260</v>
      </c>
      <c r="B1979">
        <v>1.57</v>
      </c>
      <c r="C1979">
        <v>2.83</v>
      </c>
    </row>
    <row r="1980" spans="1:3" x14ac:dyDescent="0.25">
      <c r="A1980" s="98">
        <v>6904310025611410</v>
      </c>
      <c r="B1980">
        <v>1.19</v>
      </c>
      <c r="C1980">
        <v>2.89</v>
      </c>
    </row>
    <row r="1981" spans="1:3" x14ac:dyDescent="0.25">
      <c r="A1981" s="98">
        <v>6907800533009900</v>
      </c>
      <c r="B1981">
        <v>1.58</v>
      </c>
      <c r="C1981">
        <v>2.59</v>
      </c>
    </row>
    <row r="1982" spans="1:3" x14ac:dyDescent="0.25">
      <c r="A1982" s="98">
        <v>6911291095481970</v>
      </c>
      <c r="B1982">
        <v>1.43</v>
      </c>
      <c r="C1982">
        <v>2.68</v>
      </c>
    </row>
    <row r="1983" spans="1:3" x14ac:dyDescent="0.25">
      <c r="A1983" s="98">
        <v>6914781692375730</v>
      </c>
      <c r="B1983">
        <v>1.3</v>
      </c>
      <c r="C1983">
        <v>2.4500000000000002</v>
      </c>
    </row>
    <row r="1984" spans="1:3" x14ac:dyDescent="0.25">
      <c r="A1984" s="98">
        <v>6918272102756630</v>
      </c>
      <c r="B1984">
        <v>1.21</v>
      </c>
      <c r="C1984">
        <v>2.85</v>
      </c>
    </row>
    <row r="1985" spans="1:3" x14ac:dyDescent="0.25">
      <c r="A1985" s="98">
        <v>6921762724044140</v>
      </c>
      <c r="B1985">
        <v>1.37</v>
      </c>
      <c r="C1985">
        <v>2.65</v>
      </c>
    </row>
    <row r="1986" spans="1:3" x14ac:dyDescent="0.25">
      <c r="A1986" s="98">
        <v>6925253193295660</v>
      </c>
      <c r="B1986">
        <v>1.23</v>
      </c>
      <c r="C1986">
        <v>2.63</v>
      </c>
    </row>
    <row r="1987" spans="1:3" x14ac:dyDescent="0.25">
      <c r="A1987" s="98">
        <v>6928743730805530</v>
      </c>
      <c r="B1987">
        <v>1.36</v>
      </c>
      <c r="C1987">
        <v>2.59</v>
      </c>
    </row>
    <row r="1988" spans="1:3" x14ac:dyDescent="0.25">
      <c r="A1988" s="98">
        <v>6932234167600120</v>
      </c>
      <c r="B1988">
        <v>1.26</v>
      </c>
      <c r="C1988">
        <v>2.44</v>
      </c>
    </row>
    <row r="1989" spans="1:3" x14ac:dyDescent="0.25">
      <c r="A1989" s="98">
        <v>6935724653877590</v>
      </c>
      <c r="B1989">
        <v>1.32</v>
      </c>
      <c r="C1989">
        <v>2.4500000000000002</v>
      </c>
    </row>
    <row r="1990" spans="1:3" x14ac:dyDescent="0.25">
      <c r="A1990" s="98">
        <v>6939215216747030</v>
      </c>
      <c r="B1990">
        <v>1.51</v>
      </c>
      <c r="C1990">
        <v>2.09</v>
      </c>
    </row>
    <row r="1991" spans="1:3" x14ac:dyDescent="0.25">
      <c r="A1991" s="98">
        <v>6942705762722970</v>
      </c>
      <c r="B1991">
        <v>1.47</v>
      </c>
      <c r="C1991">
        <v>2.58</v>
      </c>
    </row>
    <row r="1992" spans="1:3" x14ac:dyDescent="0.25">
      <c r="A1992" s="98">
        <v>6946196142230870</v>
      </c>
      <c r="B1992">
        <v>1.02</v>
      </c>
      <c r="C1992">
        <v>2.21</v>
      </c>
    </row>
    <row r="1993" spans="1:3" x14ac:dyDescent="0.25">
      <c r="A1993" s="98">
        <v>6949686722821650</v>
      </c>
      <c r="B1993">
        <v>1.1599999999999999</v>
      </c>
      <c r="C1993">
        <v>2.62</v>
      </c>
    </row>
    <row r="1994" spans="1:3" x14ac:dyDescent="0.25">
      <c r="A1994" s="98">
        <v>6953177199325070</v>
      </c>
      <c r="B1994">
        <v>1.32</v>
      </c>
      <c r="C1994">
        <v>2.3199999999999998</v>
      </c>
    </row>
    <row r="1995" spans="1:3" x14ac:dyDescent="0.25">
      <c r="A1995" s="98">
        <v>6956667592950440</v>
      </c>
      <c r="B1995">
        <v>1.35</v>
      </c>
      <c r="C1995">
        <v>2.81</v>
      </c>
    </row>
    <row r="1996" spans="1:3" x14ac:dyDescent="0.25">
      <c r="A1996" s="98">
        <v>6960158234663580</v>
      </c>
      <c r="B1996">
        <v>1.32</v>
      </c>
      <c r="C1996">
        <v>2.17</v>
      </c>
    </row>
    <row r="1997" spans="1:3" x14ac:dyDescent="0.25">
      <c r="A1997" s="98">
        <v>6963648823185100</v>
      </c>
      <c r="B1997">
        <v>1.24</v>
      </c>
      <c r="C1997">
        <v>2.6</v>
      </c>
    </row>
    <row r="1998" spans="1:3" x14ac:dyDescent="0.25">
      <c r="A1998" s="98">
        <v>6967139347107320</v>
      </c>
      <c r="B1998">
        <v>1.33</v>
      </c>
      <c r="C1998">
        <v>2.35</v>
      </c>
    </row>
    <row r="1999" spans="1:3" x14ac:dyDescent="0.25">
      <c r="A1999" s="98">
        <v>6970629829063450</v>
      </c>
      <c r="B1999">
        <v>1.28</v>
      </c>
      <c r="C1999">
        <v>2</v>
      </c>
    </row>
    <row r="2000" spans="1:3" x14ac:dyDescent="0.25">
      <c r="A2000" s="98">
        <v>6974120233583220</v>
      </c>
      <c r="B2000">
        <v>1.19</v>
      </c>
      <c r="C2000">
        <v>2.2200000000000002</v>
      </c>
    </row>
    <row r="2001" spans="1:3" x14ac:dyDescent="0.25">
      <c r="A2001" s="98">
        <v>6977610846570240</v>
      </c>
      <c r="B2001">
        <v>1.27</v>
      </c>
      <c r="C2001">
        <v>1.98</v>
      </c>
    </row>
    <row r="2002" spans="1:3" x14ac:dyDescent="0.25">
      <c r="A2002" s="98">
        <v>6981101391525180</v>
      </c>
      <c r="B2002">
        <v>1.01</v>
      </c>
      <c r="C2002">
        <v>2.14</v>
      </c>
    </row>
    <row r="2003" spans="1:3" x14ac:dyDescent="0.25">
      <c r="A2003" s="98">
        <v>6984591953748900</v>
      </c>
      <c r="B2003">
        <v>1.02</v>
      </c>
      <c r="C2003">
        <v>1.98</v>
      </c>
    </row>
    <row r="2004" spans="1:3" x14ac:dyDescent="0.25">
      <c r="A2004" s="98">
        <v>6988082340144440</v>
      </c>
      <c r="B2004">
        <v>1.1399999999999999</v>
      </c>
      <c r="C2004">
        <v>1.83</v>
      </c>
    </row>
    <row r="2005" spans="1:3" x14ac:dyDescent="0.25">
      <c r="A2005" s="98">
        <v>6991572806018370</v>
      </c>
      <c r="B2005">
        <v>1.06</v>
      </c>
      <c r="C2005">
        <v>2.3199999999999998</v>
      </c>
    </row>
    <row r="2006" spans="1:3" x14ac:dyDescent="0.25">
      <c r="A2006" s="98">
        <v>6995063312009520</v>
      </c>
      <c r="B2006">
        <v>1.19</v>
      </c>
      <c r="C2006">
        <v>1.9</v>
      </c>
    </row>
    <row r="2007" spans="1:3" x14ac:dyDescent="0.25">
      <c r="A2007" s="98">
        <v>6998553750917860</v>
      </c>
      <c r="B2007">
        <v>1.17</v>
      </c>
      <c r="C2007">
        <v>2.0299999999999998</v>
      </c>
    </row>
    <row r="2008" spans="1:3" x14ac:dyDescent="0.25">
      <c r="A2008" s="98">
        <v>7002044313158150</v>
      </c>
      <c r="B2008">
        <v>1.1299999999999999</v>
      </c>
      <c r="C2008">
        <v>2.0699999999999998</v>
      </c>
    </row>
    <row r="2009" spans="1:3" x14ac:dyDescent="0.25">
      <c r="A2009" s="98">
        <v>7005534930394750</v>
      </c>
      <c r="B2009">
        <v>1.1299999999999999</v>
      </c>
      <c r="C2009">
        <v>1.7</v>
      </c>
    </row>
    <row r="2010" spans="1:3" x14ac:dyDescent="0.25">
      <c r="A2010" s="98">
        <v>7009025469626540</v>
      </c>
      <c r="B2010">
        <v>0</v>
      </c>
      <c r="C2010">
        <v>0</v>
      </c>
    </row>
    <row r="2011" spans="1:3" x14ac:dyDescent="0.25">
      <c r="A2011" s="98">
        <v>7012515934694690</v>
      </c>
      <c r="B2011">
        <v>0.89</v>
      </c>
      <c r="C2011">
        <v>1.55</v>
      </c>
    </row>
    <row r="2012" spans="1:3" x14ac:dyDescent="0.25">
      <c r="A2012" s="98">
        <v>7016006499379870</v>
      </c>
      <c r="B2012">
        <v>0.79</v>
      </c>
      <c r="C2012">
        <v>1.26</v>
      </c>
    </row>
    <row r="2013" spans="1:3" x14ac:dyDescent="0.25">
      <c r="A2013" s="98">
        <v>7019497146120770</v>
      </c>
      <c r="B2013">
        <v>0.96</v>
      </c>
      <c r="C2013">
        <v>1.69</v>
      </c>
    </row>
    <row r="2014" spans="1:3" x14ac:dyDescent="0.25">
      <c r="A2014" s="98">
        <v>7022987580100690</v>
      </c>
      <c r="B2014">
        <v>0.87</v>
      </c>
      <c r="C2014">
        <v>1.84</v>
      </c>
    </row>
    <row r="2015" spans="1:3" x14ac:dyDescent="0.25">
      <c r="A2015" s="98">
        <v>7026478102008500</v>
      </c>
      <c r="B2015">
        <v>0.97</v>
      </c>
      <c r="C2015">
        <v>1.63</v>
      </c>
    </row>
    <row r="2016" spans="1:3" x14ac:dyDescent="0.25">
      <c r="A2016" s="98">
        <v>7029968688283800</v>
      </c>
      <c r="B2016">
        <v>0.87</v>
      </c>
      <c r="C2016">
        <v>1.9</v>
      </c>
    </row>
    <row r="2017" spans="1:3" x14ac:dyDescent="0.25">
      <c r="A2017" s="98">
        <v>7033459237758760</v>
      </c>
      <c r="B2017">
        <v>0.94</v>
      </c>
      <c r="C2017">
        <v>1.57</v>
      </c>
    </row>
    <row r="2018" spans="1:3" x14ac:dyDescent="0.25">
      <c r="A2018" s="98">
        <v>7036950094561880</v>
      </c>
      <c r="B2018">
        <v>0.95</v>
      </c>
      <c r="C2018">
        <v>1.45</v>
      </c>
    </row>
    <row r="2019" spans="1:3" x14ac:dyDescent="0.25">
      <c r="A2019" s="98">
        <v>7040440517934380</v>
      </c>
      <c r="B2019">
        <v>0.93</v>
      </c>
      <c r="C2019">
        <v>1.7</v>
      </c>
    </row>
    <row r="2020" spans="1:3" x14ac:dyDescent="0.25">
      <c r="A2020" s="98">
        <v>7043931105065120</v>
      </c>
      <c r="B2020">
        <v>0.98</v>
      </c>
      <c r="C2020">
        <v>2.04</v>
      </c>
    </row>
    <row r="2021" spans="1:3" x14ac:dyDescent="0.25">
      <c r="A2021" s="98">
        <v>7047421739399430</v>
      </c>
      <c r="B2021">
        <v>0.97</v>
      </c>
      <c r="C2021">
        <v>1.42</v>
      </c>
    </row>
    <row r="2022" spans="1:3" x14ac:dyDescent="0.25">
      <c r="A2022" s="98">
        <v>7050912161839220</v>
      </c>
      <c r="B2022">
        <v>1.05</v>
      </c>
      <c r="C2022">
        <v>1.95</v>
      </c>
    </row>
    <row r="2023" spans="1:3" x14ac:dyDescent="0.25">
      <c r="A2023" s="98">
        <v>7054402516296610</v>
      </c>
      <c r="B2023">
        <v>1.0900000000000001</v>
      </c>
      <c r="C2023">
        <v>1.57</v>
      </c>
    </row>
    <row r="2024" spans="1:3" x14ac:dyDescent="0.25">
      <c r="A2024" s="98">
        <v>7057892964079420</v>
      </c>
      <c r="B2024">
        <v>0.8</v>
      </c>
      <c r="C2024">
        <v>1.51</v>
      </c>
    </row>
    <row r="2025" spans="1:3" x14ac:dyDescent="0.25">
      <c r="A2025" s="98">
        <v>7061383314563160</v>
      </c>
      <c r="B2025">
        <v>0.92</v>
      </c>
      <c r="C2025">
        <v>1.69</v>
      </c>
    </row>
    <row r="2026" spans="1:3" x14ac:dyDescent="0.25">
      <c r="A2026" s="98">
        <v>7064873919878840</v>
      </c>
      <c r="B2026">
        <v>0.92</v>
      </c>
      <c r="C2026">
        <v>1.89</v>
      </c>
    </row>
    <row r="2027" spans="1:3" x14ac:dyDescent="0.25">
      <c r="A2027" s="98">
        <v>7068364907431380</v>
      </c>
      <c r="B2027">
        <v>0.89</v>
      </c>
      <c r="C2027">
        <v>1.44</v>
      </c>
    </row>
    <row r="2028" spans="1:3" x14ac:dyDescent="0.25">
      <c r="A2028" s="98">
        <v>7071855681759340</v>
      </c>
      <c r="B2028">
        <v>0.92</v>
      </c>
      <c r="C2028">
        <v>1.72</v>
      </c>
    </row>
    <row r="2029" spans="1:3" x14ac:dyDescent="0.25">
      <c r="A2029" s="98">
        <v>7075346320591590</v>
      </c>
      <c r="B2029">
        <v>1.01</v>
      </c>
      <c r="C2029">
        <v>1.53</v>
      </c>
    </row>
    <row r="2030" spans="1:3" x14ac:dyDescent="0.25">
      <c r="A2030" s="98">
        <v>7078837148425750</v>
      </c>
      <c r="B2030">
        <v>1.03</v>
      </c>
      <c r="C2030">
        <v>1.82</v>
      </c>
    </row>
    <row r="2031" spans="1:3" x14ac:dyDescent="0.25">
      <c r="A2031" s="98">
        <v>7082327602157990</v>
      </c>
      <c r="B2031">
        <v>1.03</v>
      </c>
      <c r="C2031">
        <v>1.57</v>
      </c>
    </row>
    <row r="2032" spans="1:3" x14ac:dyDescent="0.25">
      <c r="A2032" s="98">
        <v>7085818241028870</v>
      </c>
      <c r="B2032">
        <v>0.87</v>
      </c>
      <c r="C2032">
        <v>1.19</v>
      </c>
    </row>
    <row r="2033" spans="1:3" x14ac:dyDescent="0.25">
      <c r="A2033" s="98">
        <v>7089308993750140</v>
      </c>
      <c r="B2033">
        <v>0.86</v>
      </c>
      <c r="C2033">
        <v>1.65</v>
      </c>
    </row>
    <row r="2034" spans="1:3" x14ac:dyDescent="0.25">
      <c r="A2034" s="98">
        <v>7092799658990560</v>
      </c>
      <c r="B2034">
        <v>1.01</v>
      </c>
      <c r="C2034">
        <v>1.82</v>
      </c>
    </row>
    <row r="2035" spans="1:3" x14ac:dyDescent="0.25">
      <c r="A2035" s="98">
        <v>7096290347311230</v>
      </c>
      <c r="B2035">
        <v>1.1100000000000001</v>
      </c>
      <c r="C2035">
        <v>1.65</v>
      </c>
    </row>
    <row r="2036" spans="1:3" x14ac:dyDescent="0.25">
      <c r="A2036" s="98">
        <v>7099780931561080</v>
      </c>
      <c r="B2036">
        <v>0.79</v>
      </c>
      <c r="C2036">
        <v>1.42</v>
      </c>
    </row>
    <row r="2037" spans="1:3" x14ac:dyDescent="0.25">
      <c r="A2037" s="98">
        <v>7103271626526550</v>
      </c>
      <c r="B2037">
        <v>0.83</v>
      </c>
      <c r="C2037">
        <v>1.63</v>
      </c>
    </row>
    <row r="2038" spans="1:3" x14ac:dyDescent="0.25">
      <c r="A2038" s="98">
        <v>7106762175350270</v>
      </c>
      <c r="B2038">
        <v>0.85</v>
      </c>
      <c r="C2038">
        <v>1.37</v>
      </c>
    </row>
    <row r="2039" spans="1:3" x14ac:dyDescent="0.25">
      <c r="A2039" s="98">
        <v>7110252772442720</v>
      </c>
      <c r="B2039">
        <v>0.93</v>
      </c>
      <c r="C2039">
        <v>1.31</v>
      </c>
    </row>
    <row r="2040" spans="1:3" x14ac:dyDescent="0.25">
      <c r="A2040" s="98">
        <v>7113743364352870</v>
      </c>
      <c r="B2040">
        <v>0.82</v>
      </c>
      <c r="C2040">
        <v>1.41</v>
      </c>
    </row>
    <row r="2041" spans="1:3" x14ac:dyDescent="0.25">
      <c r="A2041" s="98">
        <v>7117233795970670</v>
      </c>
      <c r="B2041">
        <v>0.66</v>
      </c>
      <c r="C2041">
        <v>1.81</v>
      </c>
    </row>
    <row r="2042" spans="1:3" x14ac:dyDescent="0.25">
      <c r="A2042" s="98">
        <v>7120724496482690</v>
      </c>
      <c r="B2042">
        <v>1</v>
      </c>
      <c r="C2042">
        <v>1.64</v>
      </c>
    </row>
    <row r="2043" spans="1:3" x14ac:dyDescent="0.25">
      <c r="A2043" s="98">
        <v>7124214956462380</v>
      </c>
      <c r="B2043">
        <v>0.97</v>
      </c>
      <c r="C2043">
        <v>1.54</v>
      </c>
    </row>
    <row r="2044" spans="1:3" x14ac:dyDescent="0.25">
      <c r="A2044" s="98">
        <v>7127705581933260</v>
      </c>
      <c r="B2044">
        <v>0.66</v>
      </c>
      <c r="C2044">
        <v>1.3</v>
      </c>
    </row>
    <row r="2045" spans="1:3" x14ac:dyDescent="0.25">
      <c r="A2045" s="98">
        <v>7131196272273850</v>
      </c>
      <c r="B2045">
        <v>0.88</v>
      </c>
      <c r="C2045">
        <v>1.31</v>
      </c>
    </row>
    <row r="2046" spans="1:3" x14ac:dyDescent="0.25">
      <c r="A2046" s="98">
        <v>7134686951184710</v>
      </c>
      <c r="B2046">
        <v>0.79</v>
      </c>
      <c r="C2046">
        <v>1.24</v>
      </c>
    </row>
    <row r="2047" spans="1:3" x14ac:dyDescent="0.25">
      <c r="A2047" s="98">
        <v>7138177613389710</v>
      </c>
      <c r="B2047">
        <v>0.87</v>
      </c>
      <c r="C2047">
        <v>1.84</v>
      </c>
    </row>
    <row r="2048" spans="1:3" x14ac:dyDescent="0.25">
      <c r="A2048" s="98">
        <v>7141668511286920</v>
      </c>
      <c r="B2048">
        <v>1.02</v>
      </c>
      <c r="C2048">
        <v>1.33</v>
      </c>
    </row>
    <row r="2049" spans="1:3" x14ac:dyDescent="0.25">
      <c r="A2049" s="98">
        <v>7145158968645110</v>
      </c>
      <c r="B2049">
        <v>0.95</v>
      </c>
      <c r="C2049">
        <v>1.47</v>
      </c>
    </row>
    <row r="2050" spans="1:3" x14ac:dyDescent="0.25">
      <c r="A2050" s="98">
        <v>7148649340023590</v>
      </c>
      <c r="B2050">
        <v>0.8</v>
      </c>
      <c r="C2050">
        <v>1.21</v>
      </c>
    </row>
    <row r="2051" spans="1:3" x14ac:dyDescent="0.25">
      <c r="A2051" s="98">
        <v>7152139880657190</v>
      </c>
      <c r="B2051">
        <v>0.88</v>
      </c>
      <c r="C2051">
        <v>1.05</v>
      </c>
    </row>
    <row r="2052" spans="1:3" x14ac:dyDescent="0.25">
      <c r="A2052" s="98">
        <v>7155630440331160</v>
      </c>
      <c r="B2052">
        <v>0.67</v>
      </c>
      <c r="C2052">
        <v>1.51</v>
      </c>
    </row>
    <row r="2053" spans="1:3" x14ac:dyDescent="0.25">
      <c r="A2053" s="98">
        <v>7159120996257770</v>
      </c>
      <c r="B2053">
        <v>0.78</v>
      </c>
      <c r="C2053">
        <v>1.04</v>
      </c>
    </row>
    <row r="2054" spans="1:3" x14ac:dyDescent="0.25">
      <c r="A2054" s="98">
        <v>7162611678005360</v>
      </c>
      <c r="B2054">
        <v>0.67</v>
      </c>
      <c r="C2054">
        <v>1.21</v>
      </c>
    </row>
    <row r="2055" spans="1:3" x14ac:dyDescent="0.25">
      <c r="A2055" s="98">
        <v>7166102192412920</v>
      </c>
      <c r="B2055">
        <v>0.65</v>
      </c>
      <c r="C2055">
        <v>1.33</v>
      </c>
    </row>
    <row r="2056" spans="1:3" x14ac:dyDescent="0.25">
      <c r="A2056" s="98">
        <v>7169592797469210</v>
      </c>
      <c r="B2056">
        <v>0.77</v>
      </c>
      <c r="C2056">
        <v>1.02</v>
      </c>
    </row>
    <row r="2057" spans="1:3" x14ac:dyDescent="0.25">
      <c r="A2057" s="98">
        <v>7173083422007380</v>
      </c>
      <c r="B2057">
        <v>0.82</v>
      </c>
      <c r="C2057">
        <v>1.28</v>
      </c>
    </row>
    <row r="2058" spans="1:3" x14ac:dyDescent="0.25">
      <c r="A2058" s="98">
        <v>7176574021655100</v>
      </c>
      <c r="B2058">
        <v>0.67</v>
      </c>
      <c r="C2058">
        <v>1.23</v>
      </c>
    </row>
    <row r="2059" spans="1:3" x14ac:dyDescent="0.25">
      <c r="A2059" s="98">
        <v>7180064661166180</v>
      </c>
      <c r="B2059">
        <v>0.93</v>
      </c>
      <c r="C2059">
        <v>1.06</v>
      </c>
    </row>
    <row r="2060" spans="1:3" x14ac:dyDescent="0.25">
      <c r="A2060" s="98">
        <v>7183555450025530</v>
      </c>
      <c r="B2060">
        <v>0.93</v>
      </c>
      <c r="C2060">
        <v>1.21</v>
      </c>
    </row>
    <row r="2061" spans="1:3" x14ac:dyDescent="0.25">
      <c r="A2061" s="98">
        <v>7187045902223490</v>
      </c>
      <c r="B2061">
        <v>0.91</v>
      </c>
      <c r="C2061">
        <v>0.9</v>
      </c>
    </row>
    <row r="2062" spans="1:3" x14ac:dyDescent="0.25">
      <c r="A2062" s="98">
        <v>7190536497571950</v>
      </c>
      <c r="B2062">
        <v>0.72</v>
      </c>
      <c r="C2062">
        <v>1.1499999999999999</v>
      </c>
    </row>
    <row r="2063" spans="1:3" x14ac:dyDescent="0.25">
      <c r="A2063" s="98">
        <v>7194027248256730</v>
      </c>
      <c r="B2063">
        <v>0.91</v>
      </c>
      <c r="C2063">
        <v>1.36</v>
      </c>
    </row>
    <row r="2064" spans="1:3" x14ac:dyDescent="0.25">
      <c r="A2064" s="98">
        <v>7197517743292780</v>
      </c>
      <c r="B2064">
        <v>0.89</v>
      </c>
      <c r="C2064">
        <v>1</v>
      </c>
    </row>
    <row r="2065" spans="1:3" x14ac:dyDescent="0.25">
      <c r="A2065" s="98">
        <v>7201008287237750</v>
      </c>
      <c r="B2065">
        <v>1.06</v>
      </c>
      <c r="C2065">
        <v>1.05</v>
      </c>
    </row>
    <row r="2066" spans="1:3" x14ac:dyDescent="0.25">
      <c r="A2066" s="98">
        <v>7204498730533650</v>
      </c>
      <c r="B2066">
        <v>0.92</v>
      </c>
      <c r="C2066">
        <v>1.23</v>
      </c>
    </row>
    <row r="2067" spans="1:3" x14ac:dyDescent="0.25">
      <c r="A2067" s="98">
        <v>7207989280841960</v>
      </c>
      <c r="B2067">
        <v>0.92</v>
      </c>
      <c r="C2067">
        <v>1.08</v>
      </c>
    </row>
    <row r="2068" spans="1:3" x14ac:dyDescent="0.25">
      <c r="A2068" s="98">
        <v>7211479871626250</v>
      </c>
      <c r="B2068">
        <v>0.65</v>
      </c>
      <c r="C2068">
        <v>0.94</v>
      </c>
    </row>
    <row r="2069" spans="1:3" x14ac:dyDescent="0.25">
      <c r="A2069" s="98">
        <v>7214970505546640</v>
      </c>
      <c r="B2069">
        <v>0.97</v>
      </c>
      <c r="C2069">
        <v>1.28</v>
      </c>
    </row>
    <row r="2070" spans="1:3" x14ac:dyDescent="0.25">
      <c r="A2070" s="98">
        <v>7218461133440330</v>
      </c>
      <c r="B2070">
        <v>0.72</v>
      </c>
      <c r="C2070">
        <v>0.88</v>
      </c>
    </row>
    <row r="2071" spans="1:3" x14ac:dyDescent="0.25">
      <c r="A2071" s="98">
        <v>7221951777322420</v>
      </c>
      <c r="B2071">
        <v>0.94</v>
      </c>
      <c r="C2071">
        <v>1.43</v>
      </c>
    </row>
    <row r="2072" spans="1:3" x14ac:dyDescent="0.25">
      <c r="A2072" s="98">
        <v>7225442121222060</v>
      </c>
      <c r="B2072">
        <v>0.8</v>
      </c>
      <c r="C2072">
        <v>0.93</v>
      </c>
    </row>
    <row r="2073" spans="1:3" x14ac:dyDescent="0.25">
      <c r="A2073" s="98">
        <v>7228932739380330</v>
      </c>
      <c r="B2073">
        <v>0.78</v>
      </c>
      <c r="C2073">
        <v>1.34</v>
      </c>
    </row>
    <row r="2074" spans="1:3" x14ac:dyDescent="0.25">
      <c r="A2074" s="98">
        <v>7232423300472670</v>
      </c>
      <c r="B2074">
        <v>0.66</v>
      </c>
      <c r="C2074">
        <v>0.98</v>
      </c>
    </row>
    <row r="2075" spans="1:3" x14ac:dyDescent="0.25">
      <c r="A2075" s="98">
        <v>7235914081246760</v>
      </c>
      <c r="B2075">
        <v>0.56999999999999995</v>
      </c>
      <c r="C2075">
        <v>0.91</v>
      </c>
    </row>
    <row r="2076" spans="1:3" x14ac:dyDescent="0.25">
      <c r="A2076" s="98">
        <v>7239404715757670</v>
      </c>
      <c r="B2076">
        <v>0.53</v>
      </c>
      <c r="C2076">
        <v>1.1200000000000001</v>
      </c>
    </row>
    <row r="2077" spans="1:3" x14ac:dyDescent="0.25">
      <c r="A2077" s="98">
        <v>7242895312662470</v>
      </c>
      <c r="B2077">
        <v>0.59</v>
      </c>
      <c r="C2077">
        <v>0.83</v>
      </c>
    </row>
    <row r="2078" spans="1:3" x14ac:dyDescent="0.25">
      <c r="A2078" s="98">
        <v>7246385789452870</v>
      </c>
      <c r="B2078">
        <v>0.72</v>
      </c>
      <c r="C2078">
        <v>1.21</v>
      </c>
    </row>
    <row r="2079" spans="1:3" x14ac:dyDescent="0.25">
      <c r="A2079" s="98">
        <v>7249876364811700</v>
      </c>
      <c r="B2079">
        <v>0.63</v>
      </c>
      <c r="C2079">
        <v>0.94</v>
      </c>
    </row>
    <row r="2080" spans="1:3" x14ac:dyDescent="0.25">
      <c r="A2080" s="98">
        <v>7253366941638560</v>
      </c>
      <c r="B2080">
        <v>0.77</v>
      </c>
      <c r="C2080">
        <v>0.75</v>
      </c>
    </row>
    <row r="2081" spans="1:3" x14ac:dyDescent="0.25">
      <c r="A2081" s="98">
        <v>7256857635908650</v>
      </c>
      <c r="B2081">
        <v>0.66</v>
      </c>
      <c r="C2081">
        <v>0.94</v>
      </c>
    </row>
    <row r="2082" spans="1:3" x14ac:dyDescent="0.25">
      <c r="A2082" s="98">
        <v>7260348140348990</v>
      </c>
      <c r="B2082">
        <v>0.69</v>
      </c>
      <c r="C2082">
        <v>0.94</v>
      </c>
    </row>
    <row r="2083" spans="1:3" x14ac:dyDescent="0.25">
      <c r="A2083" s="98">
        <v>7263838799739320</v>
      </c>
      <c r="B2083">
        <v>0.75</v>
      </c>
      <c r="C2083">
        <v>1.04</v>
      </c>
    </row>
    <row r="2084" spans="1:3" x14ac:dyDescent="0.25">
      <c r="A2084" s="98">
        <v>7267329199325150</v>
      </c>
      <c r="B2084">
        <v>0.69</v>
      </c>
      <c r="C2084">
        <v>0.92</v>
      </c>
    </row>
    <row r="2085" spans="1:3" x14ac:dyDescent="0.25">
      <c r="A2085" s="98">
        <v>7270819684349820</v>
      </c>
      <c r="B2085">
        <v>0.4</v>
      </c>
      <c r="C2085">
        <v>0.97</v>
      </c>
    </row>
    <row r="2086" spans="1:3" x14ac:dyDescent="0.25">
      <c r="A2086" s="98">
        <v>7274310241065640</v>
      </c>
      <c r="B2086">
        <v>0.55000000000000004</v>
      </c>
      <c r="C2086">
        <v>1.02</v>
      </c>
    </row>
    <row r="2087" spans="1:3" x14ac:dyDescent="0.25">
      <c r="A2087" s="98">
        <v>7277800712701340</v>
      </c>
      <c r="B2087">
        <v>0.72</v>
      </c>
      <c r="C2087">
        <v>1.03</v>
      </c>
    </row>
    <row r="2088" spans="1:3" x14ac:dyDescent="0.25">
      <c r="A2088" s="98">
        <v>7281291245459400</v>
      </c>
      <c r="B2088">
        <v>0.77</v>
      </c>
      <c r="C2088">
        <v>0.82</v>
      </c>
    </row>
    <row r="2089" spans="1:3" x14ac:dyDescent="0.25">
      <c r="A2089" s="98">
        <v>7284781769861770</v>
      </c>
      <c r="B2089">
        <v>0.62</v>
      </c>
      <c r="C2089">
        <v>1.02</v>
      </c>
    </row>
    <row r="2090" spans="1:3" x14ac:dyDescent="0.25">
      <c r="A2090" s="98">
        <v>7288272265543540</v>
      </c>
      <c r="B2090">
        <v>0.59</v>
      </c>
      <c r="C2090">
        <v>1.1399999999999999</v>
      </c>
    </row>
    <row r="2091" spans="1:3" x14ac:dyDescent="0.25">
      <c r="A2091" s="98">
        <v>7291762833357960</v>
      </c>
      <c r="B2091">
        <v>0.56999999999999995</v>
      </c>
      <c r="C2091">
        <v>1.08</v>
      </c>
    </row>
    <row r="2092" spans="1:3" x14ac:dyDescent="0.25">
      <c r="A2092" s="98">
        <v>7295253273182440</v>
      </c>
      <c r="B2092">
        <v>0.54</v>
      </c>
      <c r="C2092">
        <v>1</v>
      </c>
    </row>
    <row r="2093" spans="1:3" x14ac:dyDescent="0.25">
      <c r="A2093" s="98">
        <v>7298743903432730</v>
      </c>
      <c r="B2093">
        <v>0.57999999999999996</v>
      </c>
      <c r="C2093">
        <v>0.72</v>
      </c>
    </row>
    <row r="2094" spans="1:3" x14ac:dyDescent="0.25">
      <c r="A2094" s="98">
        <v>7302234488681510</v>
      </c>
      <c r="B2094">
        <v>0.95</v>
      </c>
      <c r="C2094">
        <v>1</v>
      </c>
    </row>
    <row r="2095" spans="1:3" x14ac:dyDescent="0.25">
      <c r="A2095" s="98">
        <v>7305725025153820</v>
      </c>
      <c r="B2095">
        <v>0.72</v>
      </c>
      <c r="C2095">
        <v>0.89</v>
      </c>
    </row>
    <row r="2096" spans="1:3" x14ac:dyDescent="0.25">
      <c r="A2096" s="98">
        <v>7309215868413440</v>
      </c>
      <c r="B2096">
        <v>0.65</v>
      </c>
      <c r="C2096">
        <v>1.02</v>
      </c>
    </row>
    <row r="2097" spans="1:3" x14ac:dyDescent="0.25">
      <c r="A2097" s="98">
        <v>7312706404229000</v>
      </c>
      <c r="B2097">
        <v>0.56999999999999995</v>
      </c>
      <c r="C2097">
        <v>0.94</v>
      </c>
    </row>
    <row r="2098" spans="1:3" x14ac:dyDescent="0.25">
      <c r="A2098" s="98">
        <v>7316196953527350</v>
      </c>
      <c r="B2098">
        <v>0.63</v>
      </c>
      <c r="C2098">
        <v>0.66</v>
      </c>
    </row>
    <row r="2099" spans="1:3" x14ac:dyDescent="0.25">
      <c r="A2099" s="98">
        <v>7319687801389780</v>
      </c>
      <c r="B2099">
        <v>0.7</v>
      </c>
      <c r="C2099">
        <v>0.93</v>
      </c>
    </row>
    <row r="2100" spans="1:3" x14ac:dyDescent="0.25">
      <c r="A2100" s="98">
        <v>7323178359755760</v>
      </c>
      <c r="B2100">
        <v>0.62</v>
      </c>
      <c r="C2100">
        <v>0.92</v>
      </c>
    </row>
    <row r="2101" spans="1:3" x14ac:dyDescent="0.25">
      <c r="A2101" s="98">
        <v>7326668867695110</v>
      </c>
      <c r="B2101">
        <v>0.53</v>
      </c>
      <c r="C2101">
        <v>0.95</v>
      </c>
    </row>
    <row r="2102" spans="1:3" x14ac:dyDescent="0.25">
      <c r="A2102" s="98">
        <v>7330159287149150</v>
      </c>
      <c r="B2102">
        <v>0.55000000000000004</v>
      </c>
      <c r="C2102">
        <v>0.86</v>
      </c>
    </row>
    <row r="2103" spans="1:3" x14ac:dyDescent="0.25">
      <c r="A2103" s="98">
        <v>7333649799029030</v>
      </c>
      <c r="B2103">
        <v>0.54</v>
      </c>
      <c r="C2103">
        <v>0.97</v>
      </c>
    </row>
    <row r="2104" spans="1:3" x14ac:dyDescent="0.25">
      <c r="A2104" s="98">
        <v>7337140237241980</v>
      </c>
      <c r="B2104">
        <v>0.61</v>
      </c>
      <c r="C2104">
        <v>0.71</v>
      </c>
    </row>
    <row r="2105" spans="1:3" x14ac:dyDescent="0.25">
      <c r="A2105" s="98">
        <v>7340630742063120</v>
      </c>
      <c r="B2105">
        <v>0.55000000000000004</v>
      </c>
      <c r="C2105">
        <v>0.72</v>
      </c>
    </row>
    <row r="2106" spans="1:3" x14ac:dyDescent="0.25">
      <c r="A2106" s="98">
        <v>7344121317824830</v>
      </c>
      <c r="B2106">
        <v>0.65</v>
      </c>
      <c r="C2106">
        <v>0.88</v>
      </c>
    </row>
    <row r="2107" spans="1:3" x14ac:dyDescent="0.25">
      <c r="A2107" s="98">
        <v>7347611842619040</v>
      </c>
      <c r="B2107">
        <v>0.53</v>
      </c>
      <c r="C2107">
        <v>0.93</v>
      </c>
    </row>
    <row r="2108" spans="1:3" x14ac:dyDescent="0.25">
      <c r="A2108" s="98">
        <v>7351102662069930</v>
      </c>
      <c r="B2108">
        <v>0.56999999999999995</v>
      </c>
      <c r="C2108">
        <v>0.85</v>
      </c>
    </row>
    <row r="2109" spans="1:3" x14ac:dyDescent="0.25">
      <c r="A2109" s="98">
        <v>7354593055794630</v>
      </c>
      <c r="B2109">
        <v>0.49</v>
      </c>
      <c r="C2109">
        <v>0.83</v>
      </c>
    </row>
    <row r="2110" spans="1:3" x14ac:dyDescent="0.25">
      <c r="A2110" s="98">
        <v>7358083707165930</v>
      </c>
      <c r="B2110">
        <v>0.6</v>
      </c>
      <c r="C2110">
        <v>0.92</v>
      </c>
    </row>
    <row r="2111" spans="1:3" x14ac:dyDescent="0.25">
      <c r="A2111" s="98">
        <v>7361574323260120</v>
      </c>
      <c r="B2111">
        <v>0.48</v>
      </c>
      <c r="C2111">
        <v>0.72</v>
      </c>
    </row>
    <row r="2112" spans="1:3" x14ac:dyDescent="0.25">
      <c r="A2112" s="98">
        <v>7365064788118550</v>
      </c>
      <c r="B2112">
        <v>0.62</v>
      </c>
      <c r="C2112">
        <v>0.89</v>
      </c>
    </row>
    <row r="2113" spans="1:3" x14ac:dyDescent="0.25">
      <c r="A2113" s="98">
        <v>7368555496312950</v>
      </c>
      <c r="B2113">
        <v>0.56999999999999995</v>
      </c>
      <c r="C2113">
        <v>0.9</v>
      </c>
    </row>
    <row r="2114" spans="1:3" x14ac:dyDescent="0.25">
      <c r="A2114" s="98">
        <v>7372046023060870</v>
      </c>
      <c r="B2114">
        <v>0.63</v>
      </c>
      <c r="C2114">
        <v>0.77</v>
      </c>
    </row>
    <row r="2115" spans="1:3" x14ac:dyDescent="0.25">
      <c r="A2115" s="98">
        <v>7375536716547270</v>
      </c>
      <c r="B2115">
        <v>0.48</v>
      </c>
      <c r="C2115">
        <v>0.79</v>
      </c>
    </row>
    <row r="2116" spans="1:3" x14ac:dyDescent="0.25">
      <c r="A2116" s="98">
        <v>7379027291525290</v>
      </c>
      <c r="B2116">
        <v>0.49</v>
      </c>
      <c r="C2116">
        <v>0.63</v>
      </c>
    </row>
    <row r="2117" spans="1:3" x14ac:dyDescent="0.25">
      <c r="A2117" s="98">
        <v>7382517814768680</v>
      </c>
      <c r="B2117">
        <v>0.7</v>
      </c>
      <c r="C2117">
        <v>0.86</v>
      </c>
    </row>
    <row r="2118" spans="1:3" x14ac:dyDescent="0.25">
      <c r="A2118" s="98">
        <v>7386008386777500</v>
      </c>
      <c r="B2118">
        <v>0.46</v>
      </c>
      <c r="C2118">
        <v>0.78</v>
      </c>
    </row>
    <row r="2119" spans="1:3" x14ac:dyDescent="0.25">
      <c r="A2119" s="98">
        <v>7389498802406920</v>
      </c>
      <c r="B2119">
        <v>0.45</v>
      </c>
      <c r="C2119">
        <v>0.96</v>
      </c>
    </row>
    <row r="2120" spans="1:3" x14ac:dyDescent="0.25">
      <c r="A2120" s="98">
        <v>7392989540293260</v>
      </c>
      <c r="B2120">
        <v>0.43</v>
      </c>
      <c r="C2120">
        <v>0.7</v>
      </c>
    </row>
    <row r="2121" spans="1:3" x14ac:dyDescent="0.25">
      <c r="A2121" s="98">
        <v>7396480010306390</v>
      </c>
      <c r="B2121">
        <v>0.51</v>
      </c>
      <c r="C2121">
        <v>0.9</v>
      </c>
    </row>
    <row r="2122" spans="1:3" x14ac:dyDescent="0.25">
      <c r="A2122" s="98">
        <v>7399970591156570</v>
      </c>
      <c r="B2122">
        <v>0.48</v>
      </c>
      <c r="C2122">
        <v>0.88</v>
      </c>
    </row>
    <row r="2123" spans="1:3" x14ac:dyDescent="0.25">
      <c r="A2123" s="98">
        <v>7403461223415750</v>
      </c>
      <c r="B2123">
        <v>0.54</v>
      </c>
      <c r="C2123">
        <v>0.94</v>
      </c>
    </row>
    <row r="2124" spans="1:3" x14ac:dyDescent="0.25">
      <c r="A2124" s="98">
        <v>7406951744600570</v>
      </c>
      <c r="B2124">
        <v>0.49</v>
      </c>
      <c r="C2124">
        <v>0.77</v>
      </c>
    </row>
    <row r="2125" spans="1:3" x14ac:dyDescent="0.25">
      <c r="A2125" s="98">
        <v>7410442098953100</v>
      </c>
      <c r="B2125">
        <v>0.62</v>
      </c>
      <c r="C2125">
        <v>0.81</v>
      </c>
    </row>
    <row r="2126" spans="1:3" x14ac:dyDescent="0.25">
      <c r="A2126" s="98">
        <v>7413932749695240</v>
      </c>
      <c r="B2126">
        <v>0.68</v>
      </c>
      <c r="C2126">
        <v>0.95</v>
      </c>
    </row>
    <row r="2127" spans="1:3" x14ac:dyDescent="0.25">
      <c r="A2127" s="98">
        <v>7417423291239470</v>
      </c>
      <c r="B2127">
        <v>0.55000000000000004</v>
      </c>
      <c r="C2127">
        <v>0.69</v>
      </c>
    </row>
    <row r="2128" spans="1:3" x14ac:dyDescent="0.25">
      <c r="A2128" s="98">
        <v>7420913681509310</v>
      </c>
      <c r="B2128">
        <v>0.47</v>
      </c>
      <c r="C2128">
        <v>0.73</v>
      </c>
    </row>
    <row r="2129" spans="1:3" x14ac:dyDescent="0.25">
      <c r="A2129" s="98">
        <v>7424404159348320</v>
      </c>
      <c r="B2129">
        <v>0.45</v>
      </c>
      <c r="C2129">
        <v>0.68</v>
      </c>
    </row>
    <row r="2130" spans="1:3" x14ac:dyDescent="0.25">
      <c r="A2130" s="98">
        <v>7427894688988170</v>
      </c>
      <c r="B2130">
        <v>0.6</v>
      </c>
      <c r="C2130">
        <v>0.85</v>
      </c>
    </row>
    <row r="2131" spans="1:3" x14ac:dyDescent="0.25">
      <c r="A2131" s="98">
        <v>7431385026231960</v>
      </c>
      <c r="B2131">
        <v>0.43</v>
      </c>
      <c r="C2131">
        <v>0.62</v>
      </c>
    </row>
    <row r="2132" spans="1:3" x14ac:dyDescent="0.25">
      <c r="A2132" s="98">
        <v>7434875686433580</v>
      </c>
      <c r="B2132">
        <v>0.51</v>
      </c>
      <c r="C2132">
        <v>0.73</v>
      </c>
    </row>
    <row r="2133" spans="1:3" x14ac:dyDescent="0.25">
      <c r="A2133" s="98">
        <v>7438366247741160</v>
      </c>
      <c r="B2133">
        <v>0.35</v>
      </c>
      <c r="C2133">
        <v>0.8</v>
      </c>
    </row>
    <row r="2134" spans="1:3" x14ac:dyDescent="0.25">
      <c r="A2134" s="98">
        <v>7441856787524840</v>
      </c>
      <c r="B2134">
        <v>0.65</v>
      </c>
      <c r="C2134">
        <v>0.61</v>
      </c>
    </row>
    <row r="2135" spans="1:3" x14ac:dyDescent="0.25">
      <c r="A2135" s="98">
        <v>7445347511635880</v>
      </c>
      <c r="B2135">
        <v>0.6</v>
      </c>
      <c r="C2135">
        <v>0.6</v>
      </c>
    </row>
    <row r="2136" spans="1:3" x14ac:dyDescent="0.25">
      <c r="A2136" s="98">
        <v>7448838217821380</v>
      </c>
      <c r="B2136">
        <v>0.43</v>
      </c>
      <c r="C2136">
        <v>0.59</v>
      </c>
    </row>
    <row r="2137" spans="1:3" x14ac:dyDescent="0.25">
      <c r="A2137" s="98">
        <v>7452328862305040</v>
      </c>
      <c r="B2137">
        <v>0.43</v>
      </c>
      <c r="C2137">
        <v>0.83</v>
      </c>
    </row>
    <row r="2138" spans="1:3" x14ac:dyDescent="0.25">
      <c r="A2138" s="98">
        <v>7455819671148500</v>
      </c>
      <c r="B2138">
        <v>0.5</v>
      </c>
      <c r="C2138">
        <v>0.63</v>
      </c>
    </row>
    <row r="2139" spans="1:3" x14ac:dyDescent="0.25">
      <c r="A2139" s="98">
        <v>7459310329970380</v>
      </c>
      <c r="B2139">
        <v>0.5</v>
      </c>
      <c r="C2139">
        <v>0.65</v>
      </c>
    </row>
    <row r="2140" spans="1:3" x14ac:dyDescent="0.25">
      <c r="A2140" s="98">
        <v>7462801001607260</v>
      </c>
      <c r="B2140">
        <v>0.49</v>
      </c>
      <c r="C2140">
        <v>0.69</v>
      </c>
    </row>
    <row r="2141" spans="1:3" x14ac:dyDescent="0.25">
      <c r="A2141" s="98">
        <v>7466291654385900</v>
      </c>
      <c r="B2141">
        <v>0.41</v>
      </c>
      <c r="C2141">
        <v>0.63</v>
      </c>
    </row>
    <row r="2142" spans="1:3" x14ac:dyDescent="0.25">
      <c r="A2142" s="98">
        <v>7469782073547440</v>
      </c>
      <c r="B2142">
        <v>0.4</v>
      </c>
      <c r="C2142">
        <v>0.67</v>
      </c>
    </row>
    <row r="2143" spans="1:3" x14ac:dyDescent="0.25">
      <c r="A2143" s="98">
        <v>7473272596608710</v>
      </c>
      <c r="B2143">
        <v>0.32</v>
      </c>
      <c r="C2143">
        <v>0.73</v>
      </c>
    </row>
    <row r="2144" spans="1:3" x14ac:dyDescent="0.25">
      <c r="A2144" s="98">
        <v>7476763377625630</v>
      </c>
      <c r="B2144">
        <v>0.5</v>
      </c>
      <c r="C2144">
        <v>0.78</v>
      </c>
    </row>
    <row r="2145" spans="1:3" x14ac:dyDescent="0.25">
      <c r="A2145" s="98">
        <v>7480254064616230</v>
      </c>
      <c r="B2145">
        <v>0.43</v>
      </c>
      <c r="C2145">
        <v>0.52</v>
      </c>
    </row>
    <row r="2146" spans="1:3" x14ac:dyDescent="0.25">
      <c r="A2146" s="98">
        <v>7483744633357830</v>
      </c>
      <c r="B2146">
        <v>0.49</v>
      </c>
      <c r="C2146">
        <v>0.7</v>
      </c>
    </row>
    <row r="2147" spans="1:3" x14ac:dyDescent="0.25">
      <c r="A2147" s="98">
        <v>7487235544804060</v>
      </c>
      <c r="B2147">
        <v>0.35</v>
      </c>
      <c r="C2147">
        <v>0.84</v>
      </c>
    </row>
    <row r="2148" spans="1:3" x14ac:dyDescent="0.25">
      <c r="A2148" s="98">
        <v>7490726223858410</v>
      </c>
      <c r="B2148">
        <v>0.41</v>
      </c>
      <c r="C2148">
        <v>0.66</v>
      </c>
    </row>
    <row r="2149" spans="1:3" x14ac:dyDescent="0.25">
      <c r="A2149" s="98">
        <v>7494216910931790</v>
      </c>
      <c r="B2149">
        <v>0.37</v>
      </c>
      <c r="C2149">
        <v>0.67</v>
      </c>
    </row>
    <row r="2150" spans="1:3" x14ac:dyDescent="0.25">
      <c r="A2150" s="98">
        <v>7497707601112340</v>
      </c>
      <c r="B2150">
        <v>0.4</v>
      </c>
      <c r="C2150">
        <v>0.75</v>
      </c>
    </row>
    <row r="2151" spans="1:3" x14ac:dyDescent="0.25">
      <c r="A2151" s="98">
        <v>7501198101711490</v>
      </c>
      <c r="B2151">
        <v>0.38</v>
      </c>
      <c r="C2151">
        <v>0.56999999999999995</v>
      </c>
    </row>
    <row r="2152" spans="1:3" x14ac:dyDescent="0.25">
      <c r="A2152" s="98">
        <v>7504688700972880</v>
      </c>
      <c r="B2152">
        <v>0.37</v>
      </c>
      <c r="C2152">
        <v>0.56999999999999995</v>
      </c>
    </row>
    <row r="2153" spans="1:3" x14ac:dyDescent="0.25">
      <c r="A2153" s="98">
        <v>7508179574139690</v>
      </c>
      <c r="B2153">
        <v>0.46</v>
      </c>
      <c r="C2153">
        <v>0.64</v>
      </c>
    </row>
    <row r="2154" spans="1:3" x14ac:dyDescent="0.25">
      <c r="A2154" s="98">
        <v>7511670120755830</v>
      </c>
      <c r="B2154">
        <v>0.39</v>
      </c>
      <c r="C2154">
        <v>0.48</v>
      </c>
    </row>
    <row r="2155" spans="1:3" x14ac:dyDescent="0.25">
      <c r="A2155" s="98">
        <v>7515160615620790</v>
      </c>
      <c r="B2155">
        <v>0.5</v>
      </c>
      <c r="C2155">
        <v>0.73</v>
      </c>
    </row>
    <row r="2156" spans="1:3" x14ac:dyDescent="0.25">
      <c r="A2156" s="98">
        <v>7518651051416440</v>
      </c>
      <c r="B2156">
        <v>0.36</v>
      </c>
      <c r="C2156">
        <v>0.54</v>
      </c>
    </row>
    <row r="2157" spans="1:3" x14ac:dyDescent="0.25">
      <c r="A2157" s="98">
        <v>7522141694376860</v>
      </c>
      <c r="B2157">
        <v>0.44</v>
      </c>
      <c r="C2157">
        <v>0.56999999999999995</v>
      </c>
    </row>
    <row r="2158" spans="1:3" x14ac:dyDescent="0.25">
      <c r="A2158" s="98">
        <v>7525632285221850</v>
      </c>
      <c r="B2158">
        <v>0.34</v>
      </c>
      <c r="C2158">
        <v>0.86</v>
      </c>
    </row>
    <row r="2159" spans="1:3" x14ac:dyDescent="0.25">
      <c r="A2159" s="98">
        <v>7529122881784480</v>
      </c>
      <c r="B2159">
        <v>0.28999999999999998</v>
      </c>
      <c r="C2159">
        <v>0.62</v>
      </c>
    </row>
    <row r="2160" spans="1:3" x14ac:dyDescent="0.25">
      <c r="A2160" s="98">
        <v>7532613569470460</v>
      </c>
      <c r="B2160">
        <v>0.34</v>
      </c>
      <c r="C2160">
        <v>0.78</v>
      </c>
    </row>
    <row r="2161" spans="1:3" x14ac:dyDescent="0.25">
      <c r="A2161" s="98">
        <v>7536104177126170</v>
      </c>
      <c r="B2161">
        <v>0.37</v>
      </c>
      <c r="C2161">
        <v>0.56999999999999995</v>
      </c>
    </row>
    <row r="2162" spans="1:3" x14ac:dyDescent="0.25">
      <c r="A2162" s="98">
        <v>7539594609897440</v>
      </c>
      <c r="B2162">
        <v>0.52</v>
      </c>
      <c r="C2162">
        <v>0.4</v>
      </c>
    </row>
    <row r="2163" spans="1:3" x14ac:dyDescent="0.25">
      <c r="A2163" s="98">
        <v>7543085055080820</v>
      </c>
      <c r="B2163">
        <v>0.39</v>
      </c>
      <c r="C2163">
        <v>0.43</v>
      </c>
    </row>
    <row r="2164" spans="1:3" x14ac:dyDescent="0.25">
      <c r="A2164" s="98">
        <v>7546575500065530</v>
      </c>
      <c r="B2164">
        <v>0.34</v>
      </c>
      <c r="C2164">
        <v>0.64</v>
      </c>
    </row>
    <row r="2165" spans="1:3" x14ac:dyDescent="0.25">
      <c r="A2165" s="98">
        <v>7550066279211530</v>
      </c>
      <c r="B2165">
        <v>0.37</v>
      </c>
      <c r="C2165">
        <v>0.55000000000000004</v>
      </c>
    </row>
    <row r="2166" spans="1:3" x14ac:dyDescent="0.25">
      <c r="A2166" s="98">
        <v>7553557083369400</v>
      </c>
      <c r="B2166">
        <v>0.35</v>
      </c>
      <c r="C2166">
        <v>0.63</v>
      </c>
    </row>
    <row r="2167" spans="1:3" x14ac:dyDescent="0.25">
      <c r="A2167" s="98">
        <v>7557047499098160</v>
      </c>
      <c r="B2167">
        <v>0.27</v>
      </c>
      <c r="C2167">
        <v>0.73</v>
      </c>
    </row>
    <row r="2168" spans="1:3" x14ac:dyDescent="0.25">
      <c r="A2168" s="98">
        <v>7560551662676860</v>
      </c>
      <c r="B2168">
        <v>0.55000000000000004</v>
      </c>
      <c r="C2168">
        <v>0.43</v>
      </c>
    </row>
    <row r="2169" spans="1:3" x14ac:dyDescent="0.25">
      <c r="A2169" s="98">
        <v>7564041931209740</v>
      </c>
      <c r="B2169">
        <v>0.27</v>
      </c>
      <c r="C2169">
        <v>0.84</v>
      </c>
    </row>
    <row r="2170" spans="1:3" x14ac:dyDescent="0.25">
      <c r="A2170" s="98">
        <v>7567532534130190</v>
      </c>
      <c r="B2170">
        <v>0.47</v>
      </c>
      <c r="C2170">
        <v>0.52</v>
      </c>
    </row>
    <row r="2171" spans="1:3" x14ac:dyDescent="0.25">
      <c r="A2171" s="98">
        <v>7571023212748540</v>
      </c>
      <c r="B2171">
        <v>0.46</v>
      </c>
      <c r="C2171">
        <v>0.67</v>
      </c>
    </row>
    <row r="2172" spans="1:3" x14ac:dyDescent="0.25">
      <c r="A2172" s="98">
        <v>7574513727117460</v>
      </c>
      <c r="B2172">
        <v>0.26</v>
      </c>
      <c r="C2172">
        <v>0.54</v>
      </c>
    </row>
    <row r="2173" spans="1:3" x14ac:dyDescent="0.25">
      <c r="A2173" s="98">
        <v>7578004353487930</v>
      </c>
      <c r="B2173">
        <v>0.33</v>
      </c>
      <c r="C2173">
        <v>0.53</v>
      </c>
    </row>
    <row r="2174" spans="1:3" x14ac:dyDescent="0.25">
      <c r="A2174" s="98">
        <v>7581494779658530</v>
      </c>
      <c r="B2174">
        <v>0.32</v>
      </c>
      <c r="C2174">
        <v>0.68</v>
      </c>
    </row>
    <row r="2175" spans="1:3" x14ac:dyDescent="0.25">
      <c r="A2175" s="98">
        <v>7584985331026490</v>
      </c>
      <c r="B2175">
        <v>0.31</v>
      </c>
      <c r="C2175">
        <v>0.47</v>
      </c>
    </row>
    <row r="2176" spans="1:3" x14ac:dyDescent="0.25">
      <c r="A2176" s="98">
        <v>7588475958969850</v>
      </c>
      <c r="B2176">
        <v>0.36</v>
      </c>
      <c r="C2176">
        <v>0.49</v>
      </c>
    </row>
    <row r="2177" spans="1:3" x14ac:dyDescent="0.25">
      <c r="A2177" s="98">
        <v>7591966724434380</v>
      </c>
      <c r="B2177">
        <v>0.28000000000000003</v>
      </c>
      <c r="C2177">
        <v>0.52</v>
      </c>
    </row>
    <row r="2178" spans="1:3" x14ac:dyDescent="0.25">
      <c r="A2178" s="98">
        <v>7595457242092600</v>
      </c>
      <c r="B2178">
        <v>0.32</v>
      </c>
      <c r="C2178">
        <v>0.42</v>
      </c>
    </row>
    <row r="2179" spans="1:3" x14ac:dyDescent="0.25">
      <c r="A2179" s="98">
        <v>7598947449183020</v>
      </c>
      <c r="B2179">
        <v>0.21</v>
      </c>
      <c r="C2179">
        <v>0.51</v>
      </c>
    </row>
    <row r="2180" spans="1:3" x14ac:dyDescent="0.25">
      <c r="A2180" s="98">
        <v>7602438182996370</v>
      </c>
      <c r="B2180">
        <v>0.25</v>
      </c>
      <c r="C2180">
        <v>0.63</v>
      </c>
    </row>
    <row r="2181" spans="1:3" x14ac:dyDescent="0.25">
      <c r="A2181" s="98">
        <v>7605928779514850</v>
      </c>
      <c r="B2181">
        <v>0.27</v>
      </c>
      <c r="C2181">
        <v>0.63</v>
      </c>
    </row>
    <row r="2182" spans="1:3" x14ac:dyDescent="0.25">
      <c r="A2182" s="98">
        <v>7609419097972130</v>
      </c>
      <c r="B2182">
        <v>0.25</v>
      </c>
      <c r="C2182">
        <v>0.81</v>
      </c>
    </row>
    <row r="2183" spans="1:3" x14ac:dyDescent="0.25">
      <c r="A2183" s="98">
        <v>7612909705981060</v>
      </c>
      <c r="B2183">
        <v>0.34</v>
      </c>
      <c r="C2183">
        <v>0.61</v>
      </c>
    </row>
    <row r="2184" spans="1:3" x14ac:dyDescent="0.25">
      <c r="A2184" s="98">
        <v>7616400146186350</v>
      </c>
      <c r="B2184">
        <v>0.33</v>
      </c>
      <c r="C2184">
        <v>0.46</v>
      </c>
    </row>
    <row r="2185" spans="1:3" x14ac:dyDescent="0.25">
      <c r="A2185" s="98">
        <v>7619890672630730</v>
      </c>
      <c r="B2185">
        <v>0.53</v>
      </c>
      <c r="C2185">
        <v>0.57999999999999996</v>
      </c>
    </row>
    <row r="2186" spans="1:3" x14ac:dyDescent="0.25">
      <c r="A2186" s="98">
        <v>7623381232398520</v>
      </c>
      <c r="B2186">
        <v>0.34</v>
      </c>
      <c r="C2186">
        <v>0.44</v>
      </c>
    </row>
    <row r="2187" spans="1:3" x14ac:dyDescent="0.25">
      <c r="A2187" s="98">
        <v>7626871777165810</v>
      </c>
      <c r="B2187">
        <v>0.37</v>
      </c>
      <c r="C2187">
        <v>0.33</v>
      </c>
    </row>
    <row r="2188" spans="1:3" x14ac:dyDescent="0.25">
      <c r="A2188" s="98">
        <v>7630362035775620</v>
      </c>
      <c r="B2188">
        <v>0.51</v>
      </c>
      <c r="C2188">
        <v>0.33</v>
      </c>
    </row>
    <row r="2189" spans="1:3" x14ac:dyDescent="0.25">
      <c r="A2189" s="98">
        <v>7633852588490200</v>
      </c>
      <c r="B2189">
        <v>0.34</v>
      </c>
      <c r="C2189">
        <v>0.38</v>
      </c>
    </row>
    <row r="2190" spans="1:3" x14ac:dyDescent="0.25">
      <c r="A2190" s="98">
        <v>7637343022470120</v>
      </c>
      <c r="B2190">
        <v>0.34</v>
      </c>
      <c r="C2190">
        <v>0.42</v>
      </c>
    </row>
    <row r="2191" spans="1:3" x14ac:dyDescent="0.25">
      <c r="A2191" s="98">
        <v>7640833637879950</v>
      </c>
      <c r="B2191">
        <v>0.33</v>
      </c>
      <c r="C2191">
        <v>0.39</v>
      </c>
    </row>
    <row r="2192" spans="1:3" x14ac:dyDescent="0.25">
      <c r="A2192" s="98">
        <v>7644324367454750</v>
      </c>
      <c r="B2192">
        <v>0.44</v>
      </c>
      <c r="C2192">
        <v>0.47</v>
      </c>
    </row>
    <row r="2193" spans="1:3" x14ac:dyDescent="0.25">
      <c r="A2193" s="98">
        <v>7647814909352190</v>
      </c>
      <c r="B2193">
        <v>0.4</v>
      </c>
      <c r="C2193">
        <v>0.6</v>
      </c>
    </row>
    <row r="2194" spans="1:3" x14ac:dyDescent="0.25">
      <c r="A2194" s="98">
        <v>7651305430884710</v>
      </c>
      <c r="B2194">
        <v>0.26</v>
      </c>
      <c r="C2194">
        <v>0.5</v>
      </c>
    </row>
    <row r="2195" spans="1:3" x14ac:dyDescent="0.25">
      <c r="A2195" s="98">
        <v>7654796166210260</v>
      </c>
      <c r="B2195">
        <v>0.22</v>
      </c>
      <c r="C2195">
        <v>0.71</v>
      </c>
    </row>
    <row r="2196" spans="1:3" x14ac:dyDescent="0.25">
      <c r="A2196" s="98">
        <v>7658286604025840</v>
      </c>
      <c r="B2196">
        <v>0.35</v>
      </c>
      <c r="C2196">
        <v>0.35</v>
      </c>
    </row>
    <row r="2197" spans="1:3" x14ac:dyDescent="0.25">
      <c r="A2197" s="98">
        <v>7661777022867290</v>
      </c>
      <c r="B2197">
        <v>0.23</v>
      </c>
      <c r="C2197">
        <v>0.4</v>
      </c>
    </row>
    <row r="2198" spans="1:3" x14ac:dyDescent="0.25">
      <c r="A2198" s="98">
        <v>7665267475490210</v>
      </c>
      <c r="B2198">
        <v>0.37</v>
      </c>
      <c r="C2198">
        <v>0.54</v>
      </c>
    </row>
    <row r="2199" spans="1:3" x14ac:dyDescent="0.25">
      <c r="A2199" s="98">
        <v>7668757993203620</v>
      </c>
      <c r="B2199">
        <v>0.31</v>
      </c>
      <c r="C2199">
        <v>0.44</v>
      </c>
    </row>
    <row r="2200" spans="1:3" x14ac:dyDescent="0.25">
      <c r="A2200" s="98">
        <v>7672248630711320</v>
      </c>
      <c r="B2200">
        <v>0.35</v>
      </c>
      <c r="C2200">
        <v>0.42</v>
      </c>
    </row>
    <row r="2201" spans="1:3" x14ac:dyDescent="0.25">
      <c r="A2201" s="98">
        <v>7675739286889630</v>
      </c>
      <c r="B2201">
        <v>0.26</v>
      </c>
      <c r="C2201">
        <v>0.3</v>
      </c>
    </row>
    <row r="2202" spans="1:3" x14ac:dyDescent="0.25">
      <c r="A2202" s="98">
        <v>7679229773084320</v>
      </c>
      <c r="B2202">
        <v>0.26</v>
      </c>
      <c r="C2202">
        <v>0.64</v>
      </c>
    </row>
    <row r="2203" spans="1:3" x14ac:dyDescent="0.25">
      <c r="A2203" s="98">
        <v>7682720463209680</v>
      </c>
      <c r="B2203">
        <v>0.28999999999999998</v>
      </c>
      <c r="C2203">
        <v>0.42</v>
      </c>
    </row>
    <row r="2204" spans="1:3" x14ac:dyDescent="0.25">
      <c r="A2204" s="98">
        <v>7686211060213820</v>
      </c>
      <c r="B2204">
        <v>0.28000000000000003</v>
      </c>
      <c r="C2204">
        <v>0.39</v>
      </c>
    </row>
    <row r="2205" spans="1:3" x14ac:dyDescent="0.25">
      <c r="A2205" s="98">
        <v>7689701657008240</v>
      </c>
      <c r="B2205">
        <v>0.54</v>
      </c>
      <c r="C2205">
        <v>0.53</v>
      </c>
    </row>
    <row r="2206" spans="1:3" x14ac:dyDescent="0.25">
      <c r="A2206" s="98">
        <v>7693191989119400</v>
      </c>
      <c r="B2206">
        <v>0.33</v>
      </c>
      <c r="C2206">
        <v>0.37</v>
      </c>
    </row>
    <row r="2207" spans="1:3" x14ac:dyDescent="0.25">
      <c r="A2207" s="98">
        <v>7696682705294200</v>
      </c>
      <c r="B2207">
        <v>0.59</v>
      </c>
      <c r="C2207">
        <v>0.54</v>
      </c>
    </row>
    <row r="2208" spans="1:3" x14ac:dyDescent="0.25">
      <c r="A2208" s="98">
        <v>7700173292888530</v>
      </c>
      <c r="B2208">
        <v>0.39</v>
      </c>
      <c r="C2208">
        <v>0.55000000000000004</v>
      </c>
    </row>
    <row r="2209" spans="1:3" x14ac:dyDescent="0.25">
      <c r="A2209" s="98">
        <v>7703663878203540</v>
      </c>
      <c r="B2209">
        <v>0.4</v>
      </c>
      <c r="C2209">
        <v>0.51</v>
      </c>
    </row>
    <row r="2210" spans="1:3" x14ac:dyDescent="0.25">
      <c r="A2210" s="98">
        <v>7707154395795530</v>
      </c>
      <c r="B2210">
        <v>0.35</v>
      </c>
      <c r="C2210">
        <v>0.3</v>
      </c>
    </row>
    <row r="2211" spans="1:3" x14ac:dyDescent="0.25">
      <c r="A2211" s="98">
        <v>7710645044617070</v>
      </c>
      <c r="B2211">
        <v>0.31</v>
      </c>
      <c r="C2211">
        <v>0.3</v>
      </c>
    </row>
    <row r="2212" spans="1:3" x14ac:dyDescent="0.25">
      <c r="A2212" s="98">
        <v>7714135624247560</v>
      </c>
      <c r="B2212">
        <v>0.2</v>
      </c>
      <c r="C2212">
        <v>0.35</v>
      </c>
    </row>
    <row r="2213" spans="1:3" x14ac:dyDescent="0.25">
      <c r="A2213" s="98">
        <v>7717626220528720</v>
      </c>
      <c r="B2213">
        <v>0.26</v>
      </c>
      <c r="C2213">
        <v>0.32</v>
      </c>
    </row>
    <row r="2214" spans="1:3" x14ac:dyDescent="0.25">
      <c r="A2214" s="98">
        <v>7721116844713680</v>
      </c>
      <c r="B2214">
        <v>0.32</v>
      </c>
      <c r="C2214">
        <v>0.3</v>
      </c>
    </row>
    <row r="2215" spans="1:3" x14ac:dyDescent="0.25">
      <c r="A2215" s="98">
        <v>7724607377223390</v>
      </c>
      <c r="B2215">
        <v>0.23</v>
      </c>
      <c r="C2215">
        <v>0.55000000000000004</v>
      </c>
    </row>
    <row r="2216" spans="1:3" x14ac:dyDescent="0.25">
      <c r="A2216" s="98">
        <v>7728098135943760</v>
      </c>
      <c r="B2216">
        <v>0.31</v>
      </c>
      <c r="C2216">
        <v>0.66</v>
      </c>
    </row>
    <row r="2217" spans="1:3" x14ac:dyDescent="0.25">
      <c r="A2217" s="98">
        <v>7731588744322450</v>
      </c>
      <c r="B2217">
        <v>0.25</v>
      </c>
      <c r="C2217">
        <v>0.43</v>
      </c>
    </row>
    <row r="2218" spans="1:3" x14ac:dyDescent="0.25">
      <c r="A2218" s="98">
        <v>7735079247107100</v>
      </c>
      <c r="B2218">
        <v>0.27</v>
      </c>
      <c r="C2218">
        <v>0.37</v>
      </c>
    </row>
    <row r="2219" spans="1:3" x14ac:dyDescent="0.25">
      <c r="A2219" s="98">
        <v>7738569821268320</v>
      </c>
      <c r="B2219">
        <v>0.33</v>
      </c>
      <c r="C2219">
        <v>0.46</v>
      </c>
    </row>
    <row r="2220" spans="1:3" x14ac:dyDescent="0.25">
      <c r="A2220" s="98">
        <v>7742060328600580</v>
      </c>
      <c r="B2220">
        <v>0.15</v>
      </c>
      <c r="C2220">
        <v>0.37</v>
      </c>
    </row>
    <row r="2221" spans="1:3" x14ac:dyDescent="0.25">
      <c r="A2221" s="98">
        <v>7745550921526220</v>
      </c>
      <c r="B2221">
        <v>0.25</v>
      </c>
      <c r="C2221">
        <v>0.44</v>
      </c>
    </row>
    <row r="2222" spans="1:3" x14ac:dyDescent="0.25">
      <c r="A2222" s="98">
        <v>7749041535396260</v>
      </c>
      <c r="B2222">
        <v>0.23</v>
      </c>
      <c r="C2222">
        <v>0.42</v>
      </c>
    </row>
    <row r="2223" spans="1:3" x14ac:dyDescent="0.25">
      <c r="A2223" s="98">
        <v>7752532015934030</v>
      </c>
      <c r="B2223">
        <v>0.26</v>
      </c>
      <c r="C2223">
        <v>0.27</v>
      </c>
    </row>
    <row r="2224" spans="1:3" x14ac:dyDescent="0.25">
      <c r="A2224" s="98">
        <v>7756022574366240</v>
      </c>
      <c r="B2224">
        <v>0.17</v>
      </c>
      <c r="C2224">
        <v>0.23</v>
      </c>
    </row>
    <row r="2225" spans="1:3" x14ac:dyDescent="0.25">
      <c r="A2225" s="98">
        <v>7759513187590570</v>
      </c>
      <c r="B2225">
        <v>0.4</v>
      </c>
      <c r="C2225">
        <v>0.4</v>
      </c>
    </row>
    <row r="2226" spans="1:3" x14ac:dyDescent="0.25">
      <c r="A2226" s="98">
        <v>7763003652962260</v>
      </c>
      <c r="B2226">
        <v>0.36</v>
      </c>
      <c r="C2226">
        <v>0.31</v>
      </c>
    </row>
    <row r="2227" spans="1:3" x14ac:dyDescent="0.25">
      <c r="A2227" s="98">
        <v>7766494216389120</v>
      </c>
      <c r="B2227">
        <v>0.4</v>
      </c>
      <c r="C2227">
        <v>0.34</v>
      </c>
    </row>
    <row r="2228" spans="1:3" x14ac:dyDescent="0.25">
      <c r="A2228" s="98">
        <v>7769984811875550</v>
      </c>
      <c r="B2228">
        <v>0.25</v>
      </c>
      <c r="C2228">
        <v>0.49</v>
      </c>
    </row>
    <row r="2229" spans="1:3" x14ac:dyDescent="0.25">
      <c r="A2229" s="98">
        <v>7773475382079680</v>
      </c>
      <c r="B2229">
        <v>0.35</v>
      </c>
      <c r="C2229">
        <v>0.59</v>
      </c>
    </row>
    <row r="2230" spans="1:3" x14ac:dyDescent="0.25">
      <c r="A2230" s="98">
        <v>7776965913176530</v>
      </c>
      <c r="B2230">
        <v>0.31</v>
      </c>
      <c r="C2230">
        <v>0.69</v>
      </c>
    </row>
    <row r="2231" spans="1:3" x14ac:dyDescent="0.25">
      <c r="A2231" s="98">
        <v>7780456698702440</v>
      </c>
      <c r="B2231">
        <v>0.25</v>
      </c>
      <c r="C2231">
        <v>0.47</v>
      </c>
    </row>
    <row r="2232" spans="1:3" x14ac:dyDescent="0.25">
      <c r="A2232" s="98">
        <v>7783947304581050</v>
      </c>
      <c r="B2232">
        <v>0.22</v>
      </c>
      <c r="C2232">
        <v>0.37</v>
      </c>
    </row>
    <row r="2233" spans="1:3" x14ac:dyDescent="0.25">
      <c r="A2233" s="98">
        <v>7787437838144870</v>
      </c>
      <c r="B2233">
        <v>0.14000000000000001</v>
      </c>
      <c r="C2233">
        <v>0.62</v>
      </c>
    </row>
    <row r="2234" spans="1:3" x14ac:dyDescent="0.25">
      <c r="A2234" s="98">
        <v>7790928410749740</v>
      </c>
      <c r="B2234">
        <v>0.2</v>
      </c>
      <c r="C2234">
        <v>0.56999999999999995</v>
      </c>
    </row>
    <row r="2235" spans="1:3" x14ac:dyDescent="0.25">
      <c r="A2235" s="98">
        <v>7794418853593090</v>
      </c>
      <c r="B2235">
        <v>0.14000000000000001</v>
      </c>
      <c r="C2235">
        <v>0.7</v>
      </c>
    </row>
    <row r="2236" spans="1:3" x14ac:dyDescent="0.25">
      <c r="A2236" s="98">
        <v>7797909442324320</v>
      </c>
      <c r="B2236">
        <v>0.33</v>
      </c>
      <c r="C2236">
        <v>0.34</v>
      </c>
    </row>
    <row r="2237" spans="1:3" x14ac:dyDescent="0.25">
      <c r="A2237" s="98">
        <v>7801400085157810</v>
      </c>
      <c r="B2237">
        <v>0.16</v>
      </c>
      <c r="C2237">
        <v>0.37</v>
      </c>
    </row>
    <row r="2238" spans="1:3" x14ac:dyDescent="0.25">
      <c r="A2238" s="98">
        <v>7804890563079600</v>
      </c>
      <c r="B2238">
        <v>0.19</v>
      </c>
      <c r="C2238">
        <v>0.49</v>
      </c>
    </row>
    <row r="2239" spans="1:3" x14ac:dyDescent="0.25">
      <c r="A2239" s="98">
        <v>7808380963719550</v>
      </c>
      <c r="B2239">
        <v>0.25</v>
      </c>
      <c r="C2239">
        <v>0.35</v>
      </c>
    </row>
    <row r="2240" spans="1:3" x14ac:dyDescent="0.25">
      <c r="A2240" s="98">
        <v>7811871730867360</v>
      </c>
      <c r="B2240">
        <v>0.15</v>
      </c>
      <c r="C2240">
        <v>0.49</v>
      </c>
    </row>
    <row r="2241" spans="1:3" x14ac:dyDescent="0.25">
      <c r="A2241" s="98">
        <v>7815362168831950</v>
      </c>
      <c r="B2241">
        <v>0.17</v>
      </c>
      <c r="C2241">
        <v>0.27</v>
      </c>
    </row>
    <row r="2242" spans="1:3" x14ac:dyDescent="0.25">
      <c r="A2242" s="98">
        <v>7818852810230520</v>
      </c>
      <c r="B2242">
        <v>0.26</v>
      </c>
      <c r="C2242">
        <v>0.66</v>
      </c>
    </row>
    <row r="2243" spans="1:3" x14ac:dyDescent="0.25">
      <c r="A2243" s="98">
        <v>7822343556119330</v>
      </c>
      <c r="B2243">
        <v>0.2</v>
      </c>
      <c r="C2243">
        <v>0.41</v>
      </c>
    </row>
    <row r="2244" spans="1:3" x14ac:dyDescent="0.25">
      <c r="A2244" s="98">
        <v>7825834251581510</v>
      </c>
      <c r="B2244">
        <v>0.34</v>
      </c>
      <c r="C2244">
        <v>0.59</v>
      </c>
    </row>
    <row r="2245" spans="1:3" x14ac:dyDescent="0.25">
      <c r="A2245" s="98">
        <v>7829324895811300</v>
      </c>
      <c r="B2245">
        <v>0.27</v>
      </c>
      <c r="C2245">
        <v>0.59</v>
      </c>
    </row>
    <row r="2246" spans="1:3" x14ac:dyDescent="0.25">
      <c r="A2246" s="98">
        <v>7832815922951250</v>
      </c>
      <c r="B2246">
        <v>0.28000000000000003</v>
      </c>
      <c r="C2246">
        <v>0.43</v>
      </c>
    </row>
    <row r="2247" spans="1:3" x14ac:dyDescent="0.25">
      <c r="A2247" s="98">
        <v>7836306619561380</v>
      </c>
      <c r="B2247">
        <v>0.24</v>
      </c>
      <c r="C2247">
        <v>0.5</v>
      </c>
    </row>
    <row r="2248" spans="1:3" x14ac:dyDescent="0.25">
      <c r="A2248" s="98">
        <v>7839797171575050</v>
      </c>
      <c r="B2248">
        <v>0.14000000000000001</v>
      </c>
      <c r="C2248">
        <v>0.4</v>
      </c>
    </row>
    <row r="2249" spans="1:3" x14ac:dyDescent="0.25">
      <c r="A2249" s="98">
        <v>7843287839701880</v>
      </c>
      <c r="B2249">
        <v>0.16</v>
      </c>
      <c r="C2249">
        <v>0.59</v>
      </c>
    </row>
    <row r="2250" spans="1:3" x14ac:dyDescent="0.25">
      <c r="A2250" s="98">
        <v>7846778437682870</v>
      </c>
      <c r="B2250">
        <v>0.17</v>
      </c>
      <c r="C2250">
        <v>0.63</v>
      </c>
    </row>
    <row r="2251" spans="1:3" x14ac:dyDescent="0.25">
      <c r="A2251" s="98">
        <v>7850268932415370</v>
      </c>
      <c r="B2251">
        <v>0.28000000000000003</v>
      </c>
      <c r="C2251">
        <v>0.22</v>
      </c>
    </row>
    <row r="2252" spans="1:3" x14ac:dyDescent="0.25">
      <c r="A2252" s="98">
        <v>7853759576656200</v>
      </c>
      <c r="B2252">
        <v>0.22</v>
      </c>
      <c r="C2252">
        <v>0.25</v>
      </c>
    </row>
    <row r="2253" spans="1:3" x14ac:dyDescent="0.25">
      <c r="A2253" s="98">
        <v>7857250048071140</v>
      </c>
      <c r="B2253">
        <v>0.25</v>
      </c>
      <c r="C2253">
        <v>0.51</v>
      </c>
    </row>
    <row r="2254" spans="1:3" x14ac:dyDescent="0.25">
      <c r="A2254" s="98">
        <v>7860740656477430</v>
      </c>
      <c r="B2254">
        <v>0.2</v>
      </c>
      <c r="C2254">
        <v>0.76</v>
      </c>
    </row>
    <row r="2255" spans="1:3" x14ac:dyDescent="0.25">
      <c r="A2255" s="98">
        <v>7864231243486750</v>
      </c>
      <c r="B2255">
        <v>0.28000000000000003</v>
      </c>
      <c r="C2255">
        <v>0.28000000000000003</v>
      </c>
    </row>
    <row r="2256" spans="1:3" x14ac:dyDescent="0.25">
      <c r="A2256" s="98">
        <v>7867721930046870</v>
      </c>
      <c r="B2256">
        <v>0.12</v>
      </c>
      <c r="C2256">
        <v>0.4</v>
      </c>
    </row>
    <row r="2257" spans="1:3" x14ac:dyDescent="0.25">
      <c r="A2257" s="98">
        <v>7871212389126970</v>
      </c>
      <c r="B2257">
        <v>0.15</v>
      </c>
      <c r="C2257">
        <v>0.25</v>
      </c>
    </row>
    <row r="2258" spans="1:3" x14ac:dyDescent="0.25">
      <c r="A2258" s="98">
        <v>7874703069787330</v>
      </c>
      <c r="B2258">
        <v>0.25</v>
      </c>
      <c r="C2258">
        <v>0.28000000000000003</v>
      </c>
    </row>
    <row r="2259" spans="1:3" x14ac:dyDescent="0.25">
      <c r="A2259" s="98">
        <v>7878193728741670</v>
      </c>
      <c r="B2259">
        <v>0.2</v>
      </c>
      <c r="C2259">
        <v>0.27</v>
      </c>
    </row>
    <row r="2260" spans="1:3" x14ac:dyDescent="0.25">
      <c r="A2260" s="98">
        <v>7881684380449630</v>
      </c>
      <c r="B2260">
        <v>0.24</v>
      </c>
      <c r="C2260">
        <v>0.46</v>
      </c>
    </row>
    <row r="2261" spans="1:3" x14ac:dyDescent="0.25">
      <c r="A2261" s="98">
        <v>7885174867063760</v>
      </c>
      <c r="B2261">
        <v>0.31</v>
      </c>
      <c r="C2261">
        <v>0.24</v>
      </c>
    </row>
    <row r="2262" spans="1:3" x14ac:dyDescent="0.25">
      <c r="A2262" s="98">
        <v>7888665337877140</v>
      </c>
      <c r="B2262">
        <v>0.19</v>
      </c>
      <c r="C2262">
        <v>0.53</v>
      </c>
    </row>
    <row r="2263" spans="1:3" x14ac:dyDescent="0.25">
      <c r="A2263" s="98">
        <v>7892155886838830</v>
      </c>
      <c r="B2263">
        <v>0.12</v>
      </c>
      <c r="C2263">
        <v>0.51</v>
      </c>
    </row>
    <row r="2264" spans="1:3" x14ac:dyDescent="0.25">
      <c r="A2264" s="98">
        <v>7895646515422390</v>
      </c>
      <c r="B2264">
        <v>0.17</v>
      </c>
      <c r="C2264">
        <v>0.34</v>
      </c>
    </row>
    <row r="2265" spans="1:3" x14ac:dyDescent="0.25">
      <c r="A2265" s="98">
        <v>7899137124352980</v>
      </c>
      <c r="B2265">
        <v>0.18</v>
      </c>
      <c r="C2265">
        <v>0.3</v>
      </c>
    </row>
    <row r="2266" spans="1:3" x14ac:dyDescent="0.25">
      <c r="A2266" s="98">
        <v>7902627853778770</v>
      </c>
      <c r="B2266">
        <v>0.18</v>
      </c>
      <c r="C2266">
        <v>0.33</v>
      </c>
    </row>
    <row r="2267" spans="1:3" x14ac:dyDescent="0.25">
      <c r="A2267" s="98">
        <v>7906118708710980</v>
      </c>
      <c r="B2267">
        <v>0.44</v>
      </c>
      <c r="C2267">
        <v>0.53</v>
      </c>
    </row>
    <row r="2268" spans="1:3" x14ac:dyDescent="0.25">
      <c r="A2268" s="98">
        <v>7909609352250890</v>
      </c>
      <c r="B2268">
        <v>0.18</v>
      </c>
      <c r="C2268">
        <v>0.44</v>
      </c>
    </row>
    <row r="2269" spans="1:3" x14ac:dyDescent="0.25">
      <c r="A2269" s="98">
        <v>7913099866879200</v>
      </c>
      <c r="B2269">
        <v>0.2</v>
      </c>
      <c r="C2269">
        <v>0.25</v>
      </c>
    </row>
    <row r="2270" spans="1:3" x14ac:dyDescent="0.25">
      <c r="A2270" s="98">
        <v>7916590690629340</v>
      </c>
      <c r="B2270">
        <v>0.27</v>
      </c>
      <c r="C2270">
        <v>0.32</v>
      </c>
    </row>
    <row r="2271" spans="1:3" x14ac:dyDescent="0.25">
      <c r="A2271" s="98">
        <v>7920081327645860</v>
      </c>
      <c r="B2271">
        <v>0.19</v>
      </c>
      <c r="C2271">
        <v>0.33</v>
      </c>
    </row>
    <row r="2272" spans="1:3" x14ac:dyDescent="0.25">
      <c r="A2272" s="98">
        <v>7923571806533460</v>
      </c>
      <c r="B2272">
        <v>0.14000000000000001</v>
      </c>
      <c r="C2272">
        <v>0.61</v>
      </c>
    </row>
    <row r="2273" spans="1:3" x14ac:dyDescent="0.25">
      <c r="A2273" s="98">
        <v>7927062344815990</v>
      </c>
      <c r="B2273">
        <v>0.14000000000000001</v>
      </c>
      <c r="C2273">
        <v>0.68</v>
      </c>
    </row>
    <row r="2274" spans="1:3" x14ac:dyDescent="0.25">
      <c r="A2274" s="98">
        <v>7930552932509670</v>
      </c>
      <c r="B2274">
        <v>0.18</v>
      </c>
      <c r="C2274">
        <v>0.19</v>
      </c>
    </row>
    <row r="2275" spans="1:3" x14ac:dyDescent="0.25">
      <c r="A2275" s="98">
        <v>7934043602639870</v>
      </c>
      <c r="B2275">
        <v>0.15</v>
      </c>
      <c r="C2275">
        <v>0.46</v>
      </c>
    </row>
    <row r="2276" spans="1:3" x14ac:dyDescent="0.25">
      <c r="A2276" s="98">
        <v>7937534246135640</v>
      </c>
      <c r="B2276">
        <v>0.28000000000000003</v>
      </c>
      <c r="C2276">
        <v>0.54</v>
      </c>
    </row>
    <row r="2277" spans="1:3" x14ac:dyDescent="0.25">
      <c r="A2277" s="98">
        <v>7941024921988990</v>
      </c>
      <c r="B2277">
        <v>0.36</v>
      </c>
      <c r="C2277">
        <v>0.33</v>
      </c>
    </row>
    <row r="2278" spans="1:3" x14ac:dyDescent="0.25">
      <c r="A2278" s="98">
        <v>7944515461905130</v>
      </c>
      <c r="B2278">
        <v>0.18</v>
      </c>
      <c r="C2278">
        <v>0.22</v>
      </c>
    </row>
    <row r="2279" spans="1:3" x14ac:dyDescent="0.25">
      <c r="A2279" s="98">
        <v>7948006126897200</v>
      </c>
      <c r="B2279">
        <v>0.27</v>
      </c>
      <c r="C2279">
        <v>0.54</v>
      </c>
    </row>
    <row r="2280" spans="1:3" x14ac:dyDescent="0.25">
      <c r="A2280" s="98">
        <v>7951496610536610</v>
      </c>
      <c r="B2280">
        <v>0.16</v>
      </c>
      <c r="C2280">
        <v>0.52</v>
      </c>
    </row>
    <row r="2281" spans="1:3" x14ac:dyDescent="0.25">
      <c r="A2281" s="98">
        <v>7954987030062410</v>
      </c>
      <c r="B2281">
        <v>0.15</v>
      </c>
      <c r="C2281">
        <v>0.66</v>
      </c>
    </row>
    <row r="2282" spans="1:3" x14ac:dyDescent="0.25">
      <c r="A2282" s="98">
        <v>7958477704017250</v>
      </c>
      <c r="B2282">
        <v>0.25</v>
      </c>
      <c r="C2282">
        <v>0.28000000000000003</v>
      </c>
    </row>
    <row r="2283" spans="1:3" x14ac:dyDescent="0.25">
      <c r="A2283" s="98">
        <v>7961968262201100</v>
      </c>
      <c r="B2283">
        <v>0.14000000000000001</v>
      </c>
      <c r="C2283">
        <v>0.2</v>
      </c>
    </row>
    <row r="2284" spans="1:3" x14ac:dyDescent="0.25">
      <c r="A2284" s="98">
        <v>7965458795008830</v>
      </c>
      <c r="B2284">
        <v>0.28000000000000003</v>
      </c>
      <c r="C2284">
        <v>0.23</v>
      </c>
    </row>
    <row r="2285" spans="1:3" x14ac:dyDescent="0.25">
      <c r="A2285" s="98">
        <v>7968949458543900</v>
      </c>
      <c r="B2285">
        <v>0.24</v>
      </c>
      <c r="C2285">
        <v>0.33</v>
      </c>
    </row>
    <row r="2286" spans="1:3" x14ac:dyDescent="0.25">
      <c r="A2286" s="98">
        <v>7972439928954390</v>
      </c>
      <c r="B2286">
        <v>0.14000000000000001</v>
      </c>
      <c r="C2286">
        <v>0.19</v>
      </c>
    </row>
    <row r="2287" spans="1:3" x14ac:dyDescent="0.25">
      <c r="A2287" s="98">
        <v>7975930603201740</v>
      </c>
      <c r="B2287">
        <v>0.26</v>
      </c>
      <c r="C2287">
        <v>0.15</v>
      </c>
    </row>
    <row r="2288" spans="1:3" x14ac:dyDescent="0.25">
      <c r="A2288" s="98">
        <v>7979421187600600</v>
      </c>
      <c r="B2288">
        <v>0.25</v>
      </c>
      <c r="C2288">
        <v>0.23</v>
      </c>
    </row>
    <row r="2289" spans="1:3" x14ac:dyDescent="0.25">
      <c r="A2289" s="98">
        <v>7982911698222160</v>
      </c>
      <c r="B2289">
        <v>0.24</v>
      </c>
      <c r="C2289">
        <v>0.18</v>
      </c>
    </row>
    <row r="2290" spans="1:3" x14ac:dyDescent="0.25">
      <c r="A2290" s="98">
        <v>7986402218612250</v>
      </c>
      <c r="B2290">
        <v>0.23</v>
      </c>
      <c r="C2290">
        <v>0.56000000000000005</v>
      </c>
    </row>
    <row r="2291" spans="1:3" x14ac:dyDescent="0.25">
      <c r="A2291" s="98">
        <v>7989892904394200</v>
      </c>
      <c r="B2291">
        <v>0.35</v>
      </c>
      <c r="C2291">
        <v>0.23</v>
      </c>
    </row>
    <row r="2292" spans="1:3" x14ac:dyDescent="0.25">
      <c r="A2292" s="98">
        <v>7993383376565240</v>
      </c>
      <c r="B2292">
        <v>0.15</v>
      </c>
      <c r="C2292">
        <v>0.45</v>
      </c>
    </row>
    <row r="2293" spans="1:3" x14ac:dyDescent="0.25">
      <c r="A2293" s="98">
        <v>7996873709046170</v>
      </c>
      <c r="B2293">
        <v>0.2</v>
      </c>
      <c r="C2293">
        <v>0.49</v>
      </c>
    </row>
    <row r="2294" spans="1:3" x14ac:dyDescent="0.25">
      <c r="A2294" s="98">
        <v>8000364492728750</v>
      </c>
      <c r="B2294">
        <v>0.08</v>
      </c>
      <c r="C2294">
        <v>0.34</v>
      </c>
    </row>
    <row r="2295" spans="1:3" x14ac:dyDescent="0.25">
      <c r="A2295" s="98">
        <v>8003855066255280</v>
      </c>
      <c r="B2295">
        <v>0.13</v>
      </c>
      <c r="C2295">
        <v>0.49</v>
      </c>
    </row>
    <row r="2296" spans="1:3" x14ac:dyDescent="0.25">
      <c r="A2296" s="98">
        <v>8007345719602370</v>
      </c>
      <c r="B2296">
        <v>0.17</v>
      </c>
      <c r="C2296">
        <v>0.26</v>
      </c>
    </row>
    <row r="2297" spans="1:3" x14ac:dyDescent="0.25">
      <c r="A2297" s="98">
        <v>8010836203710900</v>
      </c>
      <c r="B2297">
        <v>0.12</v>
      </c>
      <c r="C2297">
        <v>0.14000000000000001</v>
      </c>
    </row>
    <row r="2298" spans="1:3" x14ac:dyDescent="0.25">
      <c r="A2298" s="98">
        <v>8014326841213080</v>
      </c>
      <c r="B2298">
        <v>0.17</v>
      </c>
      <c r="C2298">
        <v>0.32</v>
      </c>
    </row>
    <row r="2299" spans="1:3" x14ac:dyDescent="0.25">
      <c r="A2299" s="98">
        <v>8017817429767710</v>
      </c>
      <c r="B2299">
        <v>0.33</v>
      </c>
      <c r="C2299">
        <v>0.31</v>
      </c>
    </row>
    <row r="2300" spans="1:3" x14ac:dyDescent="0.25">
      <c r="A2300" s="98">
        <v>8021308013460150</v>
      </c>
      <c r="B2300">
        <v>0.19</v>
      </c>
      <c r="C2300">
        <v>0.21</v>
      </c>
    </row>
    <row r="2301" spans="1:3" x14ac:dyDescent="0.25">
      <c r="A2301" s="98">
        <v>8024798565126120</v>
      </c>
      <c r="B2301">
        <v>0.33</v>
      </c>
      <c r="C2301">
        <v>0.3</v>
      </c>
    </row>
    <row r="2302" spans="1:3" x14ac:dyDescent="0.25">
      <c r="A2302" s="98">
        <v>8028289066978070</v>
      </c>
      <c r="B2302">
        <v>0.2</v>
      </c>
      <c r="C2302">
        <v>0.3</v>
      </c>
    </row>
    <row r="2303" spans="1:3" x14ac:dyDescent="0.25">
      <c r="A2303" s="98">
        <v>8031779633644550</v>
      </c>
      <c r="B2303">
        <v>0.16</v>
      </c>
      <c r="C2303">
        <v>0.45</v>
      </c>
    </row>
    <row r="2304" spans="1:3" x14ac:dyDescent="0.25">
      <c r="A2304" s="98">
        <v>8035270250213360</v>
      </c>
      <c r="B2304">
        <v>0.22</v>
      </c>
      <c r="C2304">
        <v>0.26</v>
      </c>
    </row>
    <row r="2305" spans="1:3" x14ac:dyDescent="0.25">
      <c r="A2305" s="98">
        <v>8038760952436260</v>
      </c>
      <c r="B2305">
        <v>0.19</v>
      </c>
      <c r="C2305">
        <v>0.33</v>
      </c>
    </row>
    <row r="2306" spans="1:3" x14ac:dyDescent="0.25">
      <c r="A2306" s="98">
        <v>8042251508589140</v>
      </c>
      <c r="B2306">
        <v>0.41</v>
      </c>
      <c r="C2306">
        <v>0.34</v>
      </c>
    </row>
    <row r="2307" spans="1:3" x14ac:dyDescent="0.25">
      <c r="A2307" s="98">
        <v>8045741931470450</v>
      </c>
      <c r="B2307">
        <v>0.11</v>
      </c>
      <c r="C2307">
        <v>0.48</v>
      </c>
    </row>
    <row r="2308" spans="1:3" x14ac:dyDescent="0.25">
      <c r="A2308" s="98">
        <v>8049232418117700</v>
      </c>
      <c r="B2308">
        <v>0.17</v>
      </c>
      <c r="C2308">
        <v>0.19</v>
      </c>
    </row>
    <row r="2309" spans="1:3" x14ac:dyDescent="0.25">
      <c r="A2309" s="98">
        <v>8052723132079390</v>
      </c>
      <c r="B2309">
        <v>0.24</v>
      </c>
      <c r="C2309">
        <v>0.28999999999999998</v>
      </c>
    </row>
    <row r="2310" spans="1:3" x14ac:dyDescent="0.25">
      <c r="A2310" s="98">
        <v>8056213643501200</v>
      </c>
      <c r="B2310">
        <v>0.24</v>
      </c>
      <c r="C2310">
        <v>0.34</v>
      </c>
    </row>
    <row r="2311" spans="1:3" x14ac:dyDescent="0.25">
      <c r="A2311" s="98">
        <v>8059703921432840</v>
      </c>
      <c r="B2311">
        <v>0.28000000000000003</v>
      </c>
      <c r="C2311">
        <v>0.19</v>
      </c>
    </row>
    <row r="2312" spans="1:3" x14ac:dyDescent="0.25">
      <c r="A2312" s="98">
        <v>8063194451690820</v>
      </c>
      <c r="B2312">
        <v>0.11</v>
      </c>
      <c r="C2312">
        <v>0.11</v>
      </c>
    </row>
    <row r="2313" spans="1:3" x14ac:dyDescent="0.25">
      <c r="A2313" s="98">
        <v>8066685075285250</v>
      </c>
      <c r="B2313">
        <v>0.12</v>
      </c>
      <c r="C2313">
        <v>0.2</v>
      </c>
    </row>
    <row r="2314" spans="1:3" x14ac:dyDescent="0.25">
      <c r="A2314" s="98">
        <v>8070175564255980</v>
      </c>
      <c r="B2314">
        <v>0.15</v>
      </c>
      <c r="C2314">
        <v>0.21</v>
      </c>
    </row>
    <row r="2315" spans="1:3" x14ac:dyDescent="0.25">
      <c r="A2315" s="98">
        <v>8073666057112040</v>
      </c>
      <c r="B2315">
        <v>0.24</v>
      </c>
      <c r="C2315">
        <v>0.27</v>
      </c>
    </row>
    <row r="2316" spans="1:3" x14ac:dyDescent="0.25">
      <c r="A2316" s="98">
        <v>8077156509072690</v>
      </c>
      <c r="B2316">
        <v>0.14000000000000001</v>
      </c>
      <c r="C2316">
        <v>0.47</v>
      </c>
    </row>
    <row r="2317" spans="1:3" x14ac:dyDescent="0.25">
      <c r="A2317" s="98">
        <v>8080646971673870</v>
      </c>
      <c r="B2317">
        <v>0.24</v>
      </c>
      <c r="C2317">
        <v>0.18</v>
      </c>
    </row>
    <row r="2318" spans="1:3" x14ac:dyDescent="0.25">
      <c r="A2318" s="98">
        <v>8084137499829130</v>
      </c>
      <c r="B2318">
        <v>0.1</v>
      </c>
      <c r="C2318">
        <v>0.23</v>
      </c>
    </row>
    <row r="2319" spans="1:3" x14ac:dyDescent="0.25">
      <c r="A2319" s="98">
        <v>8087628096060620</v>
      </c>
      <c r="B2319">
        <v>0.14000000000000001</v>
      </c>
      <c r="C2319">
        <v>0.39</v>
      </c>
    </row>
    <row r="2320" spans="1:3" x14ac:dyDescent="0.25">
      <c r="A2320" s="98">
        <v>8091118462063640</v>
      </c>
      <c r="B2320">
        <v>0.12</v>
      </c>
      <c r="C2320">
        <v>0.22</v>
      </c>
    </row>
    <row r="2321" spans="1:3" x14ac:dyDescent="0.25">
      <c r="A2321" s="98">
        <v>8094609074266970</v>
      </c>
      <c r="B2321">
        <v>0.2</v>
      </c>
      <c r="C2321">
        <v>0.36</v>
      </c>
    </row>
    <row r="2322" spans="1:3" x14ac:dyDescent="0.25">
      <c r="A2322" s="98">
        <v>8098099530620700</v>
      </c>
      <c r="B2322">
        <v>0.17</v>
      </c>
      <c r="C2322">
        <v>0.18</v>
      </c>
    </row>
    <row r="2323" spans="1:3" x14ac:dyDescent="0.25">
      <c r="A2323" s="98">
        <v>8101590093788170</v>
      </c>
      <c r="B2323">
        <v>0.15</v>
      </c>
      <c r="C2323">
        <v>0.21</v>
      </c>
    </row>
    <row r="2324" spans="1:3" x14ac:dyDescent="0.25">
      <c r="A2324" s="98">
        <v>8105080605971590</v>
      </c>
      <c r="B2324">
        <v>0.16</v>
      </c>
      <c r="C2324">
        <v>0.42</v>
      </c>
    </row>
    <row r="2325" spans="1:3" x14ac:dyDescent="0.25">
      <c r="A2325" s="98">
        <v>8108571294722730</v>
      </c>
      <c r="B2325">
        <v>0.2</v>
      </c>
      <c r="C2325">
        <v>0.44</v>
      </c>
    </row>
    <row r="2326" spans="1:3" x14ac:dyDescent="0.25">
      <c r="A2326" s="98">
        <v>8112061779339000</v>
      </c>
      <c r="B2326">
        <v>0.47</v>
      </c>
      <c r="C2326">
        <v>0.2</v>
      </c>
    </row>
    <row r="2327" spans="1:3" x14ac:dyDescent="0.25">
      <c r="A2327" s="98">
        <v>8115552480695420</v>
      </c>
      <c r="B2327">
        <v>0.24</v>
      </c>
      <c r="C2327">
        <v>0.16</v>
      </c>
    </row>
    <row r="2328" spans="1:3" x14ac:dyDescent="0.25">
      <c r="A2328" s="98">
        <v>8119042961663670</v>
      </c>
      <c r="B2328">
        <v>0.35</v>
      </c>
      <c r="C2328">
        <v>0.25</v>
      </c>
    </row>
    <row r="2329" spans="1:3" x14ac:dyDescent="0.25">
      <c r="A2329" s="98">
        <v>8122533263288160</v>
      </c>
      <c r="B2329">
        <v>0.27</v>
      </c>
      <c r="C2329">
        <v>0.43</v>
      </c>
    </row>
    <row r="2330" spans="1:3" x14ac:dyDescent="0.25">
      <c r="A2330" s="98">
        <v>8126023729592560</v>
      </c>
      <c r="B2330">
        <v>0.25</v>
      </c>
      <c r="C2330">
        <v>0.25</v>
      </c>
    </row>
    <row r="2331" spans="1:3" x14ac:dyDescent="0.25">
      <c r="A2331" s="98">
        <v>8129514289730120</v>
      </c>
      <c r="B2331">
        <v>0.24</v>
      </c>
      <c r="C2331">
        <v>0.28999999999999998</v>
      </c>
    </row>
    <row r="2332" spans="1:3" x14ac:dyDescent="0.25">
      <c r="A2332" s="98">
        <v>8133004767276620</v>
      </c>
      <c r="B2332">
        <v>0.13</v>
      </c>
      <c r="C2332">
        <v>0.42</v>
      </c>
    </row>
    <row r="2333" spans="1:3" x14ac:dyDescent="0.25">
      <c r="A2333" s="98">
        <v>8136495485394080</v>
      </c>
      <c r="B2333">
        <v>0.16</v>
      </c>
      <c r="C2333">
        <v>0.2</v>
      </c>
    </row>
    <row r="2334" spans="1:3" x14ac:dyDescent="0.25">
      <c r="A2334" s="98">
        <v>8139985854857490</v>
      </c>
      <c r="B2334">
        <v>0.25</v>
      </c>
      <c r="C2334">
        <v>0.22</v>
      </c>
    </row>
    <row r="2335" spans="1:3" x14ac:dyDescent="0.25">
      <c r="A2335" s="98">
        <v>8143476480035870</v>
      </c>
      <c r="B2335">
        <v>0.43</v>
      </c>
      <c r="C2335">
        <v>0.48</v>
      </c>
    </row>
    <row r="2336" spans="1:3" x14ac:dyDescent="0.25">
      <c r="A2336" s="98">
        <v>8146967085914470</v>
      </c>
      <c r="B2336">
        <v>0.12</v>
      </c>
      <c r="C2336">
        <v>0.27</v>
      </c>
    </row>
    <row r="2337" spans="1:3" x14ac:dyDescent="0.25">
      <c r="A2337" s="98">
        <v>8150457543018790</v>
      </c>
      <c r="B2337">
        <v>0.23</v>
      </c>
      <c r="C2337">
        <v>0.28999999999999998</v>
      </c>
    </row>
    <row r="2338" spans="1:3" x14ac:dyDescent="0.25">
      <c r="A2338" s="98">
        <v>8153948120894250</v>
      </c>
      <c r="B2338">
        <v>0.21</v>
      </c>
      <c r="C2338">
        <v>0.28999999999999998</v>
      </c>
    </row>
    <row r="2339" spans="1:3" x14ac:dyDescent="0.25">
      <c r="A2339" s="98">
        <v>8157438730972780</v>
      </c>
      <c r="B2339">
        <v>0.24</v>
      </c>
      <c r="C2339">
        <v>0.17</v>
      </c>
    </row>
    <row r="2340" spans="1:3" x14ac:dyDescent="0.25">
      <c r="A2340" s="98">
        <v>8160929051748020</v>
      </c>
      <c r="B2340">
        <v>0.3</v>
      </c>
      <c r="C2340">
        <v>0.22</v>
      </c>
    </row>
    <row r="2341" spans="1:3" x14ac:dyDescent="0.25">
      <c r="A2341" s="98">
        <v>8164419559091330</v>
      </c>
      <c r="B2341">
        <v>0.53</v>
      </c>
      <c r="C2341">
        <v>0.3</v>
      </c>
    </row>
    <row r="2342" spans="1:3" x14ac:dyDescent="0.25">
      <c r="A2342" s="98">
        <v>8167910153231130</v>
      </c>
      <c r="B2342">
        <v>0.13</v>
      </c>
      <c r="C2342">
        <v>0.26</v>
      </c>
    </row>
    <row r="2343" spans="1:3" x14ac:dyDescent="0.25">
      <c r="A2343" s="98">
        <v>8171400699654110</v>
      </c>
      <c r="B2343">
        <v>0.17</v>
      </c>
      <c r="C2343">
        <v>0.28999999999999998</v>
      </c>
    </row>
    <row r="2344" spans="1:3" x14ac:dyDescent="0.25">
      <c r="A2344" s="98">
        <v>8174891234702530</v>
      </c>
      <c r="B2344">
        <v>0.3</v>
      </c>
      <c r="C2344">
        <v>0.26</v>
      </c>
    </row>
    <row r="2345" spans="1:3" x14ac:dyDescent="0.25">
      <c r="A2345" s="98">
        <v>8178381868385600</v>
      </c>
      <c r="B2345">
        <v>0.14000000000000001</v>
      </c>
      <c r="C2345">
        <v>0.14000000000000001</v>
      </c>
    </row>
    <row r="2346" spans="1:3" x14ac:dyDescent="0.25">
      <c r="A2346" s="98">
        <v>8181872383488550</v>
      </c>
      <c r="B2346">
        <v>0.16</v>
      </c>
      <c r="C2346">
        <v>0.21</v>
      </c>
    </row>
    <row r="2347" spans="1:3" x14ac:dyDescent="0.25">
      <c r="A2347" s="98">
        <v>8185362898718420</v>
      </c>
      <c r="B2347">
        <v>0.26</v>
      </c>
      <c r="C2347">
        <v>0.36</v>
      </c>
    </row>
    <row r="2348" spans="1:3" x14ac:dyDescent="0.25">
      <c r="A2348" s="98">
        <v>8188853595295430</v>
      </c>
      <c r="B2348">
        <v>0.17</v>
      </c>
      <c r="C2348">
        <v>0.14000000000000001</v>
      </c>
    </row>
    <row r="2349" spans="1:3" x14ac:dyDescent="0.25">
      <c r="A2349" s="98">
        <v>8192344081793670</v>
      </c>
      <c r="B2349">
        <v>0.3</v>
      </c>
      <c r="C2349">
        <v>0.3</v>
      </c>
    </row>
    <row r="2350" spans="1:3" x14ac:dyDescent="0.25">
      <c r="A2350" s="98">
        <v>8195834511005210</v>
      </c>
      <c r="B2350">
        <v>0.15</v>
      </c>
      <c r="C2350">
        <v>0.14000000000000001</v>
      </c>
    </row>
    <row r="2351" spans="1:3" x14ac:dyDescent="0.25">
      <c r="A2351" s="98">
        <v>8199325288821150</v>
      </c>
      <c r="B2351">
        <v>0.26</v>
      </c>
      <c r="C2351">
        <v>0.33</v>
      </c>
    </row>
    <row r="2352" spans="1:3" x14ac:dyDescent="0.25">
      <c r="A2352" s="98">
        <v>8202815809316100</v>
      </c>
      <c r="B2352">
        <v>0.12</v>
      </c>
      <c r="C2352">
        <v>0.12</v>
      </c>
    </row>
    <row r="2353" spans="1:3" x14ac:dyDescent="0.25">
      <c r="A2353" s="98">
        <v>8206306386496180</v>
      </c>
      <c r="B2353">
        <v>0.15</v>
      </c>
      <c r="C2353">
        <v>0.17</v>
      </c>
    </row>
    <row r="2354" spans="1:3" x14ac:dyDescent="0.25">
      <c r="A2354" s="98">
        <v>8209797328500830</v>
      </c>
      <c r="B2354">
        <v>0.17</v>
      </c>
      <c r="C2354">
        <v>0.12</v>
      </c>
    </row>
    <row r="2355" spans="1:3" x14ac:dyDescent="0.25">
      <c r="A2355" s="98">
        <v>8213287877313510</v>
      </c>
      <c r="B2355">
        <v>0.09</v>
      </c>
      <c r="C2355">
        <v>0.17</v>
      </c>
    </row>
    <row r="2356" spans="1:3" x14ac:dyDescent="0.25">
      <c r="A2356" s="98">
        <v>8216778595430980</v>
      </c>
      <c r="B2356">
        <v>0.15</v>
      </c>
      <c r="C2356">
        <v>0.51</v>
      </c>
    </row>
    <row r="2357" spans="1:3" x14ac:dyDescent="0.25">
      <c r="A2357" s="98">
        <v>8220269180199610</v>
      </c>
      <c r="B2357">
        <v>0.08</v>
      </c>
      <c r="C2357">
        <v>0.14000000000000001</v>
      </c>
    </row>
    <row r="2358" spans="1:3" x14ac:dyDescent="0.25">
      <c r="A2358" s="98">
        <v>8223759573940870</v>
      </c>
      <c r="B2358">
        <v>7.0000000000000007E-2</v>
      </c>
      <c r="C2358">
        <v>0.34</v>
      </c>
    </row>
    <row r="2359" spans="1:3" x14ac:dyDescent="0.25">
      <c r="A2359" s="98">
        <v>8227250091681870</v>
      </c>
      <c r="B2359">
        <v>0.17</v>
      </c>
      <c r="C2359">
        <v>0.17</v>
      </c>
    </row>
    <row r="2360" spans="1:3" x14ac:dyDescent="0.25">
      <c r="A2360" s="98">
        <v>8230740925073620</v>
      </c>
      <c r="B2360">
        <v>0.21</v>
      </c>
      <c r="C2360">
        <v>0.22</v>
      </c>
    </row>
    <row r="2361" spans="1:3" x14ac:dyDescent="0.25">
      <c r="A2361" s="98">
        <v>8234231692088970</v>
      </c>
      <c r="B2361">
        <v>0.12</v>
      </c>
      <c r="C2361">
        <v>0.09</v>
      </c>
    </row>
    <row r="2362" spans="1:3" x14ac:dyDescent="0.25">
      <c r="A2362" s="98">
        <v>8237722307255970</v>
      </c>
      <c r="B2362">
        <v>0.21</v>
      </c>
      <c r="C2362">
        <v>0.16</v>
      </c>
    </row>
    <row r="2363" spans="1:3" x14ac:dyDescent="0.25">
      <c r="A2363" s="98">
        <v>8241212980719620</v>
      </c>
      <c r="B2363">
        <v>0.34</v>
      </c>
      <c r="C2363">
        <v>0.08</v>
      </c>
    </row>
    <row r="2364" spans="1:3" x14ac:dyDescent="0.25">
      <c r="A2364" s="98">
        <v>8244703654017710</v>
      </c>
      <c r="B2364">
        <v>0.3</v>
      </c>
      <c r="C2364">
        <v>0.11</v>
      </c>
    </row>
    <row r="2365" spans="1:3" x14ac:dyDescent="0.25">
      <c r="A2365" s="98">
        <v>8248194278434470</v>
      </c>
      <c r="B2365">
        <v>0.1</v>
      </c>
      <c r="C2365">
        <v>0.59</v>
      </c>
    </row>
    <row r="2366" spans="1:3" x14ac:dyDescent="0.25">
      <c r="A2366" s="98">
        <v>8251685071339210</v>
      </c>
      <c r="B2366">
        <v>0.12</v>
      </c>
      <c r="C2366">
        <v>0.11</v>
      </c>
    </row>
    <row r="2367" spans="1:3" x14ac:dyDescent="0.25">
      <c r="A2367" s="98">
        <v>8255175652542600</v>
      </c>
      <c r="B2367">
        <v>0.26</v>
      </c>
      <c r="C2367">
        <v>0.28000000000000003</v>
      </c>
    </row>
    <row r="2368" spans="1:3" x14ac:dyDescent="0.25">
      <c r="A2368" s="98">
        <v>8258666157203690</v>
      </c>
      <c r="B2368">
        <v>0.31</v>
      </c>
      <c r="C2368">
        <v>0.13</v>
      </c>
    </row>
    <row r="2369" spans="1:3" x14ac:dyDescent="0.25">
      <c r="A2369" s="98">
        <v>8262156786079760</v>
      </c>
      <c r="B2369">
        <v>0.3</v>
      </c>
      <c r="C2369">
        <v>7.0000000000000007E-2</v>
      </c>
    </row>
    <row r="2370" spans="1:3" x14ac:dyDescent="0.25">
      <c r="A2370" s="98">
        <v>8265647307546050</v>
      </c>
      <c r="B2370">
        <v>0.31</v>
      </c>
      <c r="C2370">
        <v>0.26</v>
      </c>
    </row>
    <row r="2371" spans="1:3" x14ac:dyDescent="0.25">
      <c r="A2371" s="98">
        <v>8269137836164890</v>
      </c>
      <c r="B2371">
        <v>0.06</v>
      </c>
      <c r="C2371">
        <v>0.56000000000000005</v>
      </c>
    </row>
    <row r="2372" spans="1:3" x14ac:dyDescent="0.25">
      <c r="A2372" s="98">
        <v>8272628424907170</v>
      </c>
      <c r="B2372">
        <v>0.1</v>
      </c>
      <c r="C2372">
        <v>0.11</v>
      </c>
    </row>
    <row r="2373" spans="1:3" x14ac:dyDescent="0.25">
      <c r="A2373" s="98">
        <v>8276119124210540</v>
      </c>
      <c r="B2373">
        <v>0.11</v>
      </c>
      <c r="C2373">
        <v>0.16</v>
      </c>
    </row>
    <row r="2374" spans="1:3" x14ac:dyDescent="0.25">
      <c r="A2374" s="98">
        <v>8279609487089840</v>
      </c>
      <c r="B2374">
        <v>0.36</v>
      </c>
      <c r="C2374">
        <v>0.09</v>
      </c>
    </row>
    <row r="2375" spans="1:3" x14ac:dyDescent="0.25">
      <c r="A2375" s="98">
        <v>8283100058386720</v>
      </c>
      <c r="B2375">
        <v>0.19</v>
      </c>
      <c r="C2375">
        <v>0.17</v>
      </c>
    </row>
    <row r="2376" spans="1:3" x14ac:dyDescent="0.25">
      <c r="A2376" s="98">
        <v>8286590571839500</v>
      </c>
      <c r="B2376">
        <v>0.33</v>
      </c>
      <c r="C2376">
        <v>0.33</v>
      </c>
    </row>
    <row r="2377" spans="1:3" x14ac:dyDescent="0.25">
      <c r="A2377" s="98">
        <v>8290081133102920</v>
      </c>
      <c r="B2377">
        <v>0.19</v>
      </c>
      <c r="C2377">
        <v>0.28999999999999998</v>
      </c>
    </row>
    <row r="2378" spans="1:3" x14ac:dyDescent="0.25">
      <c r="A2378" s="98">
        <v>8293571817477540</v>
      </c>
      <c r="B2378">
        <v>0.12</v>
      </c>
      <c r="C2378">
        <v>0.27</v>
      </c>
    </row>
    <row r="2379" spans="1:3" x14ac:dyDescent="0.25">
      <c r="A2379" s="98">
        <v>8297062286905660</v>
      </c>
      <c r="B2379">
        <v>0.38</v>
      </c>
      <c r="C2379">
        <v>0.1</v>
      </c>
    </row>
    <row r="2380" spans="1:3" x14ac:dyDescent="0.25">
      <c r="A2380" s="98">
        <v>8300552771257020</v>
      </c>
      <c r="B2380">
        <v>0.14000000000000001</v>
      </c>
      <c r="C2380">
        <v>0.12</v>
      </c>
    </row>
    <row r="2381" spans="1:3" x14ac:dyDescent="0.25">
      <c r="A2381" s="98">
        <v>8304043208851850</v>
      </c>
      <c r="B2381">
        <v>0.21</v>
      </c>
      <c r="C2381">
        <v>0.23</v>
      </c>
    </row>
    <row r="2382" spans="1:3" x14ac:dyDescent="0.25">
      <c r="A2382" s="98">
        <v>8307533864969450</v>
      </c>
      <c r="B2382">
        <v>0.1</v>
      </c>
      <c r="C2382">
        <v>0.1</v>
      </c>
    </row>
    <row r="2383" spans="1:3" x14ac:dyDescent="0.25">
      <c r="A2383" s="98">
        <v>8311024497305900</v>
      </c>
      <c r="B2383">
        <v>0.19</v>
      </c>
      <c r="C2383">
        <v>0.09</v>
      </c>
    </row>
    <row r="2384" spans="1:3" x14ac:dyDescent="0.25">
      <c r="A2384" s="98">
        <v>8314515134741860</v>
      </c>
      <c r="B2384">
        <v>0.1</v>
      </c>
      <c r="C2384">
        <v>0.23</v>
      </c>
    </row>
    <row r="2385" spans="1:3" x14ac:dyDescent="0.25">
      <c r="A2385" s="98">
        <v>8318005936322380</v>
      </c>
      <c r="B2385">
        <v>0.11</v>
      </c>
      <c r="C2385">
        <v>0.15</v>
      </c>
    </row>
    <row r="2386" spans="1:3" x14ac:dyDescent="0.25">
      <c r="A2386" s="98">
        <v>8321496301552760</v>
      </c>
      <c r="B2386">
        <v>0.13</v>
      </c>
      <c r="C2386">
        <v>0.19</v>
      </c>
    </row>
    <row r="2387" spans="1:3" x14ac:dyDescent="0.25">
      <c r="A2387" s="98">
        <v>8324987004829770</v>
      </c>
      <c r="B2387">
        <v>0.22</v>
      </c>
      <c r="C2387">
        <v>0.38</v>
      </c>
    </row>
    <row r="2388" spans="1:3" x14ac:dyDescent="0.25">
      <c r="A2388" s="98">
        <v>8328477522896390</v>
      </c>
      <c r="B2388">
        <v>0.06</v>
      </c>
      <c r="C2388">
        <v>0.13</v>
      </c>
    </row>
    <row r="2389" spans="1:3" x14ac:dyDescent="0.25">
      <c r="A2389" s="98">
        <v>8331968075384690</v>
      </c>
      <c r="B2389">
        <v>0.09</v>
      </c>
      <c r="C2389">
        <v>0.04</v>
      </c>
    </row>
    <row r="2390" spans="1:3" x14ac:dyDescent="0.25">
      <c r="A2390" s="98">
        <v>8335458904896620</v>
      </c>
      <c r="B2390">
        <v>0.17</v>
      </c>
      <c r="C2390">
        <v>0.1</v>
      </c>
    </row>
    <row r="2391" spans="1:3" x14ac:dyDescent="0.25">
      <c r="A2391" s="98">
        <v>8338949374451680</v>
      </c>
      <c r="B2391">
        <v>0.13</v>
      </c>
      <c r="C2391">
        <v>0.28000000000000003</v>
      </c>
    </row>
    <row r="2392" spans="1:3" x14ac:dyDescent="0.25">
      <c r="A2392" s="98">
        <v>8342439959120970</v>
      </c>
      <c r="B2392">
        <v>0.15</v>
      </c>
      <c r="C2392">
        <v>0.16</v>
      </c>
    </row>
    <row r="2393" spans="1:3" x14ac:dyDescent="0.25">
      <c r="A2393" s="98">
        <v>8345930484555380</v>
      </c>
      <c r="B2393">
        <v>0.08</v>
      </c>
      <c r="C2393">
        <v>0.15</v>
      </c>
    </row>
    <row r="2394" spans="1:3" x14ac:dyDescent="0.25">
      <c r="A2394" s="98">
        <v>8349421108712750</v>
      </c>
      <c r="B2394">
        <v>0.1</v>
      </c>
      <c r="C2394">
        <v>0.3</v>
      </c>
    </row>
    <row r="2395" spans="1:3" x14ac:dyDescent="0.25">
      <c r="A2395" s="98">
        <v>8352911786172120</v>
      </c>
      <c r="B2395">
        <v>0.18</v>
      </c>
      <c r="C2395">
        <v>0.55000000000000004</v>
      </c>
    </row>
    <row r="2396" spans="1:3" x14ac:dyDescent="0.25">
      <c r="A2396" s="98">
        <v>8356402487064950</v>
      </c>
      <c r="B2396">
        <v>0.16</v>
      </c>
      <c r="C2396">
        <v>0.23</v>
      </c>
    </row>
    <row r="2397" spans="1:3" x14ac:dyDescent="0.25">
      <c r="A2397" s="98">
        <v>8359892947778650</v>
      </c>
      <c r="B2397">
        <v>0.21</v>
      </c>
      <c r="C2397">
        <v>0.41</v>
      </c>
    </row>
    <row r="2398" spans="1:3" x14ac:dyDescent="0.25">
      <c r="A2398" s="98">
        <v>8363383532536250</v>
      </c>
      <c r="B2398">
        <v>0.27</v>
      </c>
      <c r="C2398">
        <v>0.17</v>
      </c>
    </row>
    <row r="2399" spans="1:3" x14ac:dyDescent="0.25">
      <c r="A2399" s="98">
        <v>8366873945786990</v>
      </c>
      <c r="B2399">
        <v>0.15</v>
      </c>
      <c r="C2399">
        <v>0.15</v>
      </c>
    </row>
    <row r="2400" spans="1:3" x14ac:dyDescent="0.25">
      <c r="A2400" s="98">
        <v>8370364481249340</v>
      </c>
      <c r="B2400">
        <v>0.13</v>
      </c>
      <c r="C2400">
        <v>0.24</v>
      </c>
    </row>
    <row r="2401" spans="1:3" x14ac:dyDescent="0.25">
      <c r="A2401" s="98">
        <v>8373854889599260</v>
      </c>
      <c r="B2401">
        <v>0.08</v>
      </c>
      <c r="C2401">
        <v>0.08</v>
      </c>
    </row>
    <row r="2402" spans="1:3" x14ac:dyDescent="0.25">
      <c r="A2402" s="98">
        <v>8377345426562760</v>
      </c>
      <c r="B2402">
        <v>0.09</v>
      </c>
      <c r="C2402">
        <v>0.03</v>
      </c>
    </row>
    <row r="2403" spans="1:3" x14ac:dyDescent="0.25">
      <c r="A2403" s="98">
        <v>8380835987969680</v>
      </c>
      <c r="B2403">
        <v>0.1</v>
      </c>
      <c r="C2403">
        <v>0.11</v>
      </c>
    </row>
    <row r="2404" spans="1:3" x14ac:dyDescent="0.25">
      <c r="A2404" s="98">
        <v>8384326638722860</v>
      </c>
      <c r="B2404">
        <v>0.16</v>
      </c>
      <c r="C2404">
        <v>0.36</v>
      </c>
    </row>
    <row r="2405" spans="1:3" x14ac:dyDescent="0.25">
      <c r="A2405" s="98">
        <v>8387817142015250</v>
      </c>
      <c r="B2405">
        <v>0.24</v>
      </c>
      <c r="C2405">
        <v>0.1</v>
      </c>
    </row>
    <row r="2406" spans="1:3" x14ac:dyDescent="0.25">
      <c r="A2406" s="98">
        <v>8391307729377790</v>
      </c>
      <c r="B2406">
        <v>0.14000000000000001</v>
      </c>
      <c r="C2406">
        <v>0.2</v>
      </c>
    </row>
    <row r="2407" spans="1:3" x14ac:dyDescent="0.25">
      <c r="A2407" s="98">
        <v>8394798322750460</v>
      </c>
      <c r="B2407">
        <v>0.18</v>
      </c>
      <c r="C2407">
        <v>0.17</v>
      </c>
    </row>
    <row r="2408" spans="1:3" x14ac:dyDescent="0.25">
      <c r="A2408" s="98">
        <v>8398288845524740</v>
      </c>
      <c r="B2408">
        <v>0.2</v>
      </c>
      <c r="C2408">
        <v>7.0000000000000007E-2</v>
      </c>
    </row>
    <row r="2409" spans="1:3" x14ac:dyDescent="0.25">
      <c r="A2409" s="98">
        <v>8401779508209890</v>
      </c>
      <c r="B2409">
        <v>0.16</v>
      </c>
      <c r="C2409">
        <v>0.1</v>
      </c>
    </row>
    <row r="2410" spans="1:3" x14ac:dyDescent="0.25">
      <c r="A2410" s="98">
        <v>8405270111759500</v>
      </c>
      <c r="B2410">
        <v>0.17</v>
      </c>
      <c r="C2410">
        <v>0.1</v>
      </c>
    </row>
    <row r="2411" spans="1:3" x14ac:dyDescent="0.25">
      <c r="A2411" s="98">
        <v>8408760803490870</v>
      </c>
      <c r="B2411">
        <v>0.23</v>
      </c>
      <c r="C2411">
        <v>0.25</v>
      </c>
    </row>
    <row r="2412" spans="1:3" x14ac:dyDescent="0.25">
      <c r="A2412" s="98">
        <v>8412251330056670</v>
      </c>
      <c r="B2412">
        <v>0.12</v>
      </c>
      <c r="C2412">
        <v>0.17</v>
      </c>
    </row>
    <row r="2413" spans="1:3" x14ac:dyDescent="0.25">
      <c r="A2413" s="98">
        <v>8415741921746060</v>
      </c>
      <c r="B2413">
        <v>0.24</v>
      </c>
      <c r="C2413">
        <v>0.33</v>
      </c>
    </row>
    <row r="2414" spans="1:3" x14ac:dyDescent="0.25">
      <c r="A2414" s="98">
        <v>8419232703767440</v>
      </c>
      <c r="B2414">
        <v>0.12</v>
      </c>
      <c r="C2414">
        <v>0.28000000000000003</v>
      </c>
    </row>
    <row r="2415" spans="1:3" x14ac:dyDescent="0.25">
      <c r="A2415" s="98">
        <v>8422723118999490</v>
      </c>
      <c r="B2415">
        <v>0.05</v>
      </c>
      <c r="C2415">
        <v>0.15</v>
      </c>
    </row>
    <row r="2416" spans="1:3" x14ac:dyDescent="0.25">
      <c r="A2416" s="98">
        <v>8426213507746100</v>
      </c>
      <c r="B2416">
        <v>0.08</v>
      </c>
      <c r="C2416">
        <v>0.19</v>
      </c>
    </row>
    <row r="2417" spans="1:3" x14ac:dyDescent="0.25">
      <c r="A2417" s="98">
        <v>8429704056774020</v>
      </c>
      <c r="B2417">
        <v>0.15</v>
      </c>
      <c r="C2417">
        <v>0.18</v>
      </c>
    </row>
    <row r="2418" spans="1:3" x14ac:dyDescent="0.25">
      <c r="A2418" s="98">
        <v>8433194529507990</v>
      </c>
      <c r="B2418">
        <v>0.14000000000000001</v>
      </c>
      <c r="C2418">
        <v>0.2</v>
      </c>
    </row>
    <row r="2419" spans="1:3" x14ac:dyDescent="0.25">
      <c r="A2419" s="98">
        <v>8436684965314680</v>
      </c>
      <c r="B2419">
        <v>0.08</v>
      </c>
      <c r="C2419">
        <v>0.26</v>
      </c>
    </row>
    <row r="2420" spans="1:3" x14ac:dyDescent="0.25">
      <c r="A2420" s="98">
        <v>8440175676710070</v>
      </c>
      <c r="B2420">
        <v>0.1</v>
      </c>
      <c r="C2420">
        <v>0.18</v>
      </c>
    </row>
    <row r="2421" spans="1:3" x14ac:dyDescent="0.25">
      <c r="A2421" s="98">
        <v>8443666052856930</v>
      </c>
      <c r="B2421">
        <v>0.14000000000000001</v>
      </c>
      <c r="C2421">
        <v>0.08</v>
      </c>
    </row>
    <row r="2422" spans="1:3" x14ac:dyDescent="0.25">
      <c r="A2422" s="98">
        <v>8447156824839330</v>
      </c>
      <c r="B2422">
        <v>0.19</v>
      </c>
      <c r="C2422">
        <v>0.13</v>
      </c>
    </row>
    <row r="2423" spans="1:3" x14ac:dyDescent="0.25">
      <c r="A2423" s="98">
        <v>8450647556406480</v>
      </c>
      <c r="B2423">
        <v>0.11</v>
      </c>
      <c r="C2423">
        <v>0.27</v>
      </c>
    </row>
    <row r="2424" spans="1:3" x14ac:dyDescent="0.25">
      <c r="A2424" s="98">
        <v>8454138114838680</v>
      </c>
      <c r="B2424">
        <v>0.13</v>
      </c>
      <c r="C2424">
        <v>0.14000000000000001</v>
      </c>
    </row>
    <row r="2425" spans="1:3" x14ac:dyDescent="0.25">
      <c r="A2425" s="98">
        <v>8457628689656650</v>
      </c>
      <c r="B2425">
        <v>0.24</v>
      </c>
      <c r="C2425">
        <v>0.27</v>
      </c>
    </row>
    <row r="2426" spans="1:3" x14ac:dyDescent="0.25">
      <c r="A2426" s="98">
        <v>8461119479713610</v>
      </c>
      <c r="B2426">
        <v>0.21</v>
      </c>
      <c r="C2426">
        <v>0.13</v>
      </c>
    </row>
    <row r="2427" spans="1:3" x14ac:dyDescent="0.25">
      <c r="A2427" s="98">
        <v>8464610023686170</v>
      </c>
      <c r="B2427">
        <v>0.1</v>
      </c>
      <c r="C2427">
        <v>0.34</v>
      </c>
    </row>
    <row r="2428" spans="1:3" x14ac:dyDescent="0.25">
      <c r="A2428" s="98">
        <v>8468100618201270</v>
      </c>
      <c r="B2428">
        <v>0.06</v>
      </c>
      <c r="C2428">
        <v>0.1</v>
      </c>
    </row>
    <row r="2429" spans="1:3" x14ac:dyDescent="0.25">
      <c r="A2429" s="98">
        <v>8471591247563000</v>
      </c>
      <c r="B2429">
        <v>0.14000000000000001</v>
      </c>
      <c r="C2429">
        <v>0.4</v>
      </c>
    </row>
    <row r="2430" spans="1:3" x14ac:dyDescent="0.25">
      <c r="A2430" s="98">
        <v>8475081791292730</v>
      </c>
      <c r="B2430">
        <v>0.12</v>
      </c>
      <c r="C2430">
        <v>0.09</v>
      </c>
    </row>
    <row r="2431" spans="1:3" x14ac:dyDescent="0.25">
      <c r="A2431" s="98">
        <v>8478572329304830</v>
      </c>
      <c r="B2431">
        <v>0.28000000000000003</v>
      </c>
      <c r="C2431">
        <v>0.26</v>
      </c>
    </row>
    <row r="2432" spans="1:3" x14ac:dyDescent="0.25">
      <c r="A2432" s="98">
        <v>8482062784267790</v>
      </c>
      <c r="B2432">
        <v>0.03</v>
      </c>
      <c r="C2432">
        <v>0.13</v>
      </c>
    </row>
    <row r="2433" spans="1:3" x14ac:dyDescent="0.25">
      <c r="A2433" s="98">
        <v>8485553283062240</v>
      </c>
      <c r="B2433">
        <v>0.04</v>
      </c>
      <c r="C2433">
        <v>0.08</v>
      </c>
    </row>
    <row r="2434" spans="1:3" x14ac:dyDescent="0.25">
      <c r="A2434" s="98">
        <v>8489043818949540</v>
      </c>
      <c r="B2434">
        <v>0.08</v>
      </c>
      <c r="C2434">
        <v>0.12</v>
      </c>
    </row>
    <row r="2435" spans="1:3" x14ac:dyDescent="0.25">
      <c r="A2435" s="98">
        <v>8492534366360410</v>
      </c>
      <c r="B2435">
        <v>0.21</v>
      </c>
      <c r="C2435">
        <v>0.17</v>
      </c>
    </row>
    <row r="2436" spans="1:3" x14ac:dyDescent="0.25">
      <c r="A2436" s="98">
        <v>8496024908958760</v>
      </c>
      <c r="B2436">
        <v>0.08</v>
      </c>
      <c r="C2436">
        <v>0.08</v>
      </c>
    </row>
    <row r="2437" spans="1:3" x14ac:dyDescent="0.25">
      <c r="A2437" s="98">
        <v>8499515607323910</v>
      </c>
      <c r="B2437">
        <v>0.12</v>
      </c>
      <c r="C2437">
        <v>0.27</v>
      </c>
    </row>
    <row r="2438" spans="1:3" x14ac:dyDescent="0.25">
      <c r="A2438" s="98">
        <v>8503006089164150</v>
      </c>
      <c r="B2438">
        <v>0.17</v>
      </c>
      <c r="C2438">
        <v>0.18</v>
      </c>
    </row>
    <row r="2439" spans="1:3" x14ac:dyDescent="0.25">
      <c r="A2439" s="98">
        <v>8506496591247890</v>
      </c>
      <c r="B2439">
        <v>0.21</v>
      </c>
      <c r="C2439">
        <v>7.0000000000000007E-2</v>
      </c>
    </row>
    <row r="2440" spans="1:3" x14ac:dyDescent="0.25">
      <c r="A2440" s="98">
        <v>8509987118100670</v>
      </c>
      <c r="B2440">
        <v>0.14000000000000001</v>
      </c>
      <c r="C2440">
        <v>0.11</v>
      </c>
    </row>
    <row r="2441" spans="1:3" x14ac:dyDescent="0.25">
      <c r="A2441" s="98">
        <v>8513477760906570</v>
      </c>
      <c r="B2441">
        <v>0.2</v>
      </c>
      <c r="C2441">
        <v>0.16</v>
      </c>
    </row>
    <row r="2442" spans="1:3" x14ac:dyDescent="0.25">
      <c r="A2442" s="98">
        <v>8516968316043960</v>
      </c>
      <c r="B2442">
        <v>0.23</v>
      </c>
      <c r="C2442">
        <v>0.28999999999999998</v>
      </c>
    </row>
    <row r="2443" spans="1:3" x14ac:dyDescent="0.25">
      <c r="A2443" s="98">
        <v>8520458845093290</v>
      </c>
      <c r="B2443">
        <v>0.15</v>
      </c>
      <c r="C2443">
        <v>7.0000000000000007E-2</v>
      </c>
    </row>
    <row r="2444" spans="1:3" x14ac:dyDescent="0.25">
      <c r="A2444" s="98">
        <v>8523949540505800</v>
      </c>
      <c r="B2444">
        <v>0.21</v>
      </c>
      <c r="C2444">
        <v>0.33</v>
      </c>
    </row>
    <row r="2445" spans="1:3" x14ac:dyDescent="0.25">
      <c r="A2445" s="98">
        <v>8527440008421730</v>
      </c>
      <c r="B2445">
        <v>0.2</v>
      </c>
      <c r="C2445">
        <v>0.18</v>
      </c>
    </row>
    <row r="2446" spans="1:3" x14ac:dyDescent="0.25">
      <c r="A2446" s="98">
        <v>8530930637016340</v>
      </c>
      <c r="B2446">
        <v>0.3</v>
      </c>
      <c r="C2446">
        <v>0.17</v>
      </c>
    </row>
    <row r="2447" spans="1:3" x14ac:dyDescent="0.25">
      <c r="A2447" s="98">
        <v>8534421213639000</v>
      </c>
      <c r="B2447">
        <v>0.19</v>
      </c>
      <c r="C2447">
        <v>0.25</v>
      </c>
    </row>
    <row r="2448" spans="1:3" x14ac:dyDescent="0.25">
      <c r="A2448" s="98">
        <v>8537911493149060</v>
      </c>
      <c r="B2448">
        <v>0.15</v>
      </c>
      <c r="C2448">
        <v>0.16</v>
      </c>
    </row>
    <row r="2449" spans="1:3" x14ac:dyDescent="0.25">
      <c r="A2449" s="98">
        <v>8541401967709810</v>
      </c>
      <c r="B2449">
        <v>0.15</v>
      </c>
      <c r="C2449">
        <v>0.27</v>
      </c>
    </row>
    <row r="2450" spans="1:3" x14ac:dyDescent="0.25">
      <c r="A2450" s="98">
        <v>8544892584433150</v>
      </c>
      <c r="B2450">
        <v>0.21</v>
      </c>
      <c r="C2450">
        <v>0.13</v>
      </c>
    </row>
    <row r="2451" spans="1:3" x14ac:dyDescent="0.25">
      <c r="A2451" s="98">
        <v>8548383115425150</v>
      </c>
      <c r="B2451">
        <v>0.26</v>
      </c>
      <c r="C2451">
        <v>0.23</v>
      </c>
    </row>
    <row r="2452" spans="1:3" x14ac:dyDescent="0.25">
      <c r="A2452" s="98">
        <v>8551873635417880</v>
      </c>
      <c r="B2452">
        <v>0.13</v>
      </c>
      <c r="C2452">
        <v>0.28999999999999998</v>
      </c>
    </row>
    <row r="2453" spans="1:3" x14ac:dyDescent="0.25">
      <c r="A2453" s="98">
        <v>8555364149074860</v>
      </c>
      <c r="B2453">
        <v>0.15</v>
      </c>
      <c r="C2453">
        <v>0.22</v>
      </c>
    </row>
    <row r="2454" spans="1:3" x14ac:dyDescent="0.25">
      <c r="A2454" s="98">
        <v>8558854649221450</v>
      </c>
      <c r="B2454">
        <v>0.16</v>
      </c>
      <c r="C2454">
        <v>0.13</v>
      </c>
    </row>
    <row r="2455" spans="1:3" x14ac:dyDescent="0.25">
      <c r="A2455" s="98">
        <v>8562344933858620</v>
      </c>
      <c r="B2455">
        <v>0.14000000000000001</v>
      </c>
      <c r="C2455">
        <v>0.13</v>
      </c>
    </row>
    <row r="2456" spans="1:3" x14ac:dyDescent="0.25">
      <c r="A2456" s="98">
        <v>8565835387806090</v>
      </c>
      <c r="B2456">
        <v>0.09</v>
      </c>
      <c r="C2456">
        <v>0.23</v>
      </c>
    </row>
    <row r="2457" spans="1:3" x14ac:dyDescent="0.25">
      <c r="A2457" s="98">
        <v>8569326030380190</v>
      </c>
      <c r="B2457">
        <v>0.35</v>
      </c>
      <c r="C2457">
        <v>0.2</v>
      </c>
    </row>
    <row r="2458" spans="1:3" x14ac:dyDescent="0.25">
      <c r="A2458" s="98">
        <v>8572816456125840</v>
      </c>
      <c r="B2458">
        <v>0.22</v>
      </c>
      <c r="C2458">
        <v>0.1</v>
      </c>
    </row>
    <row r="2459" spans="1:3" x14ac:dyDescent="0.25">
      <c r="A2459" s="98">
        <v>8576307124081580</v>
      </c>
      <c r="B2459">
        <v>0.12</v>
      </c>
      <c r="C2459">
        <v>0.12</v>
      </c>
    </row>
    <row r="2460" spans="1:3" x14ac:dyDescent="0.25">
      <c r="A2460" s="98">
        <v>8579797624156430</v>
      </c>
      <c r="B2460">
        <v>0.11</v>
      </c>
      <c r="C2460">
        <v>0.24</v>
      </c>
    </row>
    <row r="2461" spans="1:3" x14ac:dyDescent="0.25">
      <c r="A2461" s="98">
        <v>8583288280246430</v>
      </c>
      <c r="B2461">
        <v>0.09</v>
      </c>
      <c r="C2461">
        <v>0.22</v>
      </c>
    </row>
    <row r="2462" spans="1:3" x14ac:dyDescent="0.25">
      <c r="A2462" s="98">
        <v>8586778958081090</v>
      </c>
      <c r="B2462">
        <v>0.05</v>
      </c>
      <c r="C2462">
        <v>0.61</v>
      </c>
    </row>
    <row r="2463" spans="1:3" x14ac:dyDescent="0.25">
      <c r="A2463" s="98">
        <v>8590269661313950</v>
      </c>
      <c r="B2463">
        <v>0.13</v>
      </c>
      <c r="C2463">
        <v>0.16</v>
      </c>
    </row>
    <row r="2464" spans="1:3" x14ac:dyDescent="0.25">
      <c r="A2464" s="98">
        <v>8593760276221560</v>
      </c>
      <c r="B2464">
        <v>0.05</v>
      </c>
      <c r="C2464">
        <v>0.22</v>
      </c>
    </row>
    <row r="2465" spans="1:3" x14ac:dyDescent="0.25">
      <c r="A2465" s="98">
        <v>8597251151562840</v>
      </c>
      <c r="B2465">
        <v>0.05</v>
      </c>
      <c r="C2465">
        <v>0.74</v>
      </c>
    </row>
    <row r="2466" spans="1:3" x14ac:dyDescent="0.25">
      <c r="A2466" s="98">
        <v>8600741800676890</v>
      </c>
      <c r="B2466">
        <v>0.2</v>
      </c>
      <c r="C2466">
        <v>0.09</v>
      </c>
    </row>
    <row r="2467" spans="1:3" x14ac:dyDescent="0.25">
      <c r="A2467" s="98">
        <v>8604232528331100</v>
      </c>
      <c r="B2467">
        <v>0.08</v>
      </c>
      <c r="C2467">
        <v>0.11</v>
      </c>
    </row>
    <row r="2468" spans="1:3" x14ac:dyDescent="0.25">
      <c r="A2468" s="98">
        <v>8607723307593000</v>
      </c>
      <c r="B2468">
        <v>7.0000000000000007E-2</v>
      </c>
      <c r="C2468">
        <v>0.05</v>
      </c>
    </row>
    <row r="2469" spans="1:3" x14ac:dyDescent="0.25">
      <c r="A2469" s="98">
        <v>8611213837183180</v>
      </c>
      <c r="B2469">
        <v>0.19</v>
      </c>
      <c r="C2469">
        <v>0.08</v>
      </c>
    </row>
    <row r="2470" spans="1:3" x14ac:dyDescent="0.25">
      <c r="A2470" s="98">
        <v>8614704498990810</v>
      </c>
      <c r="B2470">
        <v>0.12</v>
      </c>
      <c r="C2470">
        <v>0.08</v>
      </c>
    </row>
    <row r="2471" spans="1:3" x14ac:dyDescent="0.25">
      <c r="A2471" s="98">
        <v>8618195032488410</v>
      </c>
      <c r="B2471">
        <v>0.1</v>
      </c>
      <c r="C2471">
        <v>0.1</v>
      </c>
    </row>
    <row r="2472" spans="1:3" x14ac:dyDescent="0.25">
      <c r="A2472" s="98">
        <v>8621685678274540</v>
      </c>
      <c r="B2472">
        <v>0.15</v>
      </c>
      <c r="C2472">
        <v>0.15</v>
      </c>
    </row>
    <row r="2473" spans="1:3" x14ac:dyDescent="0.25">
      <c r="A2473" s="98">
        <v>8625176099135920</v>
      </c>
      <c r="B2473">
        <v>0.14000000000000001</v>
      </c>
      <c r="C2473">
        <v>0.12</v>
      </c>
    </row>
    <row r="2474" spans="1:3" x14ac:dyDescent="0.25">
      <c r="A2474" s="98">
        <v>8628666682646230</v>
      </c>
      <c r="B2474">
        <v>0.14000000000000001</v>
      </c>
      <c r="C2474">
        <v>0.13</v>
      </c>
    </row>
    <row r="2475" spans="1:3" x14ac:dyDescent="0.25">
      <c r="A2475" s="98">
        <v>8632157366667630</v>
      </c>
      <c r="B2475">
        <v>0.03</v>
      </c>
      <c r="C2475">
        <v>0.08</v>
      </c>
    </row>
    <row r="2476" spans="1:3" x14ac:dyDescent="0.25">
      <c r="A2476" s="98">
        <v>8635647820802750</v>
      </c>
      <c r="B2476">
        <v>0.08</v>
      </c>
      <c r="C2476">
        <v>0.43</v>
      </c>
    </row>
    <row r="2477" spans="1:3" x14ac:dyDescent="0.25">
      <c r="A2477" s="98">
        <v>8639138795231220</v>
      </c>
      <c r="B2477">
        <v>7.0000000000000007E-2</v>
      </c>
      <c r="C2477">
        <v>7.0000000000000007E-2</v>
      </c>
    </row>
    <row r="2478" spans="1:3" x14ac:dyDescent="0.25">
      <c r="A2478" s="98">
        <v>8642629178376110</v>
      </c>
      <c r="B2478">
        <v>0.14000000000000001</v>
      </c>
      <c r="C2478">
        <v>0.12</v>
      </c>
    </row>
    <row r="2479" spans="1:3" x14ac:dyDescent="0.25">
      <c r="A2479" s="98">
        <v>8646119808758850</v>
      </c>
      <c r="B2479">
        <v>0.14000000000000001</v>
      </c>
      <c r="C2479">
        <v>0.3</v>
      </c>
    </row>
    <row r="2480" spans="1:3" x14ac:dyDescent="0.25">
      <c r="A2480" s="98">
        <v>8649610406055490</v>
      </c>
      <c r="B2480">
        <v>0.11</v>
      </c>
      <c r="C2480">
        <v>0.06</v>
      </c>
    </row>
    <row r="2481" spans="1:3" x14ac:dyDescent="0.25">
      <c r="A2481" s="98">
        <v>8653101076914200</v>
      </c>
      <c r="B2481">
        <v>0.15</v>
      </c>
      <c r="C2481">
        <v>0.17</v>
      </c>
    </row>
    <row r="2482" spans="1:3" x14ac:dyDescent="0.25">
      <c r="A2482" s="98">
        <v>8656591704785820</v>
      </c>
      <c r="B2482">
        <v>0.17</v>
      </c>
      <c r="C2482">
        <v>0.2</v>
      </c>
    </row>
    <row r="2483" spans="1:3" x14ac:dyDescent="0.25">
      <c r="A2483" s="98">
        <v>8660082012348700</v>
      </c>
      <c r="B2483">
        <v>0.13</v>
      </c>
      <c r="C2483">
        <v>0.13</v>
      </c>
    </row>
    <row r="2484" spans="1:3" x14ac:dyDescent="0.25">
      <c r="A2484" s="98">
        <v>8663572440666180</v>
      </c>
      <c r="B2484">
        <v>0.11</v>
      </c>
      <c r="C2484">
        <v>7.0000000000000007E-2</v>
      </c>
    </row>
    <row r="2485" spans="1:3" x14ac:dyDescent="0.25">
      <c r="A2485" s="98">
        <v>8667062682857110</v>
      </c>
      <c r="B2485">
        <v>7.0000000000000007E-2</v>
      </c>
      <c r="C2485">
        <v>0.05</v>
      </c>
    </row>
    <row r="2486" spans="1:3" x14ac:dyDescent="0.25">
      <c r="A2486" s="98">
        <v>8670553230665340</v>
      </c>
      <c r="B2486">
        <v>0.1</v>
      </c>
      <c r="C2486">
        <v>0.08</v>
      </c>
    </row>
    <row r="2487" spans="1:3" x14ac:dyDescent="0.25">
      <c r="A2487" s="98">
        <v>8674043727831700</v>
      </c>
      <c r="B2487">
        <v>0.11</v>
      </c>
      <c r="C2487">
        <v>0.21</v>
      </c>
    </row>
    <row r="2488" spans="1:3" x14ac:dyDescent="0.25">
      <c r="A2488" s="98">
        <v>8677534128250890</v>
      </c>
      <c r="B2488">
        <v>0.13</v>
      </c>
      <c r="C2488">
        <v>0.12</v>
      </c>
    </row>
    <row r="2489" spans="1:3" x14ac:dyDescent="0.25">
      <c r="A2489" s="98">
        <v>8681024428125880</v>
      </c>
      <c r="B2489">
        <v>0.12</v>
      </c>
      <c r="C2489">
        <v>0.18</v>
      </c>
    </row>
    <row r="2490" spans="1:3" x14ac:dyDescent="0.25">
      <c r="A2490" s="98">
        <v>8684514853369300</v>
      </c>
      <c r="B2490">
        <v>0.14000000000000001</v>
      </c>
      <c r="C2490">
        <v>0.27</v>
      </c>
    </row>
    <row r="2491" spans="1:3" x14ac:dyDescent="0.25">
      <c r="A2491" s="98">
        <v>8688005383130570</v>
      </c>
      <c r="B2491">
        <v>0.26</v>
      </c>
      <c r="C2491">
        <v>0.02</v>
      </c>
    </row>
    <row r="2492" spans="1:3" x14ac:dyDescent="0.25">
      <c r="A2492" s="98">
        <v>8691496184203350</v>
      </c>
      <c r="B2492">
        <v>0.5</v>
      </c>
      <c r="C2492">
        <v>0</v>
      </c>
    </row>
    <row r="2493" spans="1:3" x14ac:dyDescent="0.25">
      <c r="A2493" s="98">
        <v>8694986662191370</v>
      </c>
      <c r="B2493">
        <v>0.08</v>
      </c>
      <c r="C2493">
        <v>0.08</v>
      </c>
    </row>
    <row r="2494" spans="1:3" x14ac:dyDescent="0.25">
      <c r="A2494" s="98">
        <v>8698477274582340</v>
      </c>
      <c r="B2494">
        <v>0.05</v>
      </c>
      <c r="C2494">
        <v>0.01</v>
      </c>
    </row>
    <row r="2495" spans="1:3" x14ac:dyDescent="0.25">
      <c r="A2495" s="98">
        <v>8701967961092780</v>
      </c>
      <c r="B2495">
        <v>0.12</v>
      </c>
      <c r="C2495">
        <v>0.15</v>
      </c>
    </row>
    <row r="2496" spans="1:3" x14ac:dyDescent="0.25">
      <c r="A2496" s="98">
        <v>8705458403323530</v>
      </c>
      <c r="B2496">
        <v>0.11</v>
      </c>
      <c r="C2496">
        <v>0.17</v>
      </c>
    </row>
    <row r="2497" spans="1:3" x14ac:dyDescent="0.25">
      <c r="A2497" s="98">
        <v>8708948869120190</v>
      </c>
      <c r="B2497">
        <v>0.28000000000000003</v>
      </c>
      <c r="C2497">
        <v>0.09</v>
      </c>
    </row>
    <row r="2498" spans="1:3" x14ac:dyDescent="0.25">
      <c r="A2498" s="98">
        <v>8712439637978870</v>
      </c>
      <c r="B2498">
        <v>0.19</v>
      </c>
      <c r="C2498">
        <v>0.08</v>
      </c>
    </row>
    <row r="2499" spans="1:3" x14ac:dyDescent="0.25">
      <c r="A2499" s="98">
        <v>8715930119024380</v>
      </c>
      <c r="B2499">
        <v>0.24</v>
      </c>
      <c r="C2499">
        <v>0.09</v>
      </c>
    </row>
    <row r="2500" spans="1:3" x14ac:dyDescent="0.25">
      <c r="A2500" s="98">
        <v>8719420512202710</v>
      </c>
      <c r="B2500">
        <v>0.15</v>
      </c>
      <c r="C2500">
        <v>7.0000000000000007E-2</v>
      </c>
    </row>
    <row r="2501" spans="1:3" x14ac:dyDescent="0.25">
      <c r="A2501" s="98">
        <v>8722911211009370</v>
      </c>
      <c r="B2501">
        <v>0.09</v>
      </c>
      <c r="C2501">
        <v>0.06</v>
      </c>
    </row>
    <row r="2502" spans="1:3" x14ac:dyDescent="0.25">
      <c r="A2502" s="98">
        <v>8726401717331670</v>
      </c>
      <c r="B2502">
        <v>0.16</v>
      </c>
      <c r="C2502">
        <v>0.11</v>
      </c>
    </row>
    <row r="2503" spans="1:3" x14ac:dyDescent="0.25">
      <c r="A2503" s="98">
        <v>8729892349701230</v>
      </c>
      <c r="B2503">
        <v>0.13</v>
      </c>
      <c r="C2503">
        <v>0.16</v>
      </c>
    </row>
    <row r="2504" spans="1:3" x14ac:dyDescent="0.25">
      <c r="A2504" s="98">
        <v>8733382774166480</v>
      </c>
      <c r="B2504">
        <v>0.13</v>
      </c>
      <c r="C2504">
        <v>0.15</v>
      </c>
    </row>
    <row r="2505" spans="1:3" x14ac:dyDescent="0.25">
      <c r="A2505" s="98">
        <v>8736873138017120</v>
      </c>
      <c r="B2505">
        <v>0.13</v>
      </c>
      <c r="C2505">
        <v>0.06</v>
      </c>
    </row>
    <row r="2506" spans="1:3" x14ac:dyDescent="0.25">
      <c r="A2506" s="98">
        <v>8740363694054100</v>
      </c>
      <c r="B2506">
        <v>0.37</v>
      </c>
      <c r="C2506">
        <v>0.15</v>
      </c>
    </row>
    <row r="2507" spans="1:3" x14ac:dyDescent="0.25">
      <c r="A2507" s="98">
        <v>8743854025635450</v>
      </c>
      <c r="B2507">
        <v>0.15</v>
      </c>
      <c r="C2507">
        <v>0.28999999999999998</v>
      </c>
    </row>
    <row r="2508" spans="1:3" x14ac:dyDescent="0.25">
      <c r="A2508" s="98">
        <v>8747344435000860</v>
      </c>
      <c r="B2508">
        <v>0.13</v>
      </c>
      <c r="C2508">
        <v>0.08</v>
      </c>
    </row>
    <row r="2509" spans="1:3" x14ac:dyDescent="0.25">
      <c r="A2509" s="98">
        <v>8750835021750790</v>
      </c>
      <c r="B2509">
        <v>0.1</v>
      </c>
      <c r="C2509">
        <v>0.05</v>
      </c>
    </row>
    <row r="2510" spans="1:3" x14ac:dyDescent="0.25">
      <c r="A2510" s="98">
        <v>8754325731358040</v>
      </c>
      <c r="B2510">
        <v>0.4</v>
      </c>
      <c r="C2510">
        <v>0.09</v>
      </c>
    </row>
    <row r="2511" spans="1:3" x14ac:dyDescent="0.25">
      <c r="A2511" s="98">
        <v>8757816305375760</v>
      </c>
      <c r="B2511">
        <v>0.15</v>
      </c>
      <c r="C2511">
        <v>0.11</v>
      </c>
    </row>
    <row r="2512" spans="1:3" x14ac:dyDescent="0.25">
      <c r="A2512" s="98">
        <v>8761306889333100</v>
      </c>
      <c r="B2512">
        <v>0.09</v>
      </c>
      <c r="C2512">
        <v>0.16</v>
      </c>
    </row>
    <row r="2513" spans="1:3" x14ac:dyDescent="0.25">
      <c r="A2513" s="98">
        <v>8764797231648800</v>
      </c>
      <c r="B2513">
        <v>0.19</v>
      </c>
      <c r="C2513">
        <v>0.14000000000000001</v>
      </c>
    </row>
    <row r="2514" spans="1:3" x14ac:dyDescent="0.25">
      <c r="A2514" s="98">
        <v>8768287781896410</v>
      </c>
      <c r="B2514">
        <v>0.14000000000000001</v>
      </c>
      <c r="C2514">
        <v>7.0000000000000007E-2</v>
      </c>
    </row>
    <row r="2515" spans="1:3" x14ac:dyDescent="0.25">
      <c r="A2515" s="98">
        <v>8771778338998550</v>
      </c>
      <c r="B2515">
        <v>0.33</v>
      </c>
      <c r="C2515">
        <v>0.04</v>
      </c>
    </row>
    <row r="2516" spans="1:3" x14ac:dyDescent="0.25">
      <c r="A2516" s="98">
        <v>8775268732949540</v>
      </c>
      <c r="B2516">
        <v>0.1</v>
      </c>
      <c r="C2516">
        <v>0.09</v>
      </c>
    </row>
    <row r="2517" spans="1:3" x14ac:dyDescent="0.25">
      <c r="A2517" s="98">
        <v>8778759166024340</v>
      </c>
      <c r="B2517">
        <v>0.1</v>
      </c>
      <c r="C2517">
        <v>0.15</v>
      </c>
    </row>
    <row r="2518" spans="1:3" x14ac:dyDescent="0.25">
      <c r="A2518" s="98">
        <v>8782249712072030</v>
      </c>
      <c r="B2518">
        <v>0.18</v>
      </c>
      <c r="C2518">
        <v>7.0000000000000007E-2</v>
      </c>
    </row>
    <row r="2519" spans="1:3" x14ac:dyDescent="0.25">
      <c r="A2519" s="98">
        <v>8785740451972790</v>
      </c>
      <c r="B2519">
        <v>0.1</v>
      </c>
      <c r="C2519">
        <v>0.08</v>
      </c>
    </row>
    <row r="2520" spans="1:3" x14ac:dyDescent="0.25">
      <c r="A2520" s="98">
        <v>8789230989719980</v>
      </c>
      <c r="B2520">
        <v>0.09</v>
      </c>
      <c r="C2520">
        <v>0.37</v>
      </c>
    </row>
    <row r="2521" spans="1:3" x14ac:dyDescent="0.25">
      <c r="A2521" s="98">
        <v>8792721511655380</v>
      </c>
      <c r="B2521">
        <v>0.08</v>
      </c>
      <c r="C2521">
        <v>0.12</v>
      </c>
    </row>
    <row r="2522" spans="1:3" x14ac:dyDescent="0.25">
      <c r="A2522" s="98">
        <v>8796212377553730</v>
      </c>
      <c r="B2522">
        <v>0.17</v>
      </c>
      <c r="C2522">
        <v>0.05</v>
      </c>
    </row>
    <row r="2523" spans="1:3" x14ac:dyDescent="0.25">
      <c r="A2523" s="98">
        <v>8799703012064650</v>
      </c>
      <c r="B2523">
        <v>0.08</v>
      </c>
      <c r="C2523">
        <v>0.08</v>
      </c>
    </row>
    <row r="2524" spans="1:3" x14ac:dyDescent="0.25">
      <c r="A2524" s="98">
        <v>8803193580866960</v>
      </c>
      <c r="B2524">
        <v>0.21</v>
      </c>
      <c r="C2524">
        <v>0.08</v>
      </c>
    </row>
    <row r="2525" spans="1:3" x14ac:dyDescent="0.25">
      <c r="A2525" s="98">
        <v>8806684263166450</v>
      </c>
      <c r="B2525">
        <v>0.11</v>
      </c>
      <c r="C2525">
        <v>0.09</v>
      </c>
    </row>
    <row r="2526" spans="1:3" x14ac:dyDescent="0.25">
      <c r="A2526" s="98">
        <v>8810174851544470</v>
      </c>
      <c r="B2526">
        <v>0.11</v>
      </c>
      <c r="C2526">
        <v>0.04</v>
      </c>
    </row>
    <row r="2527" spans="1:3" x14ac:dyDescent="0.25">
      <c r="A2527" s="98">
        <v>8813665278565000</v>
      </c>
      <c r="B2527">
        <v>7.0000000000000007E-2</v>
      </c>
      <c r="C2527">
        <v>0.28999999999999998</v>
      </c>
    </row>
    <row r="2528" spans="1:3" x14ac:dyDescent="0.25">
      <c r="A2528" s="98">
        <v>8817156095361260</v>
      </c>
      <c r="B2528">
        <v>0.05</v>
      </c>
      <c r="C2528">
        <v>0.16</v>
      </c>
    </row>
    <row r="2529" spans="1:3" x14ac:dyDescent="0.25">
      <c r="A2529" s="98">
        <v>8820646680924620</v>
      </c>
      <c r="B2529">
        <v>0.06</v>
      </c>
      <c r="C2529">
        <v>0.18</v>
      </c>
    </row>
    <row r="2530" spans="1:3" x14ac:dyDescent="0.25">
      <c r="A2530" s="98">
        <v>8824137191849720</v>
      </c>
      <c r="B2530">
        <v>0.08</v>
      </c>
      <c r="C2530">
        <v>0.24</v>
      </c>
    </row>
    <row r="2531" spans="1:3" x14ac:dyDescent="0.25">
      <c r="A2531" s="98">
        <v>8827627742969320</v>
      </c>
      <c r="B2531">
        <v>0.12</v>
      </c>
      <c r="C2531">
        <v>0.16</v>
      </c>
    </row>
    <row r="2532" spans="1:3" x14ac:dyDescent="0.25">
      <c r="A2532" s="98">
        <v>8831118337898340</v>
      </c>
      <c r="B2532">
        <v>0.19</v>
      </c>
      <c r="C2532">
        <v>0.11</v>
      </c>
    </row>
    <row r="2533" spans="1:3" x14ac:dyDescent="0.25">
      <c r="A2533" s="98">
        <v>8834608799246720</v>
      </c>
      <c r="B2533">
        <v>0.3</v>
      </c>
      <c r="C2533">
        <v>0.19</v>
      </c>
    </row>
    <row r="2534" spans="1:3" x14ac:dyDescent="0.25">
      <c r="A2534" s="98">
        <v>8838099339444320</v>
      </c>
      <c r="B2534">
        <v>0.15</v>
      </c>
      <c r="C2534">
        <v>0.32</v>
      </c>
    </row>
    <row r="2535" spans="1:3" x14ac:dyDescent="0.25">
      <c r="A2535" s="98">
        <v>8841589959760500</v>
      </c>
      <c r="B2535">
        <v>0.08</v>
      </c>
      <c r="C2535">
        <v>7.0000000000000007E-2</v>
      </c>
    </row>
    <row r="2536" spans="1:3" x14ac:dyDescent="0.25">
      <c r="A2536" s="98">
        <v>8845080487810900</v>
      </c>
      <c r="B2536">
        <v>0.12</v>
      </c>
      <c r="C2536">
        <v>0.08</v>
      </c>
    </row>
    <row r="2537" spans="1:3" x14ac:dyDescent="0.25">
      <c r="A2537" s="98">
        <v>8848570839265980</v>
      </c>
      <c r="B2537">
        <v>0.28999999999999998</v>
      </c>
      <c r="C2537">
        <v>0.4</v>
      </c>
    </row>
    <row r="2538" spans="1:3" x14ac:dyDescent="0.25">
      <c r="A2538" s="98">
        <v>8852061324914290</v>
      </c>
      <c r="B2538">
        <v>0.1</v>
      </c>
      <c r="C2538">
        <v>0.22</v>
      </c>
    </row>
    <row r="2539" spans="1:3" x14ac:dyDescent="0.25">
      <c r="A2539" s="98">
        <v>8855551808802060</v>
      </c>
      <c r="B2539">
        <v>0.12</v>
      </c>
      <c r="C2539">
        <v>0.12</v>
      </c>
    </row>
    <row r="2540" spans="1:3" x14ac:dyDescent="0.25">
      <c r="A2540" s="98">
        <v>8859042633357970</v>
      </c>
      <c r="B2540">
        <v>0.1</v>
      </c>
      <c r="C2540">
        <v>7.0000000000000007E-2</v>
      </c>
    </row>
    <row r="2541" spans="1:3" x14ac:dyDescent="0.25">
      <c r="A2541" s="98">
        <v>8862533165608290</v>
      </c>
      <c r="B2541">
        <v>0.23</v>
      </c>
      <c r="C2541">
        <v>0.14000000000000001</v>
      </c>
    </row>
    <row r="2542" spans="1:3" x14ac:dyDescent="0.25">
      <c r="A2542" s="98">
        <v>8866023698090400</v>
      </c>
      <c r="B2542">
        <v>0.26</v>
      </c>
      <c r="C2542">
        <v>0.15</v>
      </c>
    </row>
    <row r="2543" spans="1:3" x14ac:dyDescent="0.25">
      <c r="A2543" s="98">
        <v>8869514387172680</v>
      </c>
      <c r="B2543">
        <v>0.06</v>
      </c>
      <c r="C2543">
        <v>0.24</v>
      </c>
    </row>
    <row r="2544" spans="1:3" x14ac:dyDescent="0.25">
      <c r="A2544" s="98">
        <v>8873004976637930</v>
      </c>
      <c r="B2544">
        <v>0.18</v>
      </c>
      <c r="C2544">
        <v>0.15</v>
      </c>
    </row>
    <row r="2545" spans="1:3" x14ac:dyDescent="0.25">
      <c r="A2545" s="98">
        <v>8876495446943570</v>
      </c>
      <c r="B2545">
        <v>0.33</v>
      </c>
      <c r="C2545">
        <v>0.19</v>
      </c>
    </row>
    <row r="2546" spans="1:3" x14ac:dyDescent="0.25">
      <c r="A2546" s="98">
        <v>8879986077044840</v>
      </c>
      <c r="B2546">
        <v>0.17</v>
      </c>
      <c r="C2546">
        <v>0.15</v>
      </c>
    </row>
    <row r="2547" spans="1:3" x14ac:dyDescent="0.25">
      <c r="A2547" s="98">
        <v>8883476573681390</v>
      </c>
      <c r="B2547">
        <v>0.2</v>
      </c>
      <c r="C2547">
        <v>0.17</v>
      </c>
    </row>
    <row r="2548" spans="1:3" x14ac:dyDescent="0.25">
      <c r="A2548" s="98">
        <v>8886967143432960</v>
      </c>
      <c r="B2548">
        <v>7.0000000000000007E-2</v>
      </c>
      <c r="C2548">
        <v>0.31</v>
      </c>
    </row>
    <row r="2549" spans="1:3" x14ac:dyDescent="0.25">
      <c r="A2549" s="98">
        <v>8890457800803360</v>
      </c>
      <c r="B2549">
        <v>7.0000000000000007E-2</v>
      </c>
      <c r="C2549">
        <v>0.22</v>
      </c>
    </row>
    <row r="2550" spans="1:3" x14ac:dyDescent="0.25">
      <c r="A2550" s="98">
        <v>8893948237211610</v>
      </c>
      <c r="B2550">
        <v>0.11</v>
      </c>
      <c r="C2550">
        <v>0.09</v>
      </c>
    </row>
    <row r="2551" spans="1:3" x14ac:dyDescent="0.25">
      <c r="A2551" s="98">
        <v>8897438564460580</v>
      </c>
      <c r="B2551">
        <v>0.17</v>
      </c>
      <c r="C2551">
        <v>0.08</v>
      </c>
    </row>
    <row r="2552" spans="1:3" x14ac:dyDescent="0.25">
      <c r="A2552" s="98">
        <v>8900929117787760</v>
      </c>
      <c r="B2552">
        <v>0.09</v>
      </c>
      <c r="C2552">
        <v>0.06</v>
      </c>
    </row>
    <row r="2553" spans="1:3" x14ac:dyDescent="0.25">
      <c r="A2553" s="98">
        <v>8904419621968710</v>
      </c>
      <c r="B2553">
        <v>0.08</v>
      </c>
      <c r="C2553">
        <v>0.05</v>
      </c>
    </row>
    <row r="2554" spans="1:3" x14ac:dyDescent="0.25">
      <c r="A2554" s="98">
        <v>8907910086860250</v>
      </c>
      <c r="B2554">
        <v>0.13</v>
      </c>
      <c r="C2554">
        <v>0.09</v>
      </c>
    </row>
    <row r="2555" spans="1:3" x14ac:dyDescent="0.25">
      <c r="A2555" s="98">
        <v>8911400694251060</v>
      </c>
      <c r="B2555">
        <v>0.55000000000000004</v>
      </c>
      <c r="C2555">
        <v>0.03</v>
      </c>
    </row>
    <row r="2556" spans="1:3" x14ac:dyDescent="0.25">
      <c r="A2556" s="98">
        <v>8914891234023700</v>
      </c>
      <c r="B2556">
        <v>0.06</v>
      </c>
      <c r="C2556">
        <v>0.03</v>
      </c>
    </row>
    <row r="2557" spans="1:3" x14ac:dyDescent="0.25">
      <c r="A2557" s="98">
        <v>8918381720908260</v>
      </c>
      <c r="B2557">
        <v>0.12</v>
      </c>
      <c r="C2557">
        <v>0.03</v>
      </c>
    </row>
    <row r="2558" spans="1:3" x14ac:dyDescent="0.25">
      <c r="A2558" s="98">
        <v>8921872431713120</v>
      </c>
      <c r="B2558">
        <v>0.12</v>
      </c>
      <c r="C2558">
        <v>0.26</v>
      </c>
    </row>
    <row r="2559" spans="1:3" x14ac:dyDescent="0.25">
      <c r="A2559" s="98">
        <v>8925363013749870</v>
      </c>
      <c r="B2559">
        <v>0.18</v>
      </c>
      <c r="C2559">
        <v>0.06</v>
      </c>
    </row>
    <row r="2560" spans="1:3" x14ac:dyDescent="0.25">
      <c r="A2560" s="98">
        <v>8928853508830070</v>
      </c>
      <c r="B2560">
        <v>0.17</v>
      </c>
      <c r="C2560">
        <v>0.08</v>
      </c>
    </row>
    <row r="2561" spans="1:3" x14ac:dyDescent="0.25">
      <c r="A2561" s="98">
        <v>8932343937820850</v>
      </c>
      <c r="B2561">
        <v>0.22</v>
      </c>
      <c r="C2561">
        <v>0.17</v>
      </c>
    </row>
    <row r="2562" spans="1:3" x14ac:dyDescent="0.25">
      <c r="A2562" s="98">
        <v>8935834347368390</v>
      </c>
      <c r="B2562">
        <v>0.11</v>
      </c>
      <c r="C2562">
        <v>0.4</v>
      </c>
    </row>
    <row r="2563" spans="1:3" x14ac:dyDescent="0.25">
      <c r="A2563" s="98">
        <v>8939324818838520</v>
      </c>
      <c r="B2563">
        <v>0.12</v>
      </c>
      <c r="C2563">
        <v>0.28000000000000003</v>
      </c>
    </row>
    <row r="2564" spans="1:3" x14ac:dyDescent="0.25">
      <c r="A2564" s="98">
        <v>8942815412890020</v>
      </c>
      <c r="B2564">
        <v>0.17</v>
      </c>
      <c r="C2564">
        <v>0.14000000000000001</v>
      </c>
    </row>
    <row r="2565" spans="1:3" x14ac:dyDescent="0.25">
      <c r="A2565" s="98">
        <v>8946305816924130</v>
      </c>
      <c r="B2565">
        <v>0.1</v>
      </c>
      <c r="C2565">
        <v>0.12</v>
      </c>
    </row>
    <row r="2566" spans="1:3" x14ac:dyDescent="0.25">
      <c r="A2566" s="98">
        <v>8949796441898300</v>
      </c>
      <c r="B2566">
        <v>0.05</v>
      </c>
      <c r="C2566">
        <v>0.02</v>
      </c>
    </row>
    <row r="2567" spans="1:3" x14ac:dyDescent="0.25">
      <c r="A2567" s="98">
        <v>8953286879426900</v>
      </c>
      <c r="B2567">
        <v>0.11</v>
      </c>
      <c r="C2567">
        <v>0.02</v>
      </c>
    </row>
    <row r="2568" spans="1:3" x14ac:dyDescent="0.25">
      <c r="A2568" s="98">
        <v>8956777525693170</v>
      </c>
      <c r="B2568">
        <v>0.11</v>
      </c>
      <c r="C2568">
        <v>0.01</v>
      </c>
    </row>
    <row r="2569" spans="1:3" x14ac:dyDescent="0.25">
      <c r="A2569" s="98">
        <v>8960267950081160</v>
      </c>
      <c r="B2569">
        <v>0.08</v>
      </c>
      <c r="C2569">
        <v>0.16</v>
      </c>
    </row>
    <row r="2570" spans="1:3" x14ac:dyDescent="0.25">
      <c r="A2570" s="98">
        <v>8963758750232280</v>
      </c>
      <c r="B2570">
        <v>0.09</v>
      </c>
      <c r="C2570">
        <v>0.13</v>
      </c>
    </row>
    <row r="2571" spans="1:3" x14ac:dyDescent="0.25">
      <c r="A2571" s="98">
        <v>8967249410704330</v>
      </c>
      <c r="B2571">
        <v>0.06</v>
      </c>
      <c r="C2571">
        <v>0.14000000000000001</v>
      </c>
    </row>
    <row r="2572" spans="1:3" x14ac:dyDescent="0.25">
      <c r="A2572" s="98">
        <v>8970739996129710</v>
      </c>
      <c r="B2572">
        <v>0.08</v>
      </c>
      <c r="C2572">
        <v>0.28999999999999998</v>
      </c>
    </row>
    <row r="2573" spans="1:3" x14ac:dyDescent="0.25">
      <c r="A2573" s="98">
        <v>8974230906190690</v>
      </c>
      <c r="B2573">
        <v>0.09</v>
      </c>
      <c r="C2573">
        <v>0.03</v>
      </c>
    </row>
    <row r="2574" spans="1:3" x14ac:dyDescent="0.25">
      <c r="A2574" s="98">
        <v>8977721616338800</v>
      </c>
      <c r="B2574">
        <v>0.16</v>
      </c>
      <c r="C2574">
        <v>0</v>
      </c>
    </row>
    <row r="2575" spans="1:3" x14ac:dyDescent="0.25">
      <c r="A2575" s="98">
        <v>8981212266462820</v>
      </c>
      <c r="B2575">
        <v>0.11</v>
      </c>
      <c r="C2575">
        <v>0.04</v>
      </c>
    </row>
    <row r="2576" spans="1:3" x14ac:dyDescent="0.25">
      <c r="A2576" s="98">
        <v>8984702879074540</v>
      </c>
      <c r="B2576">
        <v>0.08</v>
      </c>
      <c r="C2576">
        <v>0.11</v>
      </c>
    </row>
    <row r="2577" spans="1:3" x14ac:dyDescent="0.25">
      <c r="A2577" s="98">
        <v>8988193454825210</v>
      </c>
      <c r="B2577">
        <v>0.25</v>
      </c>
      <c r="C2577">
        <v>0.15</v>
      </c>
    </row>
    <row r="2578" spans="1:3" x14ac:dyDescent="0.25">
      <c r="A2578" s="98">
        <v>8991684100534070</v>
      </c>
      <c r="B2578">
        <v>0.09</v>
      </c>
      <c r="C2578">
        <v>0.13</v>
      </c>
    </row>
    <row r="2579" spans="1:3" x14ac:dyDescent="0.25">
      <c r="A2579" s="98">
        <v>8995174888951910</v>
      </c>
      <c r="B2579">
        <v>0.04</v>
      </c>
      <c r="C2579">
        <v>0.17</v>
      </c>
    </row>
    <row r="2580" spans="1:3" x14ac:dyDescent="0.25">
      <c r="A2580" s="98">
        <v>8998665458118470</v>
      </c>
      <c r="B2580">
        <v>0.11</v>
      </c>
      <c r="C2580">
        <v>0.24</v>
      </c>
    </row>
    <row r="2581" spans="1:3" x14ac:dyDescent="0.25">
      <c r="A2581" s="98">
        <v>9002156113137800</v>
      </c>
      <c r="B2581">
        <v>0.14000000000000001</v>
      </c>
      <c r="C2581">
        <v>0.11</v>
      </c>
    </row>
    <row r="2582" spans="1:3" x14ac:dyDescent="0.25">
      <c r="A2582" s="98">
        <v>9005646906599950</v>
      </c>
      <c r="B2582">
        <v>0.06</v>
      </c>
      <c r="C2582">
        <v>0.23</v>
      </c>
    </row>
    <row r="2583" spans="1:3" x14ac:dyDescent="0.25">
      <c r="A2583" s="98">
        <v>9009137458425980</v>
      </c>
      <c r="B2583">
        <v>0.11</v>
      </c>
      <c r="C2583">
        <v>0.09</v>
      </c>
    </row>
    <row r="2584" spans="1:3" x14ac:dyDescent="0.25">
      <c r="A2584" s="98">
        <v>9012628006543270</v>
      </c>
      <c r="B2584">
        <v>0.24</v>
      </c>
      <c r="C2584">
        <v>0.12</v>
      </c>
    </row>
    <row r="2585" spans="1:3" x14ac:dyDescent="0.25">
      <c r="A2585" s="98">
        <v>9016118401851910</v>
      </c>
      <c r="B2585">
        <v>0.11</v>
      </c>
      <c r="C2585">
        <v>0.27</v>
      </c>
    </row>
    <row r="2586" spans="1:3" x14ac:dyDescent="0.25">
      <c r="A2586" s="98">
        <v>9019608915453700</v>
      </c>
      <c r="B2586">
        <v>0.18</v>
      </c>
      <c r="C2586">
        <v>0.12</v>
      </c>
    </row>
    <row r="2587" spans="1:3" x14ac:dyDescent="0.25">
      <c r="A2587" s="98">
        <v>9023099601914480</v>
      </c>
      <c r="B2587">
        <v>0.19</v>
      </c>
      <c r="C2587">
        <v>0.3</v>
      </c>
    </row>
    <row r="2588" spans="1:3" x14ac:dyDescent="0.25">
      <c r="A2588" s="98">
        <v>9026590392302580</v>
      </c>
      <c r="B2588">
        <v>7.0000000000000007E-2</v>
      </c>
      <c r="C2588">
        <v>0.16</v>
      </c>
    </row>
    <row r="2589" spans="1:3" x14ac:dyDescent="0.25">
      <c r="A2589" s="98">
        <v>9030080983611160</v>
      </c>
      <c r="B2589">
        <v>0.05</v>
      </c>
      <c r="C2589">
        <v>0.51</v>
      </c>
    </row>
    <row r="2590" spans="1:3" x14ac:dyDescent="0.25">
      <c r="A2590" s="98">
        <v>9033571514018150</v>
      </c>
      <c r="B2590">
        <v>0.14000000000000001</v>
      </c>
      <c r="C2590">
        <v>0.14000000000000001</v>
      </c>
    </row>
    <row r="2591" spans="1:3" x14ac:dyDescent="0.25">
      <c r="A2591" s="98">
        <v>9037062321619850</v>
      </c>
      <c r="B2591">
        <v>0.11</v>
      </c>
      <c r="C2591">
        <v>0.17</v>
      </c>
    </row>
    <row r="2592" spans="1:3" x14ac:dyDescent="0.25">
      <c r="A2592" s="98">
        <v>9040552925820700</v>
      </c>
      <c r="B2592">
        <v>0.12</v>
      </c>
      <c r="C2592">
        <v>0.14000000000000001</v>
      </c>
    </row>
    <row r="2593" spans="1:3" x14ac:dyDescent="0.25">
      <c r="A2593" s="98">
        <v>9044043466509490</v>
      </c>
      <c r="B2593">
        <v>0.15</v>
      </c>
      <c r="C2593">
        <v>0.28999999999999998</v>
      </c>
    </row>
    <row r="2594" spans="1:3" x14ac:dyDescent="0.25">
      <c r="A2594" s="98">
        <v>9047534100727900</v>
      </c>
      <c r="B2594">
        <v>0.12</v>
      </c>
      <c r="C2594">
        <v>0.08</v>
      </c>
    </row>
    <row r="2595" spans="1:3" x14ac:dyDescent="0.25">
      <c r="A2595" s="98">
        <v>9051024614042700</v>
      </c>
      <c r="B2595">
        <v>0.16</v>
      </c>
      <c r="C2595">
        <v>0.17</v>
      </c>
    </row>
    <row r="2596" spans="1:3" x14ac:dyDescent="0.25">
      <c r="A2596" s="98">
        <v>9054514915998330</v>
      </c>
      <c r="B2596">
        <v>0.11</v>
      </c>
      <c r="C2596">
        <v>0.2</v>
      </c>
    </row>
    <row r="2597" spans="1:3" x14ac:dyDescent="0.25">
      <c r="A2597" s="98">
        <v>9058005626880460</v>
      </c>
      <c r="B2597">
        <v>0.16</v>
      </c>
      <c r="C2597">
        <v>0.13</v>
      </c>
    </row>
    <row r="2598" spans="1:3" x14ac:dyDescent="0.25">
      <c r="A2598" s="98">
        <v>9061496063388050</v>
      </c>
      <c r="B2598">
        <v>0.12</v>
      </c>
      <c r="C2598">
        <v>0.37</v>
      </c>
    </row>
    <row r="2599" spans="1:3" x14ac:dyDescent="0.25">
      <c r="A2599" s="98">
        <v>9064986388396330</v>
      </c>
      <c r="B2599">
        <v>0.18</v>
      </c>
      <c r="C2599">
        <v>0.15</v>
      </c>
    </row>
    <row r="2600" spans="1:3" x14ac:dyDescent="0.25">
      <c r="A2600" s="98">
        <v>9068477113241390</v>
      </c>
      <c r="B2600">
        <v>0.19</v>
      </c>
      <c r="C2600">
        <v>0.02</v>
      </c>
    </row>
    <row r="2601" spans="1:3" x14ac:dyDescent="0.25">
      <c r="A2601" s="98">
        <v>9071967573497030</v>
      </c>
      <c r="B2601">
        <v>0.13</v>
      </c>
      <c r="C2601">
        <v>0.08</v>
      </c>
    </row>
    <row r="2602" spans="1:3" x14ac:dyDescent="0.25">
      <c r="A2602" s="98">
        <v>9075458035397300</v>
      </c>
      <c r="B2602">
        <v>0.17</v>
      </c>
      <c r="C2602">
        <v>0.54</v>
      </c>
    </row>
    <row r="2603" spans="1:3" x14ac:dyDescent="0.25">
      <c r="A2603" s="98">
        <v>9078948680813660</v>
      </c>
      <c r="B2603">
        <v>0.2</v>
      </c>
      <c r="C2603">
        <v>0.04</v>
      </c>
    </row>
    <row r="2604" spans="1:3" x14ac:dyDescent="0.25">
      <c r="A2604" s="98">
        <v>9082439147107020</v>
      </c>
      <c r="B2604">
        <v>0.12</v>
      </c>
      <c r="C2604">
        <v>0.04</v>
      </c>
    </row>
    <row r="2605" spans="1:3" x14ac:dyDescent="0.25">
      <c r="A2605" s="98">
        <v>9085929617478890</v>
      </c>
      <c r="B2605">
        <v>0.1</v>
      </c>
      <c r="C2605">
        <v>0.13</v>
      </c>
    </row>
    <row r="2606" spans="1:3" x14ac:dyDescent="0.25">
      <c r="A2606" s="98">
        <v>9089420172527980</v>
      </c>
      <c r="B2606">
        <v>0.09</v>
      </c>
      <c r="C2606">
        <v>7.0000000000000007E-2</v>
      </c>
    </row>
    <row r="2607" spans="1:3" x14ac:dyDescent="0.25">
      <c r="A2607" s="98">
        <v>9092910791536170</v>
      </c>
      <c r="B2607">
        <v>0.12</v>
      </c>
      <c r="C2607">
        <v>0.21</v>
      </c>
    </row>
    <row r="2608" spans="1:3" x14ac:dyDescent="0.25">
      <c r="A2608" s="98">
        <v>9096401369119130</v>
      </c>
      <c r="B2608">
        <v>7.0000000000000007E-2</v>
      </c>
      <c r="C2608">
        <v>0.09</v>
      </c>
    </row>
    <row r="2609" spans="1:3" x14ac:dyDescent="0.25">
      <c r="A2609" s="98">
        <v>9099892165136550</v>
      </c>
      <c r="B2609">
        <v>0.08</v>
      </c>
      <c r="C2609">
        <v>0.04</v>
      </c>
    </row>
    <row r="2610" spans="1:3" x14ac:dyDescent="0.25">
      <c r="A2610" s="98">
        <v>9103382738155340</v>
      </c>
      <c r="B2610">
        <v>0.24</v>
      </c>
      <c r="C2610">
        <v>0.39</v>
      </c>
    </row>
    <row r="2611" spans="1:3" x14ac:dyDescent="0.25">
      <c r="A2611" s="98">
        <v>9106873342394820</v>
      </c>
      <c r="B2611">
        <v>0.12</v>
      </c>
      <c r="C2611">
        <v>0.05</v>
      </c>
    </row>
    <row r="2612" spans="1:3" x14ac:dyDescent="0.25">
      <c r="A2612" s="98">
        <v>9110363814709360</v>
      </c>
      <c r="B2612">
        <v>0.13</v>
      </c>
      <c r="C2612">
        <v>0.1</v>
      </c>
    </row>
    <row r="2613" spans="1:3" x14ac:dyDescent="0.25">
      <c r="A2613" s="98">
        <v>9113854454110060</v>
      </c>
      <c r="B2613">
        <v>0.03</v>
      </c>
      <c r="C2613">
        <v>7.0000000000000007E-2</v>
      </c>
    </row>
    <row r="2614" spans="1:3" x14ac:dyDescent="0.25">
      <c r="A2614" s="98">
        <v>9117345019645160</v>
      </c>
      <c r="B2614">
        <v>0.04</v>
      </c>
      <c r="C2614">
        <v>0.15</v>
      </c>
    </row>
    <row r="2615" spans="1:3" x14ac:dyDescent="0.25">
      <c r="A2615" s="98">
        <v>9120835793597830</v>
      </c>
      <c r="B2615">
        <v>0.04</v>
      </c>
      <c r="C2615">
        <v>0.22</v>
      </c>
    </row>
    <row r="2616" spans="1:3" x14ac:dyDescent="0.25">
      <c r="A2616" s="98">
        <v>9124326364949890</v>
      </c>
      <c r="B2616">
        <v>0.05</v>
      </c>
      <c r="C2616">
        <v>0.12</v>
      </c>
    </row>
    <row r="2617" spans="1:3" x14ac:dyDescent="0.25">
      <c r="A2617" s="98">
        <v>9127816840509570</v>
      </c>
      <c r="B2617">
        <v>7.0000000000000007E-2</v>
      </c>
      <c r="C2617">
        <v>0.12</v>
      </c>
    </row>
    <row r="2618" spans="1:3" x14ac:dyDescent="0.25">
      <c r="A2618" s="98">
        <v>9131307664723300</v>
      </c>
      <c r="B2618">
        <v>0.04</v>
      </c>
      <c r="C2618">
        <v>0.12</v>
      </c>
    </row>
    <row r="2619" spans="1:3" x14ac:dyDescent="0.25">
      <c r="A2619" s="98">
        <v>9134798249525050</v>
      </c>
      <c r="B2619">
        <v>7.0000000000000007E-2</v>
      </c>
      <c r="C2619">
        <v>0.33</v>
      </c>
    </row>
    <row r="2620" spans="1:3" x14ac:dyDescent="0.25">
      <c r="A2620" s="98">
        <v>9138288622172890</v>
      </c>
      <c r="B2620">
        <v>0.25</v>
      </c>
      <c r="C2620">
        <v>0.05</v>
      </c>
    </row>
    <row r="2621" spans="1:3" x14ac:dyDescent="0.25">
      <c r="A2621" s="98">
        <v>9141779136414880</v>
      </c>
      <c r="B2621">
        <v>0.05</v>
      </c>
      <c r="C2621">
        <v>0.1</v>
      </c>
    </row>
    <row r="2622" spans="1:3" x14ac:dyDescent="0.25">
      <c r="A2622" s="98">
        <v>9145269527120720</v>
      </c>
      <c r="B2622">
        <v>0.1</v>
      </c>
      <c r="C2622">
        <v>0.35</v>
      </c>
    </row>
    <row r="2623" spans="1:3" x14ac:dyDescent="0.25">
      <c r="A2623" s="98">
        <v>9148759956575100</v>
      </c>
      <c r="B2623">
        <v>0.06</v>
      </c>
      <c r="C2623">
        <v>0.06</v>
      </c>
    </row>
    <row r="2624" spans="1:3" x14ac:dyDescent="0.25">
      <c r="A2624" s="98">
        <v>9152250316463130</v>
      </c>
      <c r="B2624">
        <v>0.1</v>
      </c>
      <c r="C2624">
        <v>0.11</v>
      </c>
    </row>
    <row r="2625" spans="1:3" x14ac:dyDescent="0.25">
      <c r="A2625" s="98">
        <v>9155740892081340</v>
      </c>
      <c r="B2625">
        <v>7.0000000000000007E-2</v>
      </c>
      <c r="C2625">
        <v>0.05</v>
      </c>
    </row>
    <row r="2626" spans="1:3" x14ac:dyDescent="0.25">
      <c r="A2626" s="98">
        <v>9159231439712970</v>
      </c>
      <c r="B2626">
        <v>0.12</v>
      </c>
      <c r="C2626">
        <v>0.06</v>
      </c>
    </row>
    <row r="2627" spans="1:3" x14ac:dyDescent="0.25">
      <c r="A2627" s="98">
        <v>9162722095681560</v>
      </c>
      <c r="B2627">
        <v>0.1</v>
      </c>
      <c r="C2627">
        <v>0.06</v>
      </c>
    </row>
    <row r="2628" spans="1:3" x14ac:dyDescent="0.25">
      <c r="A2628" s="98">
        <v>9166212507006190</v>
      </c>
      <c r="B2628">
        <v>0.05</v>
      </c>
      <c r="C2628">
        <v>7.0000000000000007E-2</v>
      </c>
    </row>
    <row r="2629" spans="1:3" x14ac:dyDescent="0.25">
      <c r="A2629" s="98">
        <v>9169703029620420</v>
      </c>
      <c r="B2629">
        <v>0.23</v>
      </c>
      <c r="C2629">
        <v>0.08</v>
      </c>
    </row>
    <row r="2630" spans="1:3" x14ac:dyDescent="0.25">
      <c r="A2630" s="98">
        <v>9173193497757110</v>
      </c>
      <c r="B2630">
        <v>0.05</v>
      </c>
      <c r="C2630">
        <v>0.2</v>
      </c>
    </row>
    <row r="2631" spans="1:3" x14ac:dyDescent="0.25">
      <c r="A2631" s="98">
        <v>9176684114988200</v>
      </c>
      <c r="B2631">
        <v>7.0000000000000007E-2</v>
      </c>
      <c r="C2631">
        <v>0.22</v>
      </c>
    </row>
    <row r="2632" spans="1:3" x14ac:dyDescent="0.25">
      <c r="A2632" s="98">
        <v>9180174618137100</v>
      </c>
      <c r="B2632">
        <v>7.0000000000000007E-2</v>
      </c>
      <c r="C2632">
        <v>0.2</v>
      </c>
    </row>
    <row r="2633" spans="1:3" x14ac:dyDescent="0.25">
      <c r="A2633" s="98">
        <v>9183665024301520</v>
      </c>
      <c r="B2633">
        <v>0.08</v>
      </c>
      <c r="C2633">
        <v>0.43</v>
      </c>
    </row>
    <row r="2634" spans="1:3" x14ac:dyDescent="0.25">
      <c r="A2634" s="98">
        <v>9187155562871030</v>
      </c>
      <c r="B2634">
        <v>0.08</v>
      </c>
      <c r="C2634">
        <v>0.14000000000000001</v>
      </c>
    </row>
    <row r="2635" spans="1:3" x14ac:dyDescent="0.25">
      <c r="A2635" s="98">
        <v>9190646249988560</v>
      </c>
      <c r="B2635">
        <v>0.14000000000000001</v>
      </c>
      <c r="C2635">
        <v>0.09</v>
      </c>
    </row>
    <row r="2636" spans="1:3" x14ac:dyDescent="0.25">
      <c r="A2636" s="98">
        <v>9194137103000170</v>
      </c>
      <c r="B2636">
        <v>0.15</v>
      </c>
      <c r="C2636">
        <v>0.09</v>
      </c>
    </row>
    <row r="2637" spans="1:3" x14ac:dyDescent="0.25">
      <c r="A2637" s="98">
        <v>9197627615415380</v>
      </c>
      <c r="B2637">
        <v>0.17</v>
      </c>
      <c r="C2637">
        <v>0.08</v>
      </c>
    </row>
    <row r="2638" spans="1:3" x14ac:dyDescent="0.25">
      <c r="A2638" s="98">
        <v>9201118151998070</v>
      </c>
      <c r="B2638">
        <v>0.24</v>
      </c>
      <c r="C2638">
        <v>0.03</v>
      </c>
    </row>
    <row r="2639" spans="1:3" x14ac:dyDescent="0.25">
      <c r="A2639" s="98">
        <v>9204608614433690</v>
      </c>
      <c r="B2639">
        <v>7.0000000000000007E-2</v>
      </c>
      <c r="C2639">
        <v>0.05</v>
      </c>
    </row>
    <row r="2640" spans="1:3" x14ac:dyDescent="0.25">
      <c r="A2640" s="98">
        <v>9208099144266710</v>
      </c>
      <c r="B2640">
        <v>0.17</v>
      </c>
      <c r="C2640">
        <v>0.17</v>
      </c>
    </row>
    <row r="2641" spans="1:3" x14ac:dyDescent="0.25">
      <c r="A2641" s="98">
        <v>9211589574708980</v>
      </c>
      <c r="B2641">
        <v>7.0000000000000007E-2</v>
      </c>
      <c r="C2641">
        <v>0.12</v>
      </c>
    </row>
    <row r="2642" spans="1:3" x14ac:dyDescent="0.25">
      <c r="A2642" s="98">
        <v>9215080514213550</v>
      </c>
      <c r="B2642">
        <v>0.16</v>
      </c>
      <c r="C2642">
        <v>0.28999999999999998</v>
      </c>
    </row>
    <row r="2643" spans="1:3" x14ac:dyDescent="0.25">
      <c r="A2643" s="98">
        <v>9218570914268490</v>
      </c>
      <c r="B2643">
        <v>7.0000000000000007E-2</v>
      </c>
      <c r="C2643">
        <v>0.16</v>
      </c>
    </row>
    <row r="2644" spans="1:3" x14ac:dyDescent="0.25">
      <c r="A2644" s="98">
        <v>9222061390043400</v>
      </c>
      <c r="B2644">
        <v>0.15</v>
      </c>
      <c r="C2644">
        <v>0.13</v>
      </c>
    </row>
    <row r="2645" spans="1:3" x14ac:dyDescent="0.25">
      <c r="A2645" s="98">
        <v>9225552209543960</v>
      </c>
      <c r="B2645">
        <v>0.1</v>
      </c>
      <c r="C2645">
        <v>0.18</v>
      </c>
    </row>
    <row r="2646" spans="1:3" x14ac:dyDescent="0.25">
      <c r="A2646" s="98">
        <v>9229042799875690</v>
      </c>
      <c r="B2646">
        <v>0.03</v>
      </c>
      <c r="C2646">
        <v>7.0000000000000007E-2</v>
      </c>
    </row>
    <row r="2647" spans="1:3" x14ac:dyDescent="0.25">
      <c r="A2647" s="98">
        <v>9232533360024290</v>
      </c>
      <c r="B2647">
        <v>0.11</v>
      </c>
      <c r="C2647">
        <v>0.18</v>
      </c>
    </row>
    <row r="2648" spans="1:3" x14ac:dyDescent="0.25">
      <c r="A2648" s="98">
        <v>9236023947017060</v>
      </c>
      <c r="B2648">
        <v>0.14000000000000001</v>
      </c>
      <c r="C2648">
        <v>0.06</v>
      </c>
    </row>
    <row r="2649" spans="1:3" x14ac:dyDescent="0.25">
      <c r="A2649" s="98">
        <v>9239514441611590</v>
      </c>
      <c r="B2649">
        <v>0.14000000000000001</v>
      </c>
      <c r="C2649">
        <v>0.05</v>
      </c>
    </row>
    <row r="2650" spans="1:3" x14ac:dyDescent="0.25">
      <c r="A2650" s="98">
        <v>9243004873306660</v>
      </c>
      <c r="B2650">
        <v>0.22</v>
      </c>
      <c r="C2650">
        <v>0.03</v>
      </c>
    </row>
    <row r="2651" spans="1:3" x14ac:dyDescent="0.25">
      <c r="A2651" s="98">
        <v>9246495358276140</v>
      </c>
      <c r="B2651">
        <v>0.41</v>
      </c>
      <c r="C2651">
        <v>0.1</v>
      </c>
    </row>
    <row r="2652" spans="1:3" x14ac:dyDescent="0.25">
      <c r="A2652" s="98">
        <v>9249985698174540</v>
      </c>
      <c r="B2652">
        <v>7.0000000000000007E-2</v>
      </c>
      <c r="C2652">
        <v>0.19</v>
      </c>
    </row>
    <row r="2653" spans="1:3" x14ac:dyDescent="0.25">
      <c r="A2653" s="98">
        <v>9253476226506400</v>
      </c>
      <c r="B2653">
        <v>0.12</v>
      </c>
      <c r="C2653">
        <v>0.1</v>
      </c>
    </row>
    <row r="2654" spans="1:3" x14ac:dyDescent="0.25">
      <c r="A2654" s="98">
        <v>9256967072602770</v>
      </c>
      <c r="B2654">
        <v>0.1</v>
      </c>
      <c r="C2654">
        <v>0.04</v>
      </c>
    </row>
    <row r="2655" spans="1:3" x14ac:dyDescent="0.25">
      <c r="A2655" s="98">
        <v>9260457636062740</v>
      </c>
      <c r="B2655">
        <v>0.18</v>
      </c>
      <c r="C2655">
        <v>0.1</v>
      </c>
    </row>
    <row r="2656" spans="1:3" x14ac:dyDescent="0.25">
      <c r="A2656" s="98">
        <v>9263948217768360</v>
      </c>
      <c r="B2656">
        <v>0.11</v>
      </c>
      <c r="C2656">
        <v>7.0000000000000007E-2</v>
      </c>
    </row>
    <row r="2657" spans="1:3" x14ac:dyDescent="0.25">
      <c r="A2657" s="98">
        <v>9267438545867240</v>
      </c>
      <c r="B2657">
        <v>0.31</v>
      </c>
      <c r="C2657">
        <v>0.09</v>
      </c>
    </row>
    <row r="2658" spans="1:3" x14ac:dyDescent="0.25">
      <c r="A2658" s="98">
        <v>9270929115232490</v>
      </c>
      <c r="B2658">
        <v>0.1</v>
      </c>
      <c r="C2658">
        <v>0.04</v>
      </c>
    </row>
    <row r="2659" spans="1:3" x14ac:dyDescent="0.25">
      <c r="A2659" s="98">
        <v>9274419624739220</v>
      </c>
      <c r="B2659">
        <v>0.27</v>
      </c>
      <c r="C2659">
        <v>0.1</v>
      </c>
    </row>
    <row r="2660" spans="1:3" x14ac:dyDescent="0.25">
      <c r="A2660" s="98">
        <v>9277910244497980</v>
      </c>
      <c r="B2660">
        <v>0.15</v>
      </c>
      <c r="C2660">
        <v>0</v>
      </c>
    </row>
    <row r="2661" spans="1:3" x14ac:dyDescent="0.25">
      <c r="A2661" s="98">
        <v>9281400970005320</v>
      </c>
      <c r="B2661">
        <v>0.08</v>
      </c>
      <c r="C2661">
        <v>7.0000000000000007E-2</v>
      </c>
    </row>
    <row r="2662" spans="1:3" x14ac:dyDescent="0.25">
      <c r="A2662" s="98">
        <v>9284891534778800</v>
      </c>
      <c r="B2662">
        <v>0.08</v>
      </c>
      <c r="C2662">
        <v>0.05</v>
      </c>
    </row>
    <row r="2663" spans="1:3" x14ac:dyDescent="0.25">
      <c r="A2663" s="98">
        <v>9288382040648540</v>
      </c>
      <c r="B2663">
        <v>0.14000000000000001</v>
      </c>
      <c r="C2663">
        <v>0.17</v>
      </c>
    </row>
    <row r="2664" spans="1:3" x14ac:dyDescent="0.25">
      <c r="A2664" s="98">
        <v>9291872457210660</v>
      </c>
      <c r="B2664">
        <v>0.18</v>
      </c>
      <c r="C2664">
        <v>0.15</v>
      </c>
    </row>
    <row r="2665" spans="1:3" x14ac:dyDescent="0.25">
      <c r="A2665" s="98">
        <v>9295362975514590</v>
      </c>
      <c r="B2665">
        <v>0.26</v>
      </c>
      <c r="C2665">
        <v>0.04</v>
      </c>
    </row>
    <row r="2666" spans="1:3" x14ac:dyDescent="0.25">
      <c r="A2666" s="98">
        <v>9298853910322540</v>
      </c>
      <c r="B2666">
        <v>0.1</v>
      </c>
      <c r="C2666">
        <v>0.04</v>
      </c>
    </row>
    <row r="2667" spans="1:3" x14ac:dyDescent="0.25">
      <c r="A2667" s="98">
        <v>9302344424719060</v>
      </c>
      <c r="B2667">
        <v>0.6</v>
      </c>
      <c r="C2667">
        <v>0.06</v>
      </c>
    </row>
    <row r="2668" spans="1:3" x14ac:dyDescent="0.25">
      <c r="A2668" s="98">
        <v>9305834902729140</v>
      </c>
      <c r="B2668">
        <v>0.09</v>
      </c>
      <c r="C2668">
        <v>0.15</v>
      </c>
    </row>
    <row r="2669" spans="1:3" x14ac:dyDescent="0.25">
      <c r="A2669" s="98">
        <v>9309325246286610</v>
      </c>
      <c r="B2669">
        <v>0.27</v>
      </c>
      <c r="C2669">
        <v>0.19</v>
      </c>
    </row>
    <row r="2670" spans="1:3" x14ac:dyDescent="0.25">
      <c r="A2670" s="98">
        <v>9312815842220070</v>
      </c>
      <c r="B2670">
        <v>0.13</v>
      </c>
      <c r="C2670">
        <v>0.12</v>
      </c>
    </row>
    <row r="2671" spans="1:3" x14ac:dyDescent="0.25">
      <c r="A2671" s="98">
        <v>9316306316858080</v>
      </c>
      <c r="B2671">
        <v>0.12</v>
      </c>
      <c r="C2671">
        <v>0.11</v>
      </c>
    </row>
    <row r="2672" spans="1:3" x14ac:dyDescent="0.25">
      <c r="A2672" s="98">
        <v>9319796855212360</v>
      </c>
      <c r="B2672">
        <v>0.14000000000000001</v>
      </c>
      <c r="C2672">
        <v>0.08</v>
      </c>
    </row>
    <row r="2673" spans="1:3" x14ac:dyDescent="0.25">
      <c r="A2673" s="98">
        <v>9323287349083900</v>
      </c>
      <c r="B2673">
        <v>0.17</v>
      </c>
      <c r="C2673">
        <v>0.2</v>
      </c>
    </row>
    <row r="2674" spans="1:3" x14ac:dyDescent="0.25">
      <c r="A2674" s="98">
        <v>9326778077008540</v>
      </c>
      <c r="B2674">
        <v>0.17</v>
      </c>
      <c r="C2674">
        <v>0.04</v>
      </c>
    </row>
    <row r="2675" spans="1:3" x14ac:dyDescent="0.25">
      <c r="A2675" s="98">
        <v>9330268858284860</v>
      </c>
      <c r="B2675">
        <v>0.14000000000000001</v>
      </c>
      <c r="C2675">
        <v>0.08</v>
      </c>
    </row>
    <row r="2676" spans="1:3" x14ac:dyDescent="0.25">
      <c r="A2676" s="98">
        <v>9333759094454620</v>
      </c>
      <c r="B2676">
        <v>0.15</v>
      </c>
      <c r="C2676">
        <v>0.03</v>
      </c>
    </row>
    <row r="2677" spans="1:3" x14ac:dyDescent="0.25">
      <c r="A2677" s="98">
        <v>9337249576802600</v>
      </c>
      <c r="B2677">
        <v>0.09</v>
      </c>
      <c r="C2677">
        <v>0.16</v>
      </c>
    </row>
    <row r="2678" spans="1:3" x14ac:dyDescent="0.25">
      <c r="A2678" s="98">
        <v>9340740200358400</v>
      </c>
      <c r="B2678">
        <v>0.13</v>
      </c>
      <c r="C2678">
        <v>0.14000000000000001</v>
      </c>
    </row>
    <row r="2679" spans="1:3" x14ac:dyDescent="0.25">
      <c r="A2679" s="98">
        <v>9344230872100150</v>
      </c>
      <c r="B2679">
        <v>0.1</v>
      </c>
      <c r="C2679">
        <v>0.03</v>
      </c>
    </row>
    <row r="2680" spans="1:3" x14ac:dyDescent="0.25">
      <c r="A2680" s="98">
        <v>9347721622128170</v>
      </c>
      <c r="B2680">
        <v>0.15</v>
      </c>
      <c r="C2680">
        <v>7.0000000000000007E-2</v>
      </c>
    </row>
    <row r="2681" spans="1:3" x14ac:dyDescent="0.25">
      <c r="A2681" s="98">
        <v>9351212470868120</v>
      </c>
      <c r="B2681">
        <v>0.16</v>
      </c>
      <c r="C2681">
        <v>0.19</v>
      </c>
    </row>
    <row r="2682" spans="1:3" x14ac:dyDescent="0.25">
      <c r="A2682" s="98">
        <v>9354703107890150</v>
      </c>
      <c r="B2682">
        <v>0.26</v>
      </c>
      <c r="C2682">
        <v>0.06</v>
      </c>
    </row>
    <row r="2683" spans="1:3" x14ac:dyDescent="0.25">
      <c r="A2683" s="98">
        <v>9358193833822450</v>
      </c>
      <c r="B2683">
        <v>0.1</v>
      </c>
      <c r="C2683">
        <v>0.34</v>
      </c>
    </row>
    <row r="2684" spans="1:3" x14ac:dyDescent="0.25">
      <c r="A2684" s="98">
        <v>9361684538545430</v>
      </c>
      <c r="B2684">
        <v>7.0000000000000007E-2</v>
      </c>
      <c r="C2684">
        <v>0.12</v>
      </c>
    </row>
    <row r="2685" spans="1:3" x14ac:dyDescent="0.25">
      <c r="A2685" s="98">
        <v>9365175169546290</v>
      </c>
      <c r="B2685">
        <v>0.16</v>
      </c>
      <c r="C2685">
        <v>0.1</v>
      </c>
    </row>
    <row r="2686" spans="1:3" x14ac:dyDescent="0.25">
      <c r="A2686" s="98">
        <v>9368665839025260</v>
      </c>
      <c r="B2686">
        <v>0.21</v>
      </c>
      <c r="C2686">
        <v>0.2</v>
      </c>
    </row>
    <row r="2687" spans="1:3" x14ac:dyDescent="0.25">
      <c r="A2687" s="98">
        <v>9372156517588420</v>
      </c>
      <c r="B2687">
        <v>0.14000000000000001</v>
      </c>
      <c r="C2687">
        <v>0.27</v>
      </c>
    </row>
    <row r="2688" spans="1:3" x14ac:dyDescent="0.25">
      <c r="A2688" s="98">
        <v>9375647200329430</v>
      </c>
      <c r="B2688">
        <v>0.15</v>
      </c>
      <c r="C2688">
        <v>0.16</v>
      </c>
    </row>
    <row r="2689" spans="1:3" x14ac:dyDescent="0.25">
      <c r="A2689" s="98">
        <v>9379137638282990</v>
      </c>
      <c r="B2689">
        <v>0.06</v>
      </c>
      <c r="C2689">
        <v>0.31</v>
      </c>
    </row>
    <row r="2690" spans="1:3" x14ac:dyDescent="0.25">
      <c r="A2690" s="98">
        <v>9382628432247370</v>
      </c>
      <c r="B2690">
        <v>0.05</v>
      </c>
      <c r="C2690">
        <v>0.12</v>
      </c>
    </row>
    <row r="2691" spans="1:3" x14ac:dyDescent="0.25">
      <c r="A2691" s="98">
        <v>9386119002153470</v>
      </c>
      <c r="B2691">
        <v>0.1</v>
      </c>
      <c r="C2691">
        <v>0.04</v>
      </c>
    </row>
    <row r="2692" spans="1:3" x14ac:dyDescent="0.25">
      <c r="A2692" s="98">
        <v>9389609549785100</v>
      </c>
      <c r="B2692">
        <v>0.06</v>
      </c>
      <c r="C2692">
        <v>0.05</v>
      </c>
    </row>
    <row r="2693" spans="1:3" x14ac:dyDescent="0.25">
      <c r="A2693" s="98">
        <v>9393100430303150</v>
      </c>
      <c r="B2693">
        <v>0.03</v>
      </c>
      <c r="C2693">
        <v>0.15</v>
      </c>
    </row>
    <row r="2694" spans="1:3" x14ac:dyDescent="0.25">
      <c r="A2694" s="98">
        <v>9396591157350270</v>
      </c>
      <c r="B2694">
        <v>0.04</v>
      </c>
      <c r="C2694">
        <v>0.1</v>
      </c>
    </row>
    <row r="2695" spans="1:3" x14ac:dyDescent="0.25">
      <c r="A2695" s="98">
        <v>9400081554480170</v>
      </c>
      <c r="B2695">
        <v>0.15</v>
      </c>
      <c r="C2695">
        <v>0.18</v>
      </c>
    </row>
    <row r="2696" spans="1:3" x14ac:dyDescent="0.25">
      <c r="A2696" s="98">
        <v>9403572032043220</v>
      </c>
      <c r="B2696">
        <v>0.1</v>
      </c>
      <c r="C2696">
        <v>0.32</v>
      </c>
    </row>
    <row r="2697" spans="1:3" x14ac:dyDescent="0.25">
      <c r="A2697" s="98">
        <v>9407062488341770</v>
      </c>
      <c r="B2697">
        <v>7.0000000000000007E-2</v>
      </c>
      <c r="C2697">
        <v>0.17</v>
      </c>
    </row>
    <row r="2698" spans="1:3" x14ac:dyDescent="0.25">
      <c r="A2698" s="98">
        <v>9410553118398890</v>
      </c>
      <c r="B2698">
        <v>0.05</v>
      </c>
      <c r="C2698">
        <v>0.39</v>
      </c>
    </row>
    <row r="2699" spans="1:3" x14ac:dyDescent="0.25">
      <c r="A2699" s="98">
        <v>9414044014027820</v>
      </c>
      <c r="B2699">
        <v>0.28999999999999998</v>
      </c>
      <c r="C2699">
        <v>0.05</v>
      </c>
    </row>
    <row r="2700" spans="1:3" x14ac:dyDescent="0.25">
      <c r="A2700" s="98">
        <v>9417534680581750</v>
      </c>
      <c r="B2700">
        <v>0.1</v>
      </c>
      <c r="C2700">
        <v>0.03</v>
      </c>
    </row>
    <row r="2701" spans="1:3" x14ac:dyDescent="0.25">
      <c r="A2701" s="98">
        <v>9421025247546250</v>
      </c>
      <c r="B2701">
        <v>0.02</v>
      </c>
      <c r="C2701">
        <v>0.02</v>
      </c>
    </row>
    <row r="2702" spans="1:3" x14ac:dyDescent="0.25">
      <c r="A2702" s="98">
        <v>9424515752146640</v>
      </c>
      <c r="B2702">
        <v>0.05</v>
      </c>
      <c r="C2702">
        <v>0.03</v>
      </c>
    </row>
    <row r="2703" spans="1:3" x14ac:dyDescent="0.25">
      <c r="A2703" s="98">
        <v>9428006451350670</v>
      </c>
      <c r="B2703">
        <v>0.21</v>
      </c>
      <c r="C2703">
        <v>7.0000000000000007E-2</v>
      </c>
    </row>
    <row r="2704" spans="1:3" x14ac:dyDescent="0.25">
      <c r="A2704" s="98">
        <v>9431497002834520</v>
      </c>
      <c r="B2704">
        <v>0.14000000000000001</v>
      </c>
      <c r="C2704">
        <v>0.26</v>
      </c>
    </row>
    <row r="2705" spans="1:3" x14ac:dyDescent="0.25">
      <c r="A2705" s="98">
        <v>9434987657572380</v>
      </c>
      <c r="B2705">
        <v>0.04</v>
      </c>
      <c r="C2705">
        <v>0.22</v>
      </c>
    </row>
    <row r="2706" spans="1:3" x14ac:dyDescent="0.25">
      <c r="A2706" s="98">
        <v>9438478275195310</v>
      </c>
      <c r="B2706">
        <v>0.11</v>
      </c>
      <c r="C2706">
        <v>0.05</v>
      </c>
    </row>
    <row r="2707" spans="1:3" x14ac:dyDescent="0.25">
      <c r="A2707" s="98">
        <v>9441968748602600</v>
      </c>
      <c r="B2707">
        <v>0.1</v>
      </c>
      <c r="C2707">
        <v>0.12</v>
      </c>
    </row>
    <row r="2708" spans="1:3" x14ac:dyDescent="0.25">
      <c r="A2708" s="98">
        <v>9445459334806150</v>
      </c>
      <c r="B2708">
        <v>0.16</v>
      </c>
      <c r="C2708">
        <v>0.1</v>
      </c>
    </row>
    <row r="2709" spans="1:3" x14ac:dyDescent="0.25">
      <c r="A2709" s="98">
        <v>9448949905164810</v>
      </c>
      <c r="B2709">
        <v>0.08</v>
      </c>
      <c r="C2709">
        <v>0.09</v>
      </c>
    </row>
    <row r="2710" spans="1:3" x14ac:dyDescent="0.25">
      <c r="A2710" s="98">
        <v>9452440237794760</v>
      </c>
      <c r="B2710">
        <v>0.1</v>
      </c>
      <c r="C2710">
        <v>0.15</v>
      </c>
    </row>
    <row r="2711" spans="1:3" x14ac:dyDescent="0.25">
      <c r="A2711" s="98">
        <v>9455930742477920</v>
      </c>
      <c r="B2711">
        <v>0.14000000000000001</v>
      </c>
      <c r="C2711">
        <v>0.09</v>
      </c>
    </row>
    <row r="2712" spans="1:3" x14ac:dyDescent="0.25">
      <c r="A2712" s="98">
        <v>9459421250273780</v>
      </c>
      <c r="B2712">
        <v>0.13</v>
      </c>
      <c r="C2712">
        <v>0.1</v>
      </c>
    </row>
    <row r="2713" spans="1:3" x14ac:dyDescent="0.25">
      <c r="A2713" s="98">
        <v>9462911889199850</v>
      </c>
      <c r="B2713">
        <v>0.11</v>
      </c>
      <c r="C2713">
        <v>0.08</v>
      </c>
    </row>
    <row r="2714" spans="1:3" x14ac:dyDescent="0.25">
      <c r="A2714" s="98">
        <v>9466402606351500</v>
      </c>
      <c r="B2714">
        <v>0.12</v>
      </c>
      <c r="C2714">
        <v>0.06</v>
      </c>
    </row>
    <row r="2715" spans="1:3" x14ac:dyDescent="0.25">
      <c r="A2715" s="98">
        <v>9469893135080730</v>
      </c>
      <c r="B2715">
        <v>0.05</v>
      </c>
      <c r="C2715">
        <v>0.14000000000000001</v>
      </c>
    </row>
    <row r="2716" spans="1:3" x14ac:dyDescent="0.25">
      <c r="A2716" s="98">
        <v>9473383373176610</v>
      </c>
      <c r="B2716">
        <v>0.14000000000000001</v>
      </c>
      <c r="C2716">
        <v>7.0000000000000007E-2</v>
      </c>
    </row>
    <row r="2717" spans="1:3" x14ac:dyDescent="0.25">
      <c r="A2717" s="98">
        <v>9476873790301650</v>
      </c>
      <c r="B2717">
        <v>0.22</v>
      </c>
      <c r="C2717">
        <v>0.09</v>
      </c>
    </row>
    <row r="2718" spans="1:3" x14ac:dyDescent="0.25">
      <c r="A2718" s="98">
        <v>9480364406219230</v>
      </c>
      <c r="B2718">
        <v>7.0000000000000007E-2</v>
      </c>
      <c r="C2718">
        <v>0.38</v>
      </c>
    </row>
    <row r="2719" spans="1:3" x14ac:dyDescent="0.25">
      <c r="A2719" s="98">
        <v>9483854940147310</v>
      </c>
      <c r="B2719">
        <v>0.16</v>
      </c>
      <c r="C2719">
        <v>0.13</v>
      </c>
    </row>
    <row r="2720" spans="1:3" x14ac:dyDescent="0.25">
      <c r="A2720" s="98">
        <v>9487345835367830</v>
      </c>
      <c r="B2720">
        <v>0.15</v>
      </c>
      <c r="C2720">
        <v>0.25</v>
      </c>
    </row>
    <row r="2721" spans="1:3" x14ac:dyDescent="0.25">
      <c r="A2721" s="98">
        <v>9490836346723410</v>
      </c>
      <c r="B2721">
        <v>0.13</v>
      </c>
      <c r="C2721">
        <v>0.24</v>
      </c>
    </row>
    <row r="2722" spans="1:3" x14ac:dyDescent="0.25">
      <c r="A2722" s="98">
        <v>9494326865203950</v>
      </c>
      <c r="B2722">
        <v>0.12</v>
      </c>
      <c r="C2722">
        <v>0.31</v>
      </c>
    </row>
    <row r="2723" spans="1:3" x14ac:dyDescent="0.25">
      <c r="A2723" s="98">
        <v>9497817512342220</v>
      </c>
      <c r="B2723">
        <v>0.19</v>
      </c>
      <c r="C2723">
        <v>0.13</v>
      </c>
    </row>
    <row r="2724" spans="1:3" x14ac:dyDescent="0.25">
      <c r="A2724" s="98">
        <v>9501308114583840</v>
      </c>
      <c r="B2724">
        <v>0.1</v>
      </c>
      <c r="C2724">
        <v>0.22</v>
      </c>
    </row>
    <row r="2725" spans="1:3" x14ac:dyDescent="0.25">
      <c r="A2725" s="98">
        <v>9504798601987180</v>
      </c>
      <c r="B2725">
        <v>0.14000000000000001</v>
      </c>
      <c r="C2725">
        <v>7.0000000000000007E-2</v>
      </c>
    </row>
    <row r="2726" spans="1:3" x14ac:dyDescent="0.25">
      <c r="A2726" s="98">
        <v>9508289387700730</v>
      </c>
      <c r="B2726">
        <v>0.12</v>
      </c>
      <c r="C2726">
        <v>0.23</v>
      </c>
    </row>
    <row r="2727" spans="1:3" x14ac:dyDescent="0.25">
      <c r="A2727" s="98">
        <v>9511779919895860</v>
      </c>
      <c r="B2727">
        <v>0.23</v>
      </c>
      <c r="C2727">
        <v>0.09</v>
      </c>
    </row>
    <row r="2728" spans="1:3" x14ac:dyDescent="0.25">
      <c r="A2728" s="98">
        <v>9515270412117240</v>
      </c>
      <c r="B2728">
        <v>0.19</v>
      </c>
      <c r="C2728">
        <v>0.08</v>
      </c>
    </row>
    <row r="2729" spans="1:3" x14ac:dyDescent="0.25">
      <c r="A2729" s="98">
        <v>9518761276773830</v>
      </c>
      <c r="B2729">
        <v>0.13</v>
      </c>
      <c r="C2729">
        <v>7.0000000000000007E-2</v>
      </c>
    </row>
    <row r="2730" spans="1:3" x14ac:dyDescent="0.25">
      <c r="A2730" s="98">
        <v>9522251740258040</v>
      </c>
      <c r="B2730">
        <v>0.17</v>
      </c>
      <c r="C2730">
        <v>0.04</v>
      </c>
    </row>
    <row r="2731" spans="1:3" x14ac:dyDescent="0.25">
      <c r="A2731" s="98">
        <v>9525742181445710</v>
      </c>
      <c r="B2731">
        <v>0.12</v>
      </c>
      <c r="C2731">
        <v>0.12</v>
      </c>
    </row>
    <row r="2732" spans="1:3" x14ac:dyDescent="0.25">
      <c r="A2732" s="98">
        <v>9529232975608770</v>
      </c>
      <c r="B2732">
        <v>0.1</v>
      </c>
      <c r="C2732">
        <v>0.28999999999999998</v>
      </c>
    </row>
    <row r="2733" spans="1:3" x14ac:dyDescent="0.25">
      <c r="A2733" s="98">
        <v>9532723421377160</v>
      </c>
      <c r="B2733">
        <v>0.11</v>
      </c>
      <c r="C2733">
        <v>0.05</v>
      </c>
    </row>
    <row r="2734" spans="1:3" x14ac:dyDescent="0.25">
      <c r="A2734" s="98">
        <v>9536213854694800</v>
      </c>
      <c r="B2734">
        <v>0.15</v>
      </c>
      <c r="C2734">
        <v>0.08</v>
      </c>
    </row>
    <row r="2735" spans="1:3" x14ac:dyDescent="0.25">
      <c r="A2735" s="98">
        <v>9539704464182810</v>
      </c>
      <c r="B2735">
        <v>0.17</v>
      </c>
      <c r="C2735">
        <v>0.19</v>
      </c>
    </row>
    <row r="2736" spans="1:3" x14ac:dyDescent="0.25">
      <c r="A2736" s="98">
        <v>9543194979528580</v>
      </c>
      <c r="B2736">
        <v>0.06</v>
      </c>
      <c r="C2736">
        <v>0.08</v>
      </c>
    </row>
    <row r="2737" spans="1:3" x14ac:dyDescent="0.25">
      <c r="A2737" s="98">
        <v>9546685422482310</v>
      </c>
      <c r="B2737">
        <v>0.24</v>
      </c>
      <c r="C2737">
        <v>7.0000000000000007E-2</v>
      </c>
    </row>
    <row r="2738" spans="1:3" x14ac:dyDescent="0.25">
      <c r="A2738" s="98">
        <v>9550175988999780</v>
      </c>
      <c r="B2738">
        <v>0</v>
      </c>
      <c r="C2738">
        <v>0.08</v>
      </c>
    </row>
    <row r="2739" spans="1:3" x14ac:dyDescent="0.25">
      <c r="A2739" s="98">
        <v>9553666365803390</v>
      </c>
      <c r="B2739">
        <v>0.09</v>
      </c>
      <c r="C2739">
        <v>0.12</v>
      </c>
    </row>
    <row r="2740" spans="1:3" x14ac:dyDescent="0.25">
      <c r="A2740" s="98">
        <v>9557156809739490</v>
      </c>
      <c r="B2740">
        <v>0.05</v>
      </c>
      <c r="C2740">
        <v>0.08</v>
      </c>
    </row>
    <row r="2741" spans="1:3" x14ac:dyDescent="0.25">
      <c r="A2741" s="98">
        <v>9560647330968460</v>
      </c>
      <c r="B2741">
        <v>0.11</v>
      </c>
      <c r="C2741">
        <v>0.15</v>
      </c>
    </row>
    <row r="2742" spans="1:3" x14ac:dyDescent="0.25">
      <c r="A2742" s="98">
        <v>9564137564765080</v>
      </c>
      <c r="B2742">
        <v>0.05</v>
      </c>
      <c r="C2742">
        <v>0.15</v>
      </c>
    </row>
    <row r="2743" spans="1:3" x14ac:dyDescent="0.25">
      <c r="A2743" s="98">
        <v>9567628098924950</v>
      </c>
      <c r="B2743">
        <v>0.14000000000000001</v>
      </c>
      <c r="C2743">
        <v>0.21</v>
      </c>
    </row>
    <row r="2744" spans="1:3" x14ac:dyDescent="0.25">
      <c r="A2744" s="98">
        <v>9571118855112120</v>
      </c>
      <c r="B2744">
        <v>7.0000000000000007E-2</v>
      </c>
      <c r="C2744">
        <v>0.27</v>
      </c>
    </row>
    <row r="2745" spans="1:3" x14ac:dyDescent="0.25">
      <c r="A2745" s="98">
        <v>9574609420371270</v>
      </c>
      <c r="B2745">
        <v>0.15</v>
      </c>
      <c r="C2745">
        <v>0.03</v>
      </c>
    </row>
    <row r="2746" spans="1:3" x14ac:dyDescent="0.25">
      <c r="A2746" s="98">
        <v>9578099735561340</v>
      </c>
      <c r="B2746">
        <v>0.15</v>
      </c>
      <c r="C2746">
        <v>0.26</v>
      </c>
    </row>
    <row r="2747" spans="1:3" x14ac:dyDescent="0.25">
      <c r="A2747" s="98">
        <v>9581590272861490</v>
      </c>
      <c r="B2747">
        <v>0.13</v>
      </c>
      <c r="C2747">
        <v>0.08</v>
      </c>
    </row>
    <row r="2748" spans="1:3" x14ac:dyDescent="0.25">
      <c r="A2748" s="98">
        <v>9585080885992000</v>
      </c>
      <c r="B2748">
        <v>0.1</v>
      </c>
      <c r="C2748">
        <v>0.03</v>
      </c>
    </row>
    <row r="2749" spans="1:3" x14ac:dyDescent="0.25">
      <c r="A2749" s="98">
        <v>9588571440649250</v>
      </c>
      <c r="B2749">
        <v>0.19</v>
      </c>
      <c r="C2749">
        <v>0.05</v>
      </c>
    </row>
    <row r="2750" spans="1:3" x14ac:dyDescent="0.25">
      <c r="A2750" s="98">
        <v>9592061938516510</v>
      </c>
      <c r="B2750">
        <v>0.04</v>
      </c>
      <c r="C2750">
        <v>0.1</v>
      </c>
    </row>
    <row r="2751" spans="1:3" x14ac:dyDescent="0.25">
      <c r="A2751" s="98">
        <v>9595552520006890</v>
      </c>
      <c r="B2751">
        <v>0.08</v>
      </c>
      <c r="C2751">
        <v>0.08</v>
      </c>
    </row>
    <row r="2752" spans="1:3" x14ac:dyDescent="0.25">
      <c r="A2752" s="98">
        <v>9599043052295840</v>
      </c>
      <c r="B2752">
        <v>0.1</v>
      </c>
      <c r="C2752">
        <v>0.1</v>
      </c>
    </row>
    <row r="2753" spans="1:3" x14ac:dyDescent="0.25">
      <c r="A2753" s="98">
        <v>9602533634636130</v>
      </c>
      <c r="B2753">
        <v>0.12</v>
      </c>
      <c r="C2753">
        <v>7.0000000000000007E-2</v>
      </c>
    </row>
    <row r="2754" spans="1:3" x14ac:dyDescent="0.25">
      <c r="A2754" s="98">
        <v>9606024169518990</v>
      </c>
      <c r="B2754">
        <v>0.06</v>
      </c>
      <c r="C2754">
        <v>0.08</v>
      </c>
    </row>
    <row r="2755" spans="1:3" x14ac:dyDescent="0.25">
      <c r="A2755" s="98">
        <v>9609514854638660</v>
      </c>
      <c r="B2755">
        <v>0.1</v>
      </c>
      <c r="C2755">
        <v>0.09</v>
      </c>
    </row>
    <row r="2756" spans="1:3" x14ac:dyDescent="0.25">
      <c r="A2756" s="98">
        <v>9613005473128070</v>
      </c>
      <c r="B2756">
        <v>7.0000000000000007E-2</v>
      </c>
      <c r="C2756">
        <v>0.08</v>
      </c>
    </row>
    <row r="2757" spans="1:3" x14ac:dyDescent="0.25">
      <c r="A2757" s="98">
        <v>9616495987795010</v>
      </c>
      <c r="B2757">
        <v>7.0000000000000007E-2</v>
      </c>
      <c r="C2757">
        <v>0.08</v>
      </c>
    </row>
    <row r="2758" spans="1:3" x14ac:dyDescent="0.25">
      <c r="A2758" s="98">
        <v>9619986343477610</v>
      </c>
      <c r="B2758">
        <v>0.06</v>
      </c>
      <c r="C2758">
        <v>0.12</v>
      </c>
    </row>
    <row r="2759" spans="1:3" x14ac:dyDescent="0.25">
      <c r="A2759" s="98">
        <v>9623476951574830</v>
      </c>
      <c r="B2759">
        <v>0.11</v>
      </c>
      <c r="C2759">
        <v>0.12</v>
      </c>
    </row>
    <row r="2760" spans="1:3" x14ac:dyDescent="0.25">
      <c r="A2760" s="98">
        <v>9626967437664660</v>
      </c>
      <c r="B2760">
        <v>0.11</v>
      </c>
      <c r="C2760">
        <v>0.02</v>
      </c>
    </row>
    <row r="2761" spans="1:3" x14ac:dyDescent="0.25">
      <c r="A2761" s="98">
        <v>9630457939787040</v>
      </c>
      <c r="B2761">
        <v>7.0000000000000007E-2</v>
      </c>
      <c r="C2761">
        <v>0.03</v>
      </c>
    </row>
    <row r="2762" spans="1:3" x14ac:dyDescent="0.25">
      <c r="A2762" s="98">
        <v>9633948537674210</v>
      </c>
      <c r="B2762">
        <v>0.11</v>
      </c>
      <c r="C2762">
        <v>0.37</v>
      </c>
    </row>
    <row r="2763" spans="1:3" x14ac:dyDescent="0.25">
      <c r="A2763" s="98">
        <v>9637439181655640</v>
      </c>
      <c r="B2763">
        <v>0.08</v>
      </c>
      <c r="C2763">
        <v>0.03</v>
      </c>
    </row>
    <row r="2764" spans="1:3" x14ac:dyDescent="0.25">
      <c r="A2764" s="98">
        <v>9640929721268240</v>
      </c>
      <c r="B2764">
        <v>0.13</v>
      </c>
      <c r="C2764">
        <v>7.0000000000000007E-2</v>
      </c>
    </row>
    <row r="2765" spans="1:3" x14ac:dyDescent="0.25">
      <c r="A2765" s="98">
        <v>9644420189498750</v>
      </c>
      <c r="B2765">
        <v>0.1</v>
      </c>
      <c r="C2765">
        <v>0.12</v>
      </c>
    </row>
    <row r="2766" spans="1:3" x14ac:dyDescent="0.25">
      <c r="A2766" s="98">
        <v>9647910836283800</v>
      </c>
      <c r="B2766">
        <v>0.45</v>
      </c>
      <c r="C2766">
        <v>0.26</v>
      </c>
    </row>
    <row r="2767" spans="1:3" x14ac:dyDescent="0.25">
      <c r="A2767" s="98">
        <v>9651401244081830</v>
      </c>
      <c r="B2767">
        <v>0.08</v>
      </c>
      <c r="C2767">
        <v>0.2</v>
      </c>
    </row>
    <row r="2768" spans="1:3" x14ac:dyDescent="0.25">
      <c r="A2768" s="98">
        <v>9654892020749820</v>
      </c>
      <c r="B2768">
        <v>0.17</v>
      </c>
      <c r="C2768">
        <v>0.25</v>
      </c>
    </row>
    <row r="2769" spans="1:3" x14ac:dyDescent="0.25">
      <c r="A2769" s="98">
        <v>9658382551592800</v>
      </c>
      <c r="B2769">
        <v>0.11</v>
      </c>
      <c r="C2769">
        <v>0.1</v>
      </c>
    </row>
    <row r="2770" spans="1:3" x14ac:dyDescent="0.25">
      <c r="A2770" s="98">
        <v>9661873050260320</v>
      </c>
      <c r="B2770">
        <v>0.13</v>
      </c>
      <c r="C2770">
        <v>0.09</v>
      </c>
    </row>
    <row r="2771" spans="1:3" x14ac:dyDescent="0.25">
      <c r="A2771" s="98">
        <v>9665363413647370</v>
      </c>
      <c r="B2771">
        <v>0.11</v>
      </c>
      <c r="C2771">
        <v>0.12</v>
      </c>
    </row>
    <row r="2772" spans="1:3" x14ac:dyDescent="0.25">
      <c r="A2772" s="98">
        <v>9668853776852290</v>
      </c>
      <c r="B2772">
        <v>0.06</v>
      </c>
      <c r="C2772">
        <v>0.24</v>
      </c>
    </row>
    <row r="2773" spans="1:3" x14ac:dyDescent="0.25">
      <c r="A2773" s="98">
        <v>9672344347713170</v>
      </c>
      <c r="B2773">
        <v>0.02</v>
      </c>
      <c r="C2773">
        <v>0.15</v>
      </c>
    </row>
    <row r="2774" spans="1:3" x14ac:dyDescent="0.25">
      <c r="A2774" s="98">
        <v>9675834838460990</v>
      </c>
      <c r="B2774">
        <v>0.1</v>
      </c>
      <c r="C2774">
        <v>7.0000000000000007E-2</v>
      </c>
    </row>
    <row r="2775" spans="1:3" x14ac:dyDescent="0.25">
      <c r="A2775" s="98">
        <v>9679325244813050</v>
      </c>
      <c r="B2775">
        <v>0.31</v>
      </c>
      <c r="C2775">
        <v>0.17</v>
      </c>
    </row>
    <row r="2776" spans="1:3" x14ac:dyDescent="0.25">
      <c r="A2776" s="98">
        <v>9682815761709650</v>
      </c>
      <c r="B2776">
        <v>7.0000000000000007E-2</v>
      </c>
      <c r="C2776">
        <v>0.25</v>
      </c>
    </row>
    <row r="2777" spans="1:3" x14ac:dyDescent="0.25">
      <c r="A2777" s="98">
        <v>9686306482321680</v>
      </c>
      <c r="B2777">
        <v>0.02</v>
      </c>
      <c r="C2777">
        <v>0.04</v>
      </c>
    </row>
    <row r="2778" spans="1:3" x14ac:dyDescent="0.25">
      <c r="A2778" s="98">
        <v>9689797098311010</v>
      </c>
      <c r="B2778">
        <v>0</v>
      </c>
      <c r="C2778">
        <v>0</v>
      </c>
    </row>
    <row r="2779" spans="1:3" x14ac:dyDescent="0.25">
      <c r="A2779" s="98">
        <v>9693287738379500</v>
      </c>
      <c r="B2779">
        <v>0.05</v>
      </c>
      <c r="C2779">
        <v>7.0000000000000007E-2</v>
      </c>
    </row>
    <row r="2780" spans="1:3" x14ac:dyDescent="0.25">
      <c r="A2780" s="98">
        <v>9696778269664000</v>
      </c>
      <c r="B2780">
        <v>0.21</v>
      </c>
      <c r="C2780">
        <v>0.1</v>
      </c>
    </row>
    <row r="2781" spans="1:3" x14ac:dyDescent="0.25">
      <c r="A2781" s="98">
        <v>9700268893534380</v>
      </c>
      <c r="B2781">
        <v>0.01</v>
      </c>
      <c r="C2781">
        <v>0.04</v>
      </c>
    </row>
    <row r="2782" spans="1:3" x14ac:dyDescent="0.25">
      <c r="A2782" s="98">
        <v>9703759481824100</v>
      </c>
      <c r="B2782">
        <v>7.0000000000000007E-2</v>
      </c>
      <c r="C2782">
        <v>0.1</v>
      </c>
    </row>
    <row r="2783" spans="1:3" x14ac:dyDescent="0.25">
      <c r="A2783" s="98">
        <v>9707250226239360</v>
      </c>
      <c r="B2783">
        <v>0.01</v>
      </c>
      <c r="C2783">
        <v>0.05</v>
      </c>
    </row>
    <row r="2784" spans="1:3" x14ac:dyDescent="0.25">
      <c r="A2784" s="98">
        <v>9710740611199970</v>
      </c>
      <c r="B2784">
        <v>0.02</v>
      </c>
      <c r="C2784">
        <v>0.03</v>
      </c>
    </row>
    <row r="2785" spans="1:3" x14ac:dyDescent="0.25">
      <c r="A2785" s="98">
        <v>9714231168931280</v>
      </c>
      <c r="B2785">
        <v>0.1</v>
      </c>
      <c r="C2785">
        <v>0.12</v>
      </c>
    </row>
    <row r="2786" spans="1:3" x14ac:dyDescent="0.25">
      <c r="A2786" s="98">
        <v>9717721891441830</v>
      </c>
      <c r="B2786">
        <v>0.1</v>
      </c>
      <c r="C2786">
        <v>0.09</v>
      </c>
    </row>
    <row r="2787" spans="1:3" x14ac:dyDescent="0.25">
      <c r="A2787" s="98">
        <v>9721212690897560</v>
      </c>
      <c r="B2787">
        <v>0.15</v>
      </c>
      <c r="C2787">
        <v>0.08</v>
      </c>
    </row>
    <row r="2788" spans="1:3" x14ac:dyDescent="0.25">
      <c r="A2788" s="98">
        <v>9724703360459310</v>
      </c>
      <c r="B2788">
        <v>0.06</v>
      </c>
      <c r="C2788">
        <v>0</v>
      </c>
    </row>
    <row r="2789" spans="1:3" x14ac:dyDescent="0.25">
      <c r="A2789" s="98">
        <v>9728194001118340</v>
      </c>
      <c r="B2789">
        <v>0.12</v>
      </c>
      <c r="C2789">
        <v>0.08</v>
      </c>
    </row>
    <row r="2790" spans="1:3" x14ac:dyDescent="0.25">
      <c r="A2790" s="98">
        <v>9731684675321530</v>
      </c>
      <c r="B2790">
        <v>0.17</v>
      </c>
      <c r="C2790">
        <v>0.4</v>
      </c>
    </row>
    <row r="2791" spans="1:3" x14ac:dyDescent="0.25">
      <c r="A2791" s="98">
        <v>9735175486764420</v>
      </c>
      <c r="B2791">
        <v>0.12</v>
      </c>
      <c r="C2791">
        <v>0.26</v>
      </c>
    </row>
    <row r="2792" spans="1:3" x14ac:dyDescent="0.25">
      <c r="A2792" s="98">
        <v>9738666216135020</v>
      </c>
      <c r="B2792">
        <v>7.0000000000000007E-2</v>
      </c>
      <c r="C2792">
        <v>0.11</v>
      </c>
    </row>
    <row r="2793" spans="1:3" x14ac:dyDescent="0.25">
      <c r="A2793" s="98">
        <v>9742156788276300</v>
      </c>
      <c r="B2793">
        <v>0.1</v>
      </c>
      <c r="C2793">
        <v>0.08</v>
      </c>
    </row>
    <row r="2794" spans="1:3" x14ac:dyDescent="0.25">
      <c r="A2794" s="98">
        <v>9745647431700310</v>
      </c>
      <c r="B2794">
        <v>0.05</v>
      </c>
      <c r="C2794">
        <v>0.08</v>
      </c>
    </row>
    <row r="2795" spans="1:3" x14ac:dyDescent="0.25">
      <c r="A2795" s="98">
        <v>9749138149442490</v>
      </c>
      <c r="B2795">
        <v>0.06</v>
      </c>
      <c r="C2795">
        <v>0.08</v>
      </c>
    </row>
    <row r="2796" spans="1:3" x14ac:dyDescent="0.25">
      <c r="A2796" s="98">
        <v>9752628860070750</v>
      </c>
      <c r="B2796">
        <v>0.1</v>
      </c>
      <c r="C2796">
        <v>0.6</v>
      </c>
    </row>
    <row r="2797" spans="1:3" x14ac:dyDescent="0.25">
      <c r="A2797" s="98">
        <v>9756119450926780</v>
      </c>
      <c r="B2797">
        <v>0.2</v>
      </c>
      <c r="C2797">
        <v>0.09</v>
      </c>
    </row>
    <row r="2798" spans="1:3" x14ac:dyDescent="0.25">
      <c r="A2798" s="98">
        <v>9759610127619020</v>
      </c>
      <c r="B2798">
        <v>0</v>
      </c>
      <c r="C2798">
        <v>0</v>
      </c>
    </row>
    <row r="2799" spans="1:3" x14ac:dyDescent="0.25">
      <c r="A2799" s="98">
        <v>9763100571720680</v>
      </c>
      <c r="B2799">
        <v>0.17</v>
      </c>
      <c r="C2799">
        <v>0.06</v>
      </c>
    </row>
    <row r="2800" spans="1:3" x14ac:dyDescent="0.25">
      <c r="A2800" s="98">
        <v>9766591098783190</v>
      </c>
      <c r="B2800">
        <v>0.06</v>
      </c>
      <c r="C2800">
        <v>7.0000000000000007E-2</v>
      </c>
    </row>
    <row r="2801" spans="1:3" x14ac:dyDescent="0.25">
      <c r="A2801" s="98">
        <v>9770081630509200</v>
      </c>
      <c r="B2801">
        <v>0.06</v>
      </c>
      <c r="C2801">
        <v>0.12</v>
      </c>
    </row>
    <row r="2802" spans="1:3" x14ac:dyDescent="0.25">
      <c r="A2802" s="98">
        <v>9773572297730930</v>
      </c>
      <c r="B2802">
        <v>0.35</v>
      </c>
      <c r="C2802">
        <v>0.03</v>
      </c>
    </row>
    <row r="2803" spans="1:3" x14ac:dyDescent="0.25">
      <c r="A2803" s="98">
        <v>9777062949091190</v>
      </c>
      <c r="B2803">
        <v>0.12</v>
      </c>
      <c r="C2803">
        <v>0.12</v>
      </c>
    </row>
    <row r="2804" spans="1:3" x14ac:dyDescent="0.25">
      <c r="A2804" s="98">
        <v>9780553691144340</v>
      </c>
      <c r="B2804">
        <v>0.02</v>
      </c>
      <c r="C2804">
        <v>0.1</v>
      </c>
    </row>
    <row r="2805" spans="1:3" x14ac:dyDescent="0.25">
      <c r="A2805" s="98">
        <v>9784044158287620</v>
      </c>
      <c r="B2805">
        <v>0.15</v>
      </c>
      <c r="C2805">
        <v>0.13</v>
      </c>
    </row>
    <row r="2806" spans="1:3" x14ac:dyDescent="0.25">
      <c r="A2806" s="98">
        <v>9787534743850980</v>
      </c>
      <c r="B2806">
        <v>0.08</v>
      </c>
      <c r="C2806">
        <v>0.35</v>
      </c>
    </row>
    <row r="2807" spans="1:3" x14ac:dyDescent="0.25">
      <c r="A2807" s="98">
        <v>9791025370674000</v>
      </c>
      <c r="B2807">
        <v>7.0000000000000007E-2</v>
      </c>
      <c r="C2807">
        <v>0.1</v>
      </c>
    </row>
    <row r="2808" spans="1:3" x14ac:dyDescent="0.25">
      <c r="A2808" s="98">
        <v>9794515940028200</v>
      </c>
      <c r="B2808">
        <v>0.06</v>
      </c>
      <c r="C2808">
        <v>0.01</v>
      </c>
    </row>
    <row r="2809" spans="1:3" x14ac:dyDescent="0.25">
      <c r="A2809" s="98">
        <v>9798006627377530</v>
      </c>
      <c r="B2809">
        <v>0.16</v>
      </c>
      <c r="C2809">
        <v>0.04</v>
      </c>
    </row>
    <row r="2810" spans="1:3" x14ac:dyDescent="0.25">
      <c r="A2810" s="98">
        <v>9801497244415460</v>
      </c>
      <c r="B2810">
        <v>0.19</v>
      </c>
      <c r="C2810">
        <v>0.09</v>
      </c>
    </row>
    <row r="2811" spans="1:3" x14ac:dyDescent="0.25">
      <c r="A2811" s="98">
        <v>9804987747923090</v>
      </c>
      <c r="B2811">
        <v>0.02</v>
      </c>
      <c r="C2811">
        <v>0.45</v>
      </c>
    </row>
    <row r="2812" spans="1:3" x14ac:dyDescent="0.25">
      <c r="A2812" s="98">
        <v>9808478294268800</v>
      </c>
      <c r="B2812">
        <v>0.03</v>
      </c>
      <c r="C2812">
        <v>0.02</v>
      </c>
    </row>
    <row r="2813" spans="1:3" x14ac:dyDescent="0.25">
      <c r="A2813" s="98">
        <v>9811969001028270</v>
      </c>
      <c r="B2813">
        <v>0.12</v>
      </c>
      <c r="C2813">
        <v>0.11</v>
      </c>
    </row>
    <row r="2814" spans="1:3" x14ac:dyDescent="0.25">
      <c r="A2814" s="98">
        <v>9815459609423520</v>
      </c>
      <c r="B2814">
        <v>0.12</v>
      </c>
      <c r="C2814">
        <v>0.19</v>
      </c>
    </row>
    <row r="2815" spans="1:3" x14ac:dyDescent="0.25">
      <c r="A2815" s="98">
        <v>9818950168192380</v>
      </c>
      <c r="B2815">
        <v>0.13</v>
      </c>
      <c r="C2815">
        <v>0.08</v>
      </c>
    </row>
    <row r="2816" spans="1:3" x14ac:dyDescent="0.25">
      <c r="A2816" s="98">
        <v>9822440754451130</v>
      </c>
      <c r="B2816">
        <v>0.04</v>
      </c>
      <c r="C2816">
        <v>7.0000000000000007E-2</v>
      </c>
    </row>
    <row r="2817" spans="1:3" x14ac:dyDescent="0.25">
      <c r="A2817" s="98">
        <v>9825931431960170</v>
      </c>
      <c r="B2817">
        <v>0.06</v>
      </c>
      <c r="C2817">
        <v>0</v>
      </c>
    </row>
    <row r="2818" spans="1:3" x14ac:dyDescent="0.25">
      <c r="A2818" s="98">
        <v>9829421866265710</v>
      </c>
      <c r="B2818">
        <v>0.09</v>
      </c>
      <c r="C2818">
        <v>0.06</v>
      </c>
    </row>
    <row r="2819" spans="1:3" x14ac:dyDescent="0.25">
      <c r="A2819" s="98">
        <v>9832912636432380</v>
      </c>
      <c r="B2819">
        <v>7.0000000000000007E-2</v>
      </c>
      <c r="C2819">
        <v>0.46</v>
      </c>
    </row>
    <row r="2820" spans="1:3" x14ac:dyDescent="0.25">
      <c r="A2820" s="98">
        <v>9836404332639990</v>
      </c>
      <c r="B2820">
        <v>0</v>
      </c>
      <c r="C2820">
        <v>0</v>
      </c>
    </row>
    <row r="2821" spans="1:3" x14ac:dyDescent="0.25">
      <c r="A2821" s="98">
        <v>9839894954600810</v>
      </c>
      <c r="B2821">
        <v>0.17</v>
      </c>
      <c r="C2821">
        <v>0.14000000000000001</v>
      </c>
    </row>
    <row r="2822" spans="1:3" x14ac:dyDescent="0.25">
      <c r="A2822" s="98">
        <v>9843385781469160</v>
      </c>
      <c r="B2822">
        <v>0.16</v>
      </c>
      <c r="C2822">
        <v>0.19</v>
      </c>
    </row>
    <row r="2823" spans="1:3" x14ac:dyDescent="0.25">
      <c r="A2823" s="98">
        <v>9846876330982750</v>
      </c>
      <c r="B2823">
        <v>0.18</v>
      </c>
      <c r="C2823">
        <v>0.14000000000000001</v>
      </c>
    </row>
    <row r="2824" spans="1:3" x14ac:dyDescent="0.25">
      <c r="A2824" s="98">
        <v>9850366800024550</v>
      </c>
      <c r="B2824">
        <v>0.11</v>
      </c>
      <c r="C2824">
        <v>0.04</v>
      </c>
    </row>
    <row r="2825" spans="1:3" x14ac:dyDescent="0.25">
      <c r="A2825" s="98">
        <v>9853857653323140</v>
      </c>
      <c r="B2825">
        <v>0.09</v>
      </c>
      <c r="C2825">
        <v>0.05</v>
      </c>
    </row>
    <row r="2826" spans="1:3" x14ac:dyDescent="0.25">
      <c r="A2826" s="98">
        <v>9857348224570350</v>
      </c>
      <c r="B2826">
        <v>0.11</v>
      </c>
      <c r="C2826">
        <v>0.08</v>
      </c>
    </row>
    <row r="2827" spans="1:3" x14ac:dyDescent="0.25">
      <c r="A2827" s="98">
        <v>9860838773885250</v>
      </c>
      <c r="B2827">
        <v>0.16</v>
      </c>
      <c r="C2827">
        <v>0.05</v>
      </c>
    </row>
    <row r="2828" spans="1:3" x14ac:dyDescent="0.25">
      <c r="A2828" s="98">
        <v>9864329339238220</v>
      </c>
      <c r="B2828">
        <v>0.05</v>
      </c>
      <c r="C2828">
        <v>0.06</v>
      </c>
    </row>
    <row r="2829" spans="1:3" x14ac:dyDescent="0.25">
      <c r="A2829" s="98">
        <v>9867819935977450</v>
      </c>
      <c r="B2829">
        <v>0.08</v>
      </c>
      <c r="C2829">
        <v>0.05</v>
      </c>
    </row>
    <row r="2830" spans="1:3" x14ac:dyDescent="0.25">
      <c r="A2830" s="98">
        <v>9871310411978650</v>
      </c>
      <c r="B2830">
        <v>0.14000000000000001</v>
      </c>
      <c r="C2830">
        <v>0.06</v>
      </c>
    </row>
    <row r="2831" spans="1:3" x14ac:dyDescent="0.25">
      <c r="A2831" s="98">
        <v>9874800979804110</v>
      </c>
      <c r="B2831">
        <v>0.1</v>
      </c>
      <c r="C2831">
        <v>7.0000000000000007E-2</v>
      </c>
    </row>
    <row r="2832" spans="1:3" x14ac:dyDescent="0.25">
      <c r="A2832" s="98">
        <v>9878291366906070</v>
      </c>
      <c r="B2832">
        <v>0.15</v>
      </c>
      <c r="C2832">
        <v>0.25</v>
      </c>
    </row>
    <row r="2833" spans="1:3" x14ac:dyDescent="0.25">
      <c r="A2833" s="98">
        <v>9881781997857270</v>
      </c>
      <c r="B2833">
        <v>0.11</v>
      </c>
      <c r="C2833">
        <v>0.43</v>
      </c>
    </row>
    <row r="2834" spans="1:3" x14ac:dyDescent="0.25">
      <c r="A2834" s="98">
        <v>9885272569027210</v>
      </c>
      <c r="B2834">
        <v>7.0000000000000007E-2</v>
      </c>
      <c r="C2834">
        <v>0</v>
      </c>
    </row>
    <row r="2835" spans="1:3" x14ac:dyDescent="0.25">
      <c r="A2835" s="98">
        <v>9888762873565700</v>
      </c>
      <c r="B2835">
        <v>0.18</v>
      </c>
      <c r="C2835">
        <v>0.15</v>
      </c>
    </row>
    <row r="2836" spans="1:3" x14ac:dyDescent="0.25">
      <c r="A2836" s="98">
        <v>9892253061417070</v>
      </c>
      <c r="B2836">
        <v>0.11</v>
      </c>
      <c r="C2836">
        <v>0.12</v>
      </c>
    </row>
    <row r="2837" spans="1:3" x14ac:dyDescent="0.25">
      <c r="A2837" s="98">
        <v>9895743366380530</v>
      </c>
      <c r="B2837">
        <v>0.19</v>
      </c>
      <c r="C2837">
        <v>0.06</v>
      </c>
    </row>
    <row r="2838" spans="1:3" x14ac:dyDescent="0.25">
      <c r="A2838" s="98">
        <v>9899233714507680</v>
      </c>
      <c r="B2838">
        <v>0.04</v>
      </c>
      <c r="C2838">
        <v>0.1</v>
      </c>
    </row>
    <row r="2839" spans="1:3" x14ac:dyDescent="0.25">
      <c r="A2839" s="98">
        <v>9902724212435660</v>
      </c>
      <c r="B2839">
        <v>0.08</v>
      </c>
      <c r="C2839">
        <v>0.1</v>
      </c>
    </row>
    <row r="2840" spans="1:3" x14ac:dyDescent="0.25">
      <c r="A2840" s="98">
        <v>9906215016527300</v>
      </c>
      <c r="B2840">
        <v>7.0000000000000007E-2</v>
      </c>
      <c r="C2840">
        <v>0.03</v>
      </c>
    </row>
    <row r="2841" spans="1:3" x14ac:dyDescent="0.25">
      <c r="A2841" s="98">
        <v>9909705614359290</v>
      </c>
      <c r="B2841">
        <v>0.11</v>
      </c>
      <c r="C2841">
        <v>0.08</v>
      </c>
    </row>
    <row r="2842" spans="1:3" x14ac:dyDescent="0.25">
      <c r="A2842" s="98">
        <v>9913196245658170</v>
      </c>
      <c r="B2842">
        <v>0.04</v>
      </c>
      <c r="C2842">
        <v>0.02</v>
      </c>
    </row>
    <row r="2843" spans="1:3" x14ac:dyDescent="0.25">
      <c r="A2843" s="98">
        <v>9916686738238290</v>
      </c>
      <c r="B2843">
        <v>0.05</v>
      </c>
      <c r="C2843">
        <v>0.03</v>
      </c>
    </row>
    <row r="2844" spans="1:3" x14ac:dyDescent="0.25">
      <c r="A2844" s="98">
        <v>9920177369686180</v>
      </c>
      <c r="B2844">
        <v>0.18</v>
      </c>
      <c r="C2844">
        <v>0.05</v>
      </c>
    </row>
    <row r="2845" spans="1:3" x14ac:dyDescent="0.25">
      <c r="A2845" s="98">
        <v>9923667842100060</v>
      </c>
      <c r="B2845">
        <v>0.04</v>
      </c>
      <c r="C2845">
        <v>0.04</v>
      </c>
    </row>
    <row r="2846" spans="1:3" x14ac:dyDescent="0.25">
      <c r="A2846" s="98">
        <v>9927158588535250</v>
      </c>
      <c r="B2846">
        <v>7.0000000000000007E-2</v>
      </c>
      <c r="C2846">
        <v>0.05</v>
      </c>
    </row>
    <row r="2847" spans="1:3" x14ac:dyDescent="0.25">
      <c r="A2847" s="98">
        <v>9930649078019240</v>
      </c>
      <c r="B2847">
        <v>0.13</v>
      </c>
      <c r="C2847">
        <v>0.12</v>
      </c>
    </row>
    <row r="2848" spans="1:3" x14ac:dyDescent="0.25">
      <c r="A2848" s="98">
        <v>9934139621671700</v>
      </c>
      <c r="B2848">
        <v>0.17</v>
      </c>
      <c r="C2848">
        <v>0.02</v>
      </c>
    </row>
    <row r="2849" spans="1:3" x14ac:dyDescent="0.25">
      <c r="A2849" s="98">
        <v>9937629989126210</v>
      </c>
      <c r="B2849">
        <v>7.0000000000000007E-2</v>
      </c>
      <c r="C2849">
        <v>0.05</v>
      </c>
    </row>
    <row r="2850" spans="1:3" x14ac:dyDescent="0.25">
      <c r="A2850" s="98">
        <v>9941120383027520</v>
      </c>
      <c r="B2850">
        <v>0.17</v>
      </c>
      <c r="C2850">
        <v>0.14000000000000001</v>
      </c>
    </row>
    <row r="2851" spans="1:3" x14ac:dyDescent="0.25">
      <c r="A2851" s="98">
        <v>9944610920570510</v>
      </c>
      <c r="B2851">
        <v>0.14000000000000001</v>
      </c>
      <c r="C2851">
        <v>0.21</v>
      </c>
    </row>
    <row r="2852" spans="1:3" x14ac:dyDescent="0.25">
      <c r="A2852" s="98">
        <v>9948101558657700</v>
      </c>
      <c r="B2852">
        <v>0.04</v>
      </c>
      <c r="C2852">
        <v>0.02</v>
      </c>
    </row>
    <row r="2853" spans="1:3" x14ac:dyDescent="0.25">
      <c r="A2853" s="98">
        <v>9951591897518540</v>
      </c>
      <c r="B2853">
        <v>0.05</v>
      </c>
      <c r="C2853">
        <v>0.04</v>
      </c>
    </row>
    <row r="2854" spans="1:3" x14ac:dyDescent="0.25">
      <c r="A2854" s="98">
        <v>9955082300526120</v>
      </c>
      <c r="B2854">
        <v>0.03</v>
      </c>
      <c r="C2854">
        <v>0.04</v>
      </c>
    </row>
    <row r="2855" spans="1:3" x14ac:dyDescent="0.25">
      <c r="A2855" s="98">
        <v>9958573004509560</v>
      </c>
      <c r="B2855">
        <v>0.01</v>
      </c>
      <c r="C2855">
        <v>0.09</v>
      </c>
    </row>
    <row r="2856" spans="1:3" x14ac:dyDescent="0.25">
      <c r="A2856" s="98">
        <v>9962063393714250</v>
      </c>
      <c r="B2856">
        <v>7.0000000000000007E-2</v>
      </c>
      <c r="C2856">
        <v>0.42</v>
      </c>
    </row>
    <row r="2857" spans="1:3" x14ac:dyDescent="0.25">
      <c r="A2857" s="98">
        <v>9965554010089900</v>
      </c>
      <c r="B2857">
        <v>7.0000000000000007E-2</v>
      </c>
      <c r="C2857">
        <v>0.04</v>
      </c>
    </row>
    <row r="2858" spans="1:3" x14ac:dyDescent="0.25">
      <c r="A2858" s="98">
        <v>9969044560453400</v>
      </c>
      <c r="B2858">
        <v>0.12</v>
      </c>
      <c r="C2858">
        <v>0.03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E9752-F9A4-481F-9CE3-CA44503790A9}">
  <sheetPr codeName="Sheet14"/>
  <dimension ref="A1:BR41"/>
  <sheetViews>
    <sheetView zoomScale="115" zoomScaleNormal="115" workbookViewId="0">
      <selection activeCell="E23" sqref="E23"/>
    </sheetView>
  </sheetViews>
  <sheetFormatPr defaultRowHeight="15" x14ac:dyDescent="0.25"/>
  <cols>
    <col min="3" max="3" width="12" bestFit="1" customWidth="1"/>
    <col min="4" max="4" width="17.42578125" bestFit="1" customWidth="1"/>
    <col min="5" max="5" width="15" bestFit="1" customWidth="1"/>
    <col min="6" max="6" width="16" bestFit="1" customWidth="1"/>
    <col min="7" max="7" width="13.7109375" bestFit="1" customWidth="1"/>
    <col min="8" max="8" width="21.140625" bestFit="1" customWidth="1"/>
    <col min="9" max="9" width="18.7109375" bestFit="1" customWidth="1"/>
    <col min="10" max="10" width="9.5703125" customWidth="1"/>
    <col min="11" max="11" width="17.5703125" customWidth="1"/>
    <col min="12" max="13" width="16" bestFit="1" customWidth="1"/>
    <col min="14" max="14" width="15.140625" bestFit="1" customWidth="1"/>
    <col min="15" max="15" width="16.5703125" bestFit="1" customWidth="1"/>
    <col min="16" max="16" width="17.85546875" bestFit="1" customWidth="1"/>
    <col min="17" max="17" width="20.140625" bestFit="1" customWidth="1"/>
    <col min="18" max="18" width="14.5703125" bestFit="1" customWidth="1"/>
    <col min="19" max="19" width="14.140625" bestFit="1" customWidth="1"/>
    <col min="20" max="20" width="13.7109375" bestFit="1" customWidth="1"/>
    <col min="21" max="21" width="14.140625" bestFit="1" customWidth="1"/>
    <col min="22" max="22" width="12" bestFit="1" customWidth="1"/>
    <col min="23" max="23" width="13.7109375" bestFit="1" customWidth="1"/>
    <col min="24" max="24" width="11.5703125" bestFit="1" customWidth="1"/>
    <col min="25" max="25" width="13.5703125" bestFit="1" customWidth="1"/>
    <col min="26" max="26" width="17.28515625" bestFit="1" customWidth="1"/>
    <col min="27" max="27" width="18.140625" bestFit="1" customWidth="1"/>
    <col min="28" max="28" width="19.42578125" bestFit="1" customWidth="1"/>
    <col min="29" max="29" width="21" bestFit="1" customWidth="1"/>
    <col min="30" max="30" width="17.28515625" bestFit="1" customWidth="1"/>
    <col min="31" max="31" width="18.85546875" bestFit="1" customWidth="1"/>
    <col min="32" max="32" width="14.5703125" bestFit="1" customWidth="1"/>
    <col min="33" max="33" width="16.140625" bestFit="1" customWidth="1"/>
    <col min="34" max="34" width="19.42578125" bestFit="1" customWidth="1"/>
    <col min="35" max="35" width="21" bestFit="1" customWidth="1"/>
    <col min="36" max="36" width="19.7109375" bestFit="1" customWidth="1"/>
    <col min="37" max="37" width="21.42578125" bestFit="1" customWidth="1"/>
    <col min="38" max="38" width="19.28515625" bestFit="1" customWidth="1"/>
    <col min="39" max="39" width="20.85546875" bestFit="1" customWidth="1"/>
    <col min="40" max="40" width="19" bestFit="1" customWidth="1"/>
    <col min="41" max="41" width="20.5703125" bestFit="1" customWidth="1"/>
    <col min="42" max="42" width="19.42578125" bestFit="1" customWidth="1"/>
    <col min="43" max="43" width="22.140625" bestFit="1" customWidth="1"/>
    <col min="44" max="44" width="12.28515625" bestFit="1" customWidth="1"/>
    <col min="45" max="45" width="14.42578125" bestFit="1" customWidth="1"/>
    <col min="46" max="46" width="21" bestFit="1" customWidth="1"/>
    <col min="47" max="47" width="23.140625" bestFit="1" customWidth="1"/>
    <col min="48" max="48" width="28.42578125" bestFit="1" customWidth="1"/>
    <col min="49" max="49" width="30.5703125" bestFit="1" customWidth="1"/>
    <col min="50" max="50" width="31.28515625" bestFit="1" customWidth="1"/>
    <col min="51" max="51" width="33.28515625" bestFit="1" customWidth="1"/>
    <col min="52" max="52" width="29.28515625" bestFit="1" customWidth="1"/>
    <col min="53" max="53" width="31.42578125" bestFit="1" customWidth="1"/>
    <col min="54" max="54" width="25.85546875" bestFit="1" customWidth="1"/>
    <col min="55" max="55" width="27.85546875" bestFit="1" customWidth="1"/>
    <col min="56" max="56" width="31" bestFit="1" customWidth="1"/>
    <col min="57" max="57" width="33" bestFit="1" customWidth="1"/>
    <col min="58" max="58" width="30.85546875" bestFit="1" customWidth="1"/>
    <col min="59" max="59" width="32.85546875" bestFit="1" customWidth="1"/>
    <col min="60" max="60" width="31.28515625" bestFit="1" customWidth="1"/>
    <col min="61" max="61" width="33.28515625" bestFit="1" customWidth="1"/>
    <col min="62" max="62" width="30.85546875" bestFit="1" customWidth="1"/>
    <col min="63" max="63" width="32.85546875" bestFit="1" customWidth="1"/>
    <col min="64" max="64" width="31.28515625" bestFit="1" customWidth="1"/>
    <col min="65" max="65" width="33.28515625" bestFit="1" customWidth="1"/>
    <col min="66" max="66" width="23.5703125" bestFit="1" customWidth="1"/>
    <col min="67" max="67" width="25.7109375" bestFit="1" customWidth="1"/>
    <col min="68" max="68" width="32.28515625" bestFit="1" customWidth="1"/>
    <col min="69" max="69" width="34.42578125" bestFit="1" customWidth="1"/>
    <col min="70" max="70" width="34.140625" bestFit="1" customWidth="1"/>
  </cols>
  <sheetData>
    <row r="1" spans="1:70" x14ac:dyDescent="0.25">
      <c r="A1" s="93" t="str">
        <f>CellCount_Viability!A1</f>
        <v>Date</v>
      </c>
      <c r="B1" s="93" t="str">
        <f>CellCount_Viability!B1</f>
        <v>Time (h)</v>
      </c>
      <c r="C1" s="93" t="str">
        <f>CellCount_Viability!C1</f>
        <v>Time (days)</v>
      </c>
      <c r="D1" s="93" t="s">
        <v>218</v>
      </c>
      <c r="E1" s="93" t="s">
        <v>219</v>
      </c>
      <c r="F1" s="93" t="s">
        <v>220</v>
      </c>
      <c r="G1" s="93" t="s">
        <v>221</v>
      </c>
      <c r="H1" s="93" t="s">
        <v>222</v>
      </c>
      <c r="I1" s="93" t="s">
        <v>223</v>
      </c>
      <c r="J1" s="93" t="s">
        <v>224</v>
      </c>
      <c r="K1" s="93" t="s">
        <v>225</v>
      </c>
      <c r="L1" s="93" t="s">
        <v>226</v>
      </c>
      <c r="M1" s="93" t="s">
        <v>227</v>
      </c>
      <c r="N1" s="93" t="s">
        <v>228</v>
      </c>
      <c r="O1" s="93" t="s">
        <v>229</v>
      </c>
      <c r="P1" s="93" t="s">
        <v>230</v>
      </c>
      <c r="Q1" s="93" t="s">
        <v>231</v>
      </c>
      <c r="R1" s="93" t="s">
        <v>232</v>
      </c>
      <c r="S1" s="93" t="s">
        <v>233</v>
      </c>
      <c r="T1" s="93" t="s">
        <v>234</v>
      </c>
      <c r="U1" s="93" t="s">
        <v>236</v>
      </c>
      <c r="V1" s="93" t="s">
        <v>235</v>
      </c>
      <c r="W1" s="93" t="s">
        <v>237</v>
      </c>
      <c r="X1" s="93" t="s">
        <v>238</v>
      </c>
      <c r="Y1" s="93" t="s">
        <v>239</v>
      </c>
      <c r="Z1" s="93" t="s">
        <v>240</v>
      </c>
      <c r="AA1" s="93" t="s">
        <v>241</v>
      </c>
      <c r="AB1" s="93" t="s">
        <v>242</v>
      </c>
      <c r="AC1" s="93" t="s">
        <v>243</v>
      </c>
      <c r="AD1" s="93" t="s">
        <v>244</v>
      </c>
      <c r="AE1" s="93" t="s">
        <v>245</v>
      </c>
      <c r="AF1" s="93" t="s">
        <v>246</v>
      </c>
      <c r="AG1" s="93" t="s">
        <v>247</v>
      </c>
      <c r="AH1" s="93" t="s">
        <v>248</v>
      </c>
      <c r="AI1" s="93" t="s">
        <v>249</v>
      </c>
      <c r="AJ1" s="93" t="s">
        <v>250</v>
      </c>
      <c r="AK1" s="93" t="s">
        <v>251</v>
      </c>
      <c r="AL1" s="93" t="s">
        <v>252</v>
      </c>
      <c r="AM1" s="93" t="s">
        <v>253</v>
      </c>
      <c r="AN1" s="93" t="s">
        <v>254</v>
      </c>
      <c r="AO1" s="93" t="s">
        <v>255</v>
      </c>
      <c r="AP1" s="93" t="s">
        <v>256</v>
      </c>
      <c r="AQ1" s="93" t="s">
        <v>257</v>
      </c>
      <c r="AR1" s="93" t="s">
        <v>258</v>
      </c>
      <c r="AS1" s="93" t="s">
        <v>259</v>
      </c>
      <c r="AT1" s="93" t="s">
        <v>260</v>
      </c>
      <c r="AU1" s="93" t="s">
        <v>261</v>
      </c>
      <c r="AV1" s="93" t="s">
        <v>262</v>
      </c>
      <c r="AW1" s="93" t="s">
        <v>263</v>
      </c>
      <c r="AX1" s="93" t="s">
        <v>264</v>
      </c>
      <c r="AY1" s="93" t="s">
        <v>265</v>
      </c>
      <c r="AZ1" s="93" t="s">
        <v>266</v>
      </c>
      <c r="BA1" s="93" t="s">
        <v>267</v>
      </c>
      <c r="BB1" s="93" t="s">
        <v>268</v>
      </c>
      <c r="BC1" s="93" t="s">
        <v>269</v>
      </c>
      <c r="BD1" s="93" t="s">
        <v>270</v>
      </c>
      <c r="BE1" s="93" t="s">
        <v>271</v>
      </c>
      <c r="BF1" s="93" t="s">
        <v>272</v>
      </c>
      <c r="BG1" s="93" t="s">
        <v>273</v>
      </c>
      <c r="BH1" s="93" t="s">
        <v>274</v>
      </c>
      <c r="BI1" s="93" t="s">
        <v>275</v>
      </c>
      <c r="BJ1" s="93" t="s">
        <v>276</v>
      </c>
      <c r="BK1" s="93" t="s">
        <v>277</v>
      </c>
      <c r="BL1" s="93" t="s">
        <v>278</v>
      </c>
      <c r="BM1" s="93" t="s">
        <v>279</v>
      </c>
      <c r="BN1" s="93" t="s">
        <v>280</v>
      </c>
      <c r="BO1" s="93" t="s">
        <v>281</v>
      </c>
      <c r="BP1" s="93" t="s">
        <v>282</v>
      </c>
      <c r="BQ1" s="93" t="s">
        <v>283</v>
      </c>
      <c r="BR1" s="93" t="s">
        <v>284</v>
      </c>
    </row>
    <row r="2" spans="1:70" x14ac:dyDescent="0.25">
      <c r="A2">
        <f>CellCount_Viability!A2</f>
        <v>46268</v>
      </c>
      <c r="B2" s="69">
        <f>CellCount_Viability!B2</f>
        <v>0</v>
      </c>
      <c r="C2" s="63">
        <f>CellCount_Viability!C2</f>
        <v>0</v>
      </c>
      <c r="D2" s="11">
        <f>IF(ISERROR(CellCount_Viability!E2), CellCount_Viability!H2, IF(ISERROR(CellCount_Viability!H2), CellCount_Viability!E2, AVERAGE(CellCount_Viability!E2, CellCount_Viability!H2)))</f>
        <v>4797100</v>
      </c>
      <c r="E2" s="11">
        <f>IF(ISERROR(CellCount_Viability!E2),0,IF(ISERROR(CellCount_Viability!H2),0,STDEV(CellCount_Viability!E2,CellCount_Viability!H2)))</f>
        <v>91782.460198013869</v>
      </c>
      <c r="F2" s="92">
        <f>IF(ISERROR(CellCount_Viability!F2), CellCount_Viability!I2, IF(ISERROR(CellCount_Viability!I2), CellCount_Viability!F2, AVERAGE(CellCount_Viability!F2, CellCount_Viability!I2)))</f>
        <v>0.99791502560392542</v>
      </c>
      <c r="G2" s="92">
        <f>IF(ISERROR(CellCount_Viability!F2),0,IF(ISERROR(CellCount_Viability!I2),0,STDEV(CellCount_Viability!F2,CellCount_Viability!I2)))</f>
        <v>3.9891617752763943E-5</v>
      </c>
      <c r="H2" s="92">
        <f>IF(ISERROR(Cone_viability!E2), Cone_viability!J2, IF(ISERROR(Cone_viability!J2), Cone_viability!E2, AVERAGE(Cone_viability!E2, Cone_viability!J2)))</f>
        <v>0.91857715962083653</v>
      </c>
      <c r="I2" s="92">
        <f>IF(ISERROR(Cone_viability!E2),0,IF(ISERROR(Cone_viability!J2),0,STDEV(Cone_viability!E2,Cone_viability!J2)))</f>
        <v>4.0494903193248723E-3</v>
      </c>
      <c r="J2" s="96">
        <f>IF(ISERROR(Attenuation!D3), Attenuation!E3, IF(ISERROR(Attenuation!E3), Attenuation!D3, AVERAGE(Attenuation!D3, Attenuation!E3)))</f>
        <v>17.2135</v>
      </c>
      <c r="K2" s="96">
        <f>IF(ISERROR(Attenuation!D3),0,IF(ISERROR(Attenuation!E3),0,STDEV(Attenuation!D3,Attenuation!E3)))</f>
        <v>0.12232947314527401</v>
      </c>
      <c r="L2" s="96">
        <f>IF(ISERROR(pH!D3), pH!E3, IF(ISERROR(pH!E3), pH!D3, AVERAGE(pH!D3, pH!E3)))</f>
        <v>5.2514000000000003</v>
      </c>
      <c r="M2" s="96">
        <f>IF(ISERROR(pH!D3),0,IF(ISERROR(pH!E3),0,STDEV(pH!D3,pH!E3)))</f>
        <v>0.39824253916426433</v>
      </c>
      <c r="N2" s="96">
        <f>IF(ISERROR(HPLC!D2), HPLC!J2, IF(ISERROR( HPLC!J2), HPLC!D2, AVERAGE(HPLC!D2,  HPLC!J2)))</f>
        <v>26.705603076878354</v>
      </c>
      <c r="O2" s="96">
        <f>IF(ISERROR( HPLC!D2),0,IF(ISERROR( HPLC!J2),0,STDEV( HPLC!D2, HPLC!J2)))</f>
        <v>2.0674347881660018</v>
      </c>
      <c r="P2" s="96">
        <f>IF(ISERROR(HPLC!E2), HPLC!K2, IF(ISERROR( HPLC!K2), HPLC!E2, AVERAGE(HPLC!E2,  HPLC!K2)))</f>
        <v>84.671135975760237</v>
      </c>
      <c r="Q2" s="96">
        <f>IF(ISERROR( HPLC!E2),0,IF(ISERROR( HPLC!K2),0,STDEV( HPLC!E2, HPLC!K2)))</f>
        <v>3.3245059530356635</v>
      </c>
      <c r="R2" s="96">
        <f>IF(ISERROR(HPLC!F2), HPLC!L2, IF(ISERROR( HPLC!L2), HPLC!F2, AVERAGE(HPLC!F2,  HPLC!L2)))</f>
        <v>19.812511942930957</v>
      </c>
      <c r="S2" s="96">
        <f>IF(ISERROR( HPLC!F2),0,IF(ISERROR( HPLC!L2),0,STDEV( HPLC!F2, HPLC!L2)))</f>
        <v>1.0225983219311789</v>
      </c>
      <c r="T2" s="96">
        <f>IF(ISERROR(HPLC!G2), HPLC!M2, IF(ISERROR( HPLC!M2), HPLC!G2, AVERAGE(HPLC!M2,  HPLC!G2)))</f>
        <v>7.6388237825552503</v>
      </c>
      <c r="U2" s="96">
        <f>IF(ISERROR( HPLC!M2),0,IF(ISERROR( HPLC!G2),0,STDEV( HPLC!M2, HPLC!G2)))</f>
        <v>0.44216391391248278</v>
      </c>
      <c r="V2" s="96">
        <f>IF(ISERROR(HPLC!H2), HPLC!N2, IF(ISERROR( HPLC!N2), HPLC!H2, AVERAGE(HPLC!H2,  HPLC!N2)))</f>
        <v>0</v>
      </c>
      <c r="W2" s="96">
        <f>IF(ISERROR( HPLC!H2),0,IF(ISERROR( HPLC!N2),0,STDEV( HPLC!H2, HPLC!N2)))</f>
        <v>0</v>
      </c>
      <c r="X2" s="96">
        <f>IF(ISERROR(HPLC!I2), HPLC!O2, IF(ISERROR( HPLC!O2), HPLC!I2, AVERAGE(HPLC!I2,  HPLC!O2)))</f>
        <v>0.75289852363031917</v>
      </c>
      <c r="Y2" s="96">
        <f>IF(ISERROR( HPLC!I2),0,IF(ISERROR( HPLC!O2),0,STDEV( HPLC!I2, HPLC!O2)))</f>
        <v>6.2275282869782213E-2</v>
      </c>
      <c r="Z2" s="96">
        <f>IF(ISERROR(GC_esters!D2), GC_esters!N2, IF(ISERROR(GC_esters!N2), GC_esters!D2, AVERAGE(GC_esters!D2,  GC_esters!N2)))</f>
        <v>3.5000000000000003E-2</v>
      </c>
      <c r="AA2" s="96">
        <f>IF(ISERROR(GC_esters!D2),0,IF(ISERROR(GC_esters!N2),0,STDEV(GC_esters!D2, GC_esters!N2)))</f>
        <v>4.9497474683058332E-2</v>
      </c>
      <c r="AB2" s="96">
        <f>IF(ISERROR(GC_esters!F2), GC_esters!P2, IF(ISERROR(GC_esters!P2), GC_esters!F2, AVERAGE(GC_esters!F2,  GC_esters!P2)))</f>
        <v>0</v>
      </c>
      <c r="AC2" s="96">
        <f>IF(ISERROR(GC_esters!F2),0,IF(ISERROR(GC_esters!P2),0,STDEV(GC_esters!F2, GC_esters!P2)))</f>
        <v>0</v>
      </c>
      <c r="AD2" s="96">
        <f>IF(ISERROR(GC_esters!G2), GC_esters!Q2, IF(ISERROR(GC_esters!Q2), GC_esters!G2, AVERAGE(GC_esters!G2,  GC_esters!Q2)))</f>
        <v>0</v>
      </c>
      <c r="AE2" s="96">
        <f>IF(ISERROR(GC_esters!G2),0,IF(ISERROR(GC_esters!Q2),0,STDEV(GC_esters!G2, GC_esters!Q2)))</f>
        <v>0</v>
      </c>
      <c r="AF2" s="96">
        <f>IF(ISERROR(GC_esters!H2), GC_esters!R2, IF(ISERROR(GC_esters!R2), GC_esters!H2, AVERAGE(GC_esters!H2,  GC_esters!R2)))</f>
        <v>0.48749999999999999</v>
      </c>
      <c r="AG2" s="96">
        <f>IF(ISERROR(GC_esters!H2),0,IF(ISERROR(GC_esters!R2),0,STDEV(GC_esters!H2, GC_esters!R2)))</f>
        <v>3.5355339059327407E-3</v>
      </c>
      <c r="AH2" s="96">
        <f>IF(ISERROR(GC_esters!I2), GC_esters!S2, IF(ISERROR(GC_esters!S2), GC_esters!I2, AVERAGE(GC_esters!I2,  GC_esters!S2)))</f>
        <v>0</v>
      </c>
      <c r="AI2" s="96">
        <f>IF(ISERROR(GC_esters!I2),0,IF(ISERROR(GC_esters!S2),0,STDEV(GC_esters!I2, GC_esters!S2)))</f>
        <v>0</v>
      </c>
      <c r="AJ2" s="96">
        <f>IF(ISERROR(GC_esters!J2), GC_esters!T2, IF(ISERROR(GC_esters!T2), GC_esters!J2, AVERAGE(GC_esters!J2,  GC_esters!T2)))</f>
        <v>3.5825</v>
      </c>
      <c r="AK2" s="96">
        <f>IF(ISERROR(GC_esters!J2),0,IF(ISERROR(GC_esters!T2),0,STDEV(GC_esters!J2, GC_esters!T2)))</f>
        <v>8.8388347648318447E-2</v>
      </c>
      <c r="AL2" s="96">
        <f>IF(ISERROR(GC_esters!K2), GC_esters!U2, IF(ISERROR(GC_esters!U2), GC_esters!K2, AVERAGE(GC_esters!K2,  GC_esters!U2)))</f>
        <v>0</v>
      </c>
      <c r="AM2" s="96">
        <f>IF(ISERROR(GC_esters!K2),0,IF(ISERROR(GC_esters!U2),0,STDEV(GC_esters!K2, GC_esters!U2)))</f>
        <v>0</v>
      </c>
      <c r="AN2" s="96">
        <f>IF(ISERROR(GC_esters!L2), GC_esters!V2, IF(ISERROR(GC_esters!V2), GC_esters!L2, AVERAGE(GC_esters!L2,  GC_esters!V2)))</f>
        <v>0</v>
      </c>
      <c r="AO2" s="96">
        <f>IF(ISERROR(GC_esters!L2),0,IF(ISERROR(GC_esters!V2),0,STDEV(GC_esters!L2, GC_esters!V2)))</f>
        <v>0</v>
      </c>
      <c r="AP2" s="96">
        <f>IF(ISERROR(GC_esters!M2), GC_esters!W2, IF(ISERROR(GC_esters!W2), GC_esters!M2, AVERAGE(GC_esters!M2,  GC_esters!W2)))</f>
        <v>0</v>
      </c>
      <c r="AQ2" s="96">
        <f>IF(ISERROR(GC_esters!M2),0,IF(ISERROR(GC_esters!W2),0,STDEV(GC_esters!M2, GC_esters!W2)))</f>
        <v>0</v>
      </c>
      <c r="AR2" s="96">
        <f>IF(ISERROR(GC_ketones!D2), GC_ketones!F2, IF(ISERROR(GC_ketones!F2), GC_ketones!D2, AVERAGE(GC_ketones!D2, GC_ketones!F2)))</f>
        <v>108.7325</v>
      </c>
      <c r="AS2" s="96">
        <f>IF(ISERROR(GC_ketones!D2),0,IF(ISERROR(GC_ketones!F2),0,STDEV(GC_ketones!D2, GC_ketones!F2)))</f>
        <v>5.2361257146863851</v>
      </c>
      <c r="AT2" s="96">
        <f>IF(ISERROR(GC_ketones!E2), GC_ketones!G2, IF(ISERROR(GC_ketones!G2), GC_ketones!E2, AVERAGE(GC_ketones!E2, GC_ketones!G2)))</f>
        <v>24.594999999999999</v>
      </c>
      <c r="AU2" s="96">
        <f>IF(ISERROR(GC_ketones!E2),0,IF(ISERROR(GC_ketones!G2),0,STDEV(GC_ketones!E2, GC_ketones!G2)))</f>
        <v>0.13435028842544242</v>
      </c>
      <c r="AV2">
        <f>Z2*36.6/$X2</f>
        <v>1.701424507811871</v>
      </c>
      <c r="AW2">
        <f>IF(Z2=0,0,SQRT((AA2/Z2)^2+($Y2/$X2)^2))</f>
        <v>1.4166303728748002</v>
      </c>
      <c r="AX2">
        <f t="shared" ref="AX2:BP17" si="0">AB2*36.6/$X2</f>
        <v>0</v>
      </c>
      <c r="AY2">
        <f>IF(AB2=0,0,SQRT((AC2/AB2)^2+($Y2/$X2)^2))</f>
        <v>0</v>
      </c>
      <c r="AZ2">
        <f t="shared" si="0"/>
        <v>0</v>
      </c>
      <c r="BA2">
        <f>IF(AD2=0,0,SQRT((AE2/AD2)^2+($Y2/$X2)^2))</f>
        <v>0</v>
      </c>
      <c r="BB2">
        <f t="shared" si="0"/>
        <v>23.698412787379631</v>
      </c>
      <c r="BC2">
        <f>IF(AF2=0,0,SQRT((AG2/AF2)^2+($Y2/$X2)^2))</f>
        <v>8.3031381579912439E-2</v>
      </c>
      <c r="BD2">
        <f t="shared" si="0"/>
        <v>0</v>
      </c>
      <c r="BE2">
        <f>IF(AH2=0,0,SQRT((AI2/AH2)^2+($Y2/$X2)^2))</f>
        <v>0</v>
      </c>
      <c r="BF2">
        <f t="shared" si="0"/>
        <v>174.15295140674365</v>
      </c>
      <c r="BG2">
        <f>IF(AJ2=0,0,SQRT((AK2/AJ2)^2+($Y2/$X2)^2))</f>
        <v>8.6315314035598292E-2</v>
      </c>
      <c r="BH2">
        <f t="shared" si="0"/>
        <v>0</v>
      </c>
      <c r="BI2">
        <f>IF(AL2=0,0,SQRT((AM2/AL2)^2+($Y2/$X2)^2))</f>
        <v>0</v>
      </c>
      <c r="BJ2">
        <f t="shared" si="0"/>
        <v>0</v>
      </c>
      <c r="BK2">
        <f>IF(AN2=0,0,SQRT((AO2/AN2)^2+($Y2/$X2)^2))</f>
        <v>0</v>
      </c>
      <c r="BL2">
        <f t="shared" si="0"/>
        <v>0</v>
      </c>
      <c r="BM2">
        <f>IF(AP2=0,0,SQRT((AQ2/AP2)^2+($Y2/$X2)^2))</f>
        <v>0</v>
      </c>
      <c r="BN2">
        <f t="shared" si="0"/>
        <v>5285.7182941615501</v>
      </c>
      <c r="BO2">
        <f>IF(AR2=0,0,SQRT((AS2/AR2)^2+($Y2/$X2)^2))</f>
        <v>9.5711110841931055E-2</v>
      </c>
      <c r="BP2">
        <f t="shared" si="0"/>
        <v>1195.6153077037989</v>
      </c>
      <c r="BQ2">
        <f>IF(AT2=0,0,SQRT((AU2/AT2)^2+($Y2/$X2)^2))</f>
        <v>8.2894223577254261E-2</v>
      </c>
      <c r="BR2">
        <f>IF(AND(Z2&lt;&gt;0,AH2&lt;&gt;0),Z2/AH2,0)</f>
        <v>0</v>
      </c>
    </row>
    <row r="3" spans="1:70" x14ac:dyDescent="0.25">
      <c r="A3">
        <f>CellCount_Viability!A3</f>
        <v>46269</v>
      </c>
      <c r="B3" s="69">
        <f>CellCount_Viability!B3</f>
        <v>24</v>
      </c>
      <c r="C3" s="63">
        <f>CellCount_Viability!C3</f>
        <v>1</v>
      </c>
      <c r="D3" s="11">
        <f>IF(ISERROR(CellCount_Viability!E3), CellCount_Viability!H3, IF(ISERROR(CellCount_Viability!H3), CellCount_Viability!E3, AVERAGE(CellCount_Viability!E3, CellCount_Viability!H3)))</f>
        <v>14074500</v>
      </c>
      <c r="E3" s="11">
        <f>IF(ISERROR(CellCount_Viability!E3),0,IF(ISERROR(CellCount_Viability!H3),0,STDEV(CellCount_Viability!E3,CellCount_Viability!H3)))</f>
        <v>142128.46301849606</v>
      </c>
      <c r="F3" s="92">
        <f>IF(ISERROR(CellCount_Viability!F3), CellCount_Viability!I3, IF(ISERROR(CellCount_Viability!I3), CellCount_Viability!F3, AVERAGE(CellCount_Viability!F3, CellCount_Viability!I3)))</f>
        <v>0.99857891791482745</v>
      </c>
      <c r="G3" s="92">
        <f>IF(ISERROR(CellCount_Viability!F3),0,IF(ISERROR(CellCount_Viability!I3),0,STDEV(CellCount_Viability!F3,CellCount_Viability!I3)))</f>
        <v>1.4350507129070581E-5</v>
      </c>
      <c r="J3" s="96">
        <f>IF(ISERROR(Attenuation!D4), Attenuation!E4, IF(ISERROR(Attenuation!E4), Attenuation!D4, AVERAGE(Attenuation!D4, Attenuation!E4)))</f>
        <v>16.766999999999999</v>
      </c>
      <c r="K3" s="96">
        <f>IF(ISERROR(Attenuation!D4),0,IF(ISERROR(Attenuation!E4),0,STDEV(Attenuation!D4,Attenuation!E4)))</f>
        <v>0.3775950211536156</v>
      </c>
      <c r="L3" s="96">
        <f>IF(ISERROR(pH!D4), pH!E4, IF(ISERROR(pH!E4), pH!D4, AVERAGE(pH!D4, pH!E4)))</f>
        <v>4.8178000000000001</v>
      </c>
      <c r="M3" s="96">
        <f>IF(ISERROR(pH!D4),0,IF(ISERROR(pH!E4),0,STDEV(pH!D4,pH!E4)))</f>
        <v>8.1741543905165318E-2</v>
      </c>
      <c r="N3" s="96">
        <f>IF(ISERROR(HPLC!D3), HPLC!J3, IF(ISERROR( HPLC!J3), HPLC!D3, AVERAGE(HPLC!D3,  HPLC!J3)))</f>
        <v>29.295838431226059</v>
      </c>
      <c r="O3" s="96">
        <f>IF(ISERROR( HPLC!D3),0,IF(ISERROR( HPLC!J3),0,STDEV( HPLC!D3, HPLC!J3)))</f>
        <v>0.20223462248908672</v>
      </c>
      <c r="P3" s="96">
        <f>IF(ISERROR(HPLC!E3), HPLC!K3, IF(ISERROR( HPLC!K3), HPLC!E3, AVERAGE(HPLC!E3,  HPLC!K3)))</f>
        <v>82.677888677595504</v>
      </c>
      <c r="Q3" s="96">
        <f>IF(ISERROR( HPLC!E3),0,IF(ISERROR( HPLC!K3),0,STDEV( HPLC!E3, HPLC!K3)))</f>
        <v>2.5450400211983282</v>
      </c>
      <c r="R3" s="96">
        <f>IF(ISERROR(HPLC!F3), HPLC!L3, IF(ISERROR( HPLC!L3), HPLC!F3, AVERAGE(HPLC!F3,  HPLC!L3)))</f>
        <v>15.747712602827903</v>
      </c>
      <c r="S3" s="96">
        <f>IF(ISERROR( HPLC!F3),0,IF(ISERROR( HPLC!L3),0,STDEV( HPLC!F3, HPLC!L3)))</f>
        <v>0.93536927379220935</v>
      </c>
      <c r="T3" s="96">
        <f>IF(ISERROR(HPLC!G3), HPLC!M3, IF(ISERROR( HPLC!M3), HPLC!G3, AVERAGE(HPLC!M3,  HPLC!G3)))</f>
        <v>6.5422230789835147</v>
      </c>
      <c r="U3" s="96">
        <f>IF(ISERROR( HPLC!M3),0,IF(ISERROR( HPLC!G3),0,STDEV( HPLC!M3, HPLC!G3)))</f>
        <v>0.23883094042978731</v>
      </c>
      <c r="V3" s="96">
        <f>IF(ISERROR(HPLC!H3), HPLC!N3, IF(ISERROR( HPLC!N3), HPLC!H3, AVERAGE(HPLC!H3,  HPLC!N3)))</f>
        <v>0.46667937048226327</v>
      </c>
      <c r="W3" s="96">
        <f>IF(ISERROR( HPLC!H3),0,IF(ISERROR( HPLC!N3),0,STDEV( HPLC!H3, HPLC!N3)))</f>
        <v>1.5651413445534285E-3</v>
      </c>
      <c r="X3" s="96">
        <f>IF(ISERROR(HPLC!I3), HPLC!O3, IF(ISERROR( HPLC!O3), HPLC!I3, AVERAGE(HPLC!I3,  HPLC!O3)))</f>
        <v>4.1391283380906412</v>
      </c>
      <c r="Y3" s="96">
        <f>IF(ISERROR( HPLC!I3),0,IF(ISERROR( HPLC!O3),0,STDEV( HPLC!I3, HPLC!O3)))</f>
        <v>0.25260998467025386</v>
      </c>
      <c r="Z3" s="96">
        <f>IF(ISERROR(GC_esters!D3), GC_esters!N3, IF(ISERROR(GC_esters!N3), GC_esters!D3, AVERAGE(GC_esters!D3,  GC_esters!N3)))</f>
        <v>0.48749999999999999</v>
      </c>
      <c r="AA3" s="96">
        <f>IF(ISERROR(GC_esters!D3),0,IF(ISERROR(GC_esters!N3),0,STDEV(GC_esters!D3, GC_esters!N3)))</f>
        <v>2.4748737341529183E-2</v>
      </c>
      <c r="AB3" s="96">
        <f>IF(ISERROR(GC_esters!F3), GC_esters!P3, IF(ISERROR(GC_esters!P3), GC_esters!F3, AVERAGE(GC_esters!F3,  GC_esters!P3)))</f>
        <v>0</v>
      </c>
      <c r="AC3" s="96">
        <f>IF(ISERROR(GC_esters!F3),0,IF(ISERROR(GC_esters!P3),0,STDEV(GC_esters!F3, GC_esters!P3)))</f>
        <v>0</v>
      </c>
      <c r="AD3" s="96">
        <f>IF(ISERROR(GC_esters!G3), GC_esters!Q3, IF(ISERROR(GC_esters!Q3), GC_esters!G3, AVERAGE(GC_esters!G3,  GC_esters!Q3)))</f>
        <v>0.13250000000000001</v>
      </c>
      <c r="AE3" s="96">
        <f>IF(ISERROR(GC_esters!G3),0,IF(ISERROR(GC_esters!Q3),0,STDEV(GC_esters!G3, GC_esters!Q3)))</f>
        <v>3.5355339059327407E-3</v>
      </c>
      <c r="AF3" s="96">
        <f>IF(ISERROR(GC_esters!H3), GC_esters!R3, IF(ISERROR(GC_esters!R3), GC_esters!H3, AVERAGE(GC_esters!H3,  GC_esters!R3)))</f>
        <v>2.0724999999999998</v>
      </c>
      <c r="AG3" s="96">
        <f>IF(ISERROR(GC_esters!H3),0,IF(ISERROR(GC_esters!R3),0,STDEV(GC_esters!H3, GC_esters!R3)))</f>
        <v>0.13081475451951133</v>
      </c>
      <c r="AH3" s="96">
        <f>IF(ISERROR(GC_esters!I3), GC_esters!S3, IF(ISERROR(GC_esters!S3), GC_esters!I3, AVERAGE(GC_esters!I3,  GC_esters!S3)))</f>
        <v>6.5000000000000002E-2</v>
      </c>
      <c r="AI3" s="96">
        <f>IF(ISERROR(GC_esters!I3),0,IF(ISERROR(GC_esters!S3),0,STDEV(GC_esters!I3, GC_esters!S3)))</f>
        <v>7.0710678118654814E-3</v>
      </c>
      <c r="AJ3" s="96">
        <f>IF(ISERROR(GC_esters!J3), GC_esters!T3, IF(ISERROR(GC_esters!T3), GC_esters!J3, AVERAGE(GC_esters!J3,  GC_esters!T3)))</f>
        <v>20.185000000000002</v>
      </c>
      <c r="AK3" s="96">
        <f>IF(ISERROR(GC_esters!J3),0,IF(ISERROR(GC_esters!T3),0,STDEV(GC_esters!J3, GC_esters!T3)))</f>
        <v>1.1384419177103435</v>
      </c>
      <c r="AL3" s="96">
        <f>IF(ISERROR(GC_esters!K3), GC_esters!U3, IF(ISERROR(GC_esters!U3), GC_esters!K3, AVERAGE(GC_esters!K3,  GC_esters!U3)))</f>
        <v>0</v>
      </c>
      <c r="AM3" s="96">
        <f>IF(ISERROR(GC_esters!K3),0,IF(ISERROR(GC_esters!U3),0,STDEV(GC_esters!K3, GC_esters!U3)))</f>
        <v>0</v>
      </c>
      <c r="AN3" s="96">
        <f>IF(ISERROR(GC_esters!L3), GC_esters!V3, IF(ISERROR(GC_esters!V3), GC_esters!L3, AVERAGE(GC_esters!L3,  GC_esters!V3)))</f>
        <v>0</v>
      </c>
      <c r="AO3" s="96">
        <f>IF(ISERROR(GC_esters!L3),0,IF(ISERROR(GC_esters!V3),0,STDEV(GC_esters!L3, GC_esters!V3)))</f>
        <v>0</v>
      </c>
      <c r="AP3" s="96">
        <f>IF(ISERROR(GC_esters!M3), GC_esters!W3, IF(ISERROR(GC_esters!W3), GC_esters!M3, AVERAGE(GC_esters!M3,  GC_esters!W3)))</f>
        <v>0</v>
      </c>
      <c r="AQ3" s="96">
        <f>IF(ISERROR(GC_esters!M3),0,IF(ISERROR(GC_esters!W3),0,STDEV(GC_esters!M3, GC_esters!W3)))</f>
        <v>0</v>
      </c>
      <c r="AR3" s="96">
        <f>IF(ISERROR(GC_ketones!D3), GC_ketones!F3, IF(ISERROR(GC_ketones!F3), GC_ketones!D3, AVERAGE(GC_ketones!D3, GC_ketones!F3)))</f>
        <v>624.07000000000005</v>
      </c>
      <c r="AS3" s="96">
        <f>IF(ISERROR(GC_ketones!D3),0,IF(ISERROR(GC_ketones!F3),0,STDEV(GC_ketones!D3, GC_ketones!F3)))</f>
        <v>3.1890515831513229</v>
      </c>
      <c r="AT3" s="96">
        <f>IF(ISERROR(GC_ketones!E3), GC_ketones!G3, IF(ISERROR(GC_ketones!G3), GC_ketones!E3, AVERAGE(GC_ketones!E3, GC_ketones!G3)))</f>
        <v>375.86500000000001</v>
      </c>
      <c r="AU3" s="96">
        <f>IF(ISERROR(GC_ketones!E3),0,IF(ISERROR(GC_ketones!G3),0,STDEV(GC_ketones!E3, GC_ketones!G3)))</f>
        <v>11.886464991745825</v>
      </c>
      <c r="AV3">
        <f>Z3*36.6/$X3</f>
        <v>4.3106902088062959</v>
      </c>
      <c r="AW3">
        <f t="shared" ref="AW3:AW21" si="1">IF(Z3=0,0,SQRT((AA3/Z3)^2+(Y3/X3)^2))</f>
        <v>7.9384398301999559E-2</v>
      </c>
      <c r="AX3">
        <f t="shared" si="0"/>
        <v>0</v>
      </c>
      <c r="AY3">
        <f t="shared" ref="AY3:AY21" si="2">IF(AB3=0,0,SQRT((AC3/AB3)^2+($Y3/$X3)^2))</f>
        <v>0</v>
      </c>
      <c r="AZ3">
        <f t="shared" si="0"/>
        <v>1.1716234926499163</v>
      </c>
      <c r="BA3">
        <f t="shared" ref="BA3:BA21" si="3">IF(AD3=0,0,SQRT((AE3/AD3)^2+($Y3/$X3)^2))</f>
        <v>6.6608017818884702E-2</v>
      </c>
      <c r="BB3">
        <f t="shared" si="0"/>
        <v>18.325959913335481</v>
      </c>
      <c r="BC3">
        <f t="shared" ref="BC3:BC21" si="4">IF(AF3=0,0,SQRT((AG3/AF3)^2+($Y3/$X3)^2))</f>
        <v>8.7799073111349449E-2</v>
      </c>
      <c r="BD3">
        <f t="shared" si="0"/>
        <v>0.57475869450750605</v>
      </c>
      <c r="BE3">
        <f t="shared" ref="BE3:BE21" si="5">IF(AH3=0,0,SQRT((AI3/AH3)^2+($Y3/$X3)^2))</f>
        <v>0.12473552185474956</v>
      </c>
      <c r="BF3">
        <f t="shared" si="0"/>
        <v>178.48468074821554</v>
      </c>
      <c r="BG3">
        <f t="shared" ref="BG3:BG21" si="6">IF(AJ3=0,0,SQRT((AK3/AJ3)^2+($Y3/$X3)^2))</f>
        <v>8.3100151218325535E-2</v>
      </c>
      <c r="BH3">
        <f t="shared" si="0"/>
        <v>0</v>
      </c>
      <c r="BI3">
        <f t="shared" ref="BI3:BI21" si="7">IF(AL3=0,0,SQRT((AM3/AL3)^2+($Y3/$X3)^2))</f>
        <v>0</v>
      </c>
      <c r="BJ3">
        <f t="shared" si="0"/>
        <v>0</v>
      </c>
      <c r="BK3">
        <f t="shared" ref="BK3:BK21" si="8">IF(AN3=0,0,SQRT((AO3/AN3)^2+($Y3/$X3)^2))</f>
        <v>0</v>
      </c>
      <c r="BL3">
        <f t="shared" si="0"/>
        <v>0</v>
      </c>
      <c r="BM3">
        <f t="shared" ref="BM3:BM21" si="9">IF(AP3=0,0,SQRT((AQ3/AP3)^2+($Y3/$X3)^2))</f>
        <v>0</v>
      </c>
      <c r="BN3">
        <f t="shared" si="0"/>
        <v>5518.302438173836</v>
      </c>
      <c r="BO3">
        <f t="shared" ref="BO3:BO21" si="10">IF(AR3=0,0,SQRT((AS3/AR3)^2+($Y3/$X3)^2))</f>
        <v>6.1243316926561382E-2</v>
      </c>
      <c r="BP3">
        <f t="shared" si="0"/>
        <v>3323.5642570932891</v>
      </c>
      <c r="BQ3">
        <f t="shared" ref="BQ3:BQ21" si="11">IF(AT3=0,0,SQRT((AU3/AT3)^2+($Y3/$X3)^2))</f>
        <v>6.8736648237183035E-2</v>
      </c>
      <c r="BR3">
        <f t="shared" ref="BR3:BR21" si="12">IF(AND(Z3&lt;&gt;0,AH3&lt;&gt;0),Z3/AH3,0)</f>
        <v>7.5</v>
      </c>
    </row>
    <row r="4" spans="1:70" x14ac:dyDescent="0.25">
      <c r="A4">
        <f>CellCount_Viability!A4</f>
        <v>46270</v>
      </c>
      <c r="B4" s="69">
        <f>CellCount_Viability!B4</f>
        <v>48</v>
      </c>
      <c r="C4" s="63">
        <f>CellCount_Viability!C4</f>
        <v>2</v>
      </c>
      <c r="D4" s="11">
        <f>IF(ISERROR(CellCount_Viability!E4), CellCount_Viability!H4, IF(ISERROR(CellCount_Viability!H4), CellCount_Viability!E4, AVERAGE(CellCount_Viability!E4, CellCount_Viability!H4)))</f>
        <v>32080400</v>
      </c>
      <c r="E4" s="11">
        <f>IF(ISERROR(CellCount_Viability!E4),0,IF(ISERROR(CellCount_Viability!H4),0,STDEV(CellCount_Viability!E4,CellCount_Viability!H4)))</f>
        <v>721814.60223522515</v>
      </c>
      <c r="F4" s="92">
        <f>IF(ISERROR(CellCount_Viability!F4), CellCount_Viability!I4, IF(ISERROR(CellCount_Viability!I4), CellCount_Viability!F4, AVERAGE(CellCount_Viability!F4, CellCount_Viability!I4)))</f>
        <v>0.99906461279190439</v>
      </c>
      <c r="G4" s="92">
        <f>IF(ISERROR(CellCount_Viability!F4),0,IF(ISERROR(CellCount_Viability!I4),0,STDEV(CellCount_Viability!F4,CellCount_Viability!I4)))</f>
        <v>2.1046375529850527E-5</v>
      </c>
      <c r="J4" s="96">
        <f>IF(ISERROR(Attenuation!D5), Attenuation!E5, IF(ISERROR(Attenuation!E5), Attenuation!D5, AVERAGE(Attenuation!D5, Attenuation!E5)))</f>
        <v>14.624500000000001</v>
      </c>
      <c r="K4" s="96">
        <f>IF(ISERROR(Attenuation!D5),0,IF(ISERROR(Attenuation!E5),0,STDEV(Attenuation!D5,Attenuation!E5)))</f>
        <v>0.94115912575929561</v>
      </c>
      <c r="L4" s="96">
        <f>IF(ISERROR(pH!D5), pH!E5, IF(ISERROR(pH!E5), pH!D5, AVERAGE(pH!D5, pH!E5)))</f>
        <v>4.7288999999999994</v>
      </c>
      <c r="M4" s="96">
        <f>IF(ISERROR(pH!D5),0,IF(ISERROR(pH!E5),0,STDEV(pH!D5,pH!E5)))</f>
        <v>0.35935166619900438</v>
      </c>
      <c r="N4" s="96">
        <f>IF(ISERROR(HPLC!D4), HPLC!J4, IF(ISERROR( HPLC!J4), HPLC!D4, AVERAGE(HPLC!D4,  HPLC!J4)))</f>
        <v>25.488594203373225</v>
      </c>
      <c r="O4" s="96">
        <f>IF(ISERROR( HPLC!D4),0,IF(ISERROR( HPLC!J4),0,STDEV( HPLC!D4, HPLC!J4)))</f>
        <v>0.63730956673432626</v>
      </c>
      <c r="P4" s="96">
        <f>IF(ISERROR(HPLC!E4), HPLC!K4, IF(ISERROR( HPLC!K4), HPLC!E4, AVERAGE(HPLC!E4,  HPLC!K4)))</f>
        <v>72.40676582531448</v>
      </c>
      <c r="Q4" s="96">
        <f>IF(ISERROR( HPLC!E4),0,IF(ISERROR( HPLC!K4),0,STDEV( HPLC!E4, HPLC!K4)))</f>
        <v>0.20689890089547422</v>
      </c>
      <c r="R4" s="96">
        <f>IF(ISERROR(HPLC!F4), HPLC!L4, IF(ISERROR( HPLC!L4), HPLC!F4, AVERAGE(HPLC!F4,  HPLC!L4)))</f>
        <v>13.690986981284263</v>
      </c>
      <c r="S4" s="96">
        <f>IF(ISERROR( HPLC!F4),0,IF(ISERROR( HPLC!L4),0,STDEV( HPLC!F4, HPLC!L4)))</f>
        <v>6.1988394619456967E-2</v>
      </c>
      <c r="T4" s="96">
        <f>IF(ISERROR(HPLC!G4), HPLC!M4, IF(ISERROR( HPLC!M4), HPLC!G4, AVERAGE(HPLC!M4,  HPLC!G4)))</f>
        <v>5.8892556051358529</v>
      </c>
      <c r="U4" s="96">
        <f>IF(ISERROR( HPLC!M4),0,IF(ISERROR( HPLC!G4),0,STDEV( HPLC!M4, HPLC!G4)))</f>
        <v>0.21257922460499701</v>
      </c>
      <c r="V4" s="96">
        <f>IF(ISERROR(HPLC!H4), HPLC!N4, IF(ISERROR( HPLC!N4), HPLC!H4, AVERAGE(HPLC!H4,  HPLC!N4)))</f>
        <v>0.40511667581498023</v>
      </c>
      <c r="W4" s="96">
        <f>IF(ISERROR( HPLC!H4),0,IF(ISERROR( HPLC!N4),0,STDEV( HPLC!H4, HPLC!N4)))</f>
        <v>2.2979978794893188E-2</v>
      </c>
      <c r="X4" s="96">
        <f>IF(ISERROR(HPLC!I4), HPLC!O4, IF(ISERROR( HPLC!O4), HPLC!I4, AVERAGE(HPLC!I4,  HPLC!O4)))</f>
        <v>3.5622508869622278</v>
      </c>
      <c r="Y4" s="96">
        <f>IF(ISERROR( HPLC!I4),0,IF(ISERROR( HPLC!O4),0,STDEV( HPLC!I4, HPLC!O4)))</f>
        <v>0.14940511078525551</v>
      </c>
      <c r="Z4" s="96">
        <f>IF(ISERROR(GC_esters!D4), GC_esters!N4, IF(ISERROR(GC_esters!N4), GC_esters!D4, AVERAGE(GC_esters!D4,  GC_esters!N4)))</f>
        <v>6.1380249999999998</v>
      </c>
      <c r="AA4" s="96">
        <f>IF(ISERROR(GC_esters!D4),0,IF(ISERROR(GC_esters!N4),0,STDEV(GC_esters!D4, GC_esters!N4)))</f>
        <v>0.52781985681669918</v>
      </c>
      <c r="AB4" s="96">
        <f>IF(ISERROR(GC_esters!F4), GC_esters!P4, IF(ISERROR(GC_esters!P4), GC_esters!F4, AVERAGE(GC_esters!F4,  GC_esters!P4)))</f>
        <v>4.1075E-2</v>
      </c>
      <c r="AC4" s="96">
        <f>IF(ISERROR(GC_esters!F4),0,IF(ISERROR(GC_esters!P4),0,STDEV(GC_esters!F4, GC_esters!P4)))</f>
        <v>5.4800775541957482E-3</v>
      </c>
      <c r="AD4" s="96">
        <f>IF(ISERROR(GC_esters!G4), GC_esters!Q4, IF(ISERROR(GC_esters!Q4), GC_esters!G4, AVERAGE(GC_esters!G4,  GC_esters!Q4)))</f>
        <v>0.24409999999999998</v>
      </c>
      <c r="AE4" s="96">
        <f>IF(ISERROR(GC_esters!G4),0,IF(ISERROR(GC_esters!Q4),0,STDEV(GC_esters!G4, GC_esters!Q4)))</f>
        <v>7.9195959492893431E-3</v>
      </c>
      <c r="AF4" s="96">
        <f>IF(ISERROR(GC_esters!H4), GC_esters!R4, IF(ISERROR(GC_esters!R4), GC_esters!H4, AVERAGE(GC_esters!H4,  GC_esters!R4)))</f>
        <v>4.305275</v>
      </c>
      <c r="AG4" s="96">
        <f>IF(ISERROR(GC_esters!H4),0,IF(ISERROR(GC_esters!R4),0,STDEV(GC_esters!H4, GC_esters!R4)))</f>
        <v>0.18013545250727395</v>
      </c>
      <c r="AH4" s="96">
        <f>IF(ISERROR(GC_esters!I4), GC_esters!S4, IF(ISERROR(GC_esters!S4), GC_esters!I4, AVERAGE(GC_esters!I4,  GC_esters!S4)))</f>
        <v>1.2461000000000002</v>
      </c>
      <c r="AI4" s="96">
        <f>IF(ISERROR(GC_esters!I4),0,IF(ISERROR(GC_esters!S4),0,STDEV(GC_esters!I4, GC_esters!S4)))</f>
        <v>0.11448058787410216</v>
      </c>
      <c r="AJ4" s="96">
        <f>IF(ISERROR(GC_esters!J4), GC_esters!T4, IF(ISERROR(GC_esters!T4), GC_esters!J4, AVERAGE(GC_esters!J4,  GC_esters!T4)))</f>
        <v>33.701774999999998</v>
      </c>
      <c r="AK4" s="96">
        <f>IF(ISERROR(GC_esters!J4),0,IF(ISERROR(GC_esters!T4),0,STDEV(GC_esters!J4, GC_esters!T4)))</f>
        <v>1.2776358875869114</v>
      </c>
      <c r="AL4" s="96">
        <f>IF(ISERROR(GC_esters!K4), GC_esters!U4, IF(ISERROR(GC_esters!U4), GC_esters!K4, AVERAGE(GC_esters!K4,  GC_esters!U4)))</f>
        <v>0.17127500000000001</v>
      </c>
      <c r="AM4" s="96">
        <f>IF(ISERROR(GC_esters!K4),0,IF(ISERROR(GC_esters!U4),0,STDEV(GC_esters!K4, GC_esters!U4)))</f>
        <v>5.4800775541957482E-3</v>
      </c>
      <c r="AN4" s="96">
        <f>IF(ISERROR(GC_esters!L4), GC_esters!V4, IF(ISERROR(GC_esters!V4), GC_esters!L4, AVERAGE(GC_esters!L4,  GC_esters!V4)))</f>
        <v>1.160175</v>
      </c>
      <c r="AO4" s="96">
        <f>IF(ISERROR(GC_esters!L4),0,IF(ISERROR(GC_esters!V4),0,STDEV(GC_esters!L4, GC_esters!V4)))</f>
        <v>2.3016325727622178E-2</v>
      </c>
      <c r="AP4" s="96">
        <f>IF(ISERROR(GC_esters!M4), GC_esters!W4, IF(ISERROR(GC_esters!W4), GC_esters!M4, AVERAGE(GC_esters!M4,  GC_esters!W4)))</f>
        <v>2.2203750000000002</v>
      </c>
      <c r="AQ4" s="96">
        <f>IF(ISERROR(GC_esters!M4),0,IF(ISERROR(GC_esters!W4),0,STDEV(GC_esters!M4, GC_esters!W4)))</f>
        <v>0.28167598628566104</v>
      </c>
      <c r="AR4" s="96">
        <f>IF(ISERROR(GC_ketones!D4), GC_ketones!F4, IF(ISERROR(GC_ketones!F4), GC_ketones!D4, AVERAGE(GC_ketones!D4, GC_ketones!F4)))</f>
        <v>692.5</v>
      </c>
      <c r="AS4" s="96">
        <f>IF(ISERROR(GC_ketones!D4),0,IF(ISERROR(GC_ketones!F4),0,STDEV(GC_ketones!D4, GC_ketones!F4)))</f>
        <v>7.0710678118654755</v>
      </c>
      <c r="AT4" s="96">
        <f>IF(ISERROR(GC_ketones!E4), GC_ketones!G4, IF(ISERROR(GC_ketones!G4), GC_ketones!E4, AVERAGE(GC_ketones!E4, GC_ketones!G4)))</f>
        <v>469.25</v>
      </c>
      <c r="AU4" s="96">
        <f>IF(ISERROR(GC_ketones!E4),0,IF(ISERROR(GC_ketones!G4),0,STDEV(GC_ketones!E4, GC_ketones!G4)))</f>
        <v>25.102290732122437</v>
      </c>
      <c r="AV4">
        <f>Z4*36.6/X4</f>
        <v>63.064540406803211</v>
      </c>
      <c r="AW4">
        <f t="shared" si="1"/>
        <v>9.5674739637720482E-2</v>
      </c>
      <c r="AX4">
        <f t="shared" si="0"/>
        <v>0.42202108939104066</v>
      </c>
      <c r="AY4">
        <f t="shared" si="2"/>
        <v>0.13985347280505647</v>
      </c>
      <c r="AZ4">
        <f t="shared" si="0"/>
        <v>2.5079816900877181</v>
      </c>
      <c r="BA4">
        <f t="shared" si="3"/>
        <v>5.3025298912417529E-2</v>
      </c>
      <c r="BB4">
        <f t="shared" si="0"/>
        <v>44.234128925818929</v>
      </c>
      <c r="BC4">
        <f t="shared" si="4"/>
        <v>5.9242755156885998E-2</v>
      </c>
      <c r="BD4">
        <f t="shared" si="0"/>
        <v>12.802933158616575</v>
      </c>
      <c r="BE4">
        <f t="shared" si="5"/>
        <v>0.10099190843476302</v>
      </c>
      <c r="BF4">
        <f t="shared" si="0"/>
        <v>346.26560681464969</v>
      </c>
      <c r="BG4">
        <f t="shared" si="6"/>
        <v>5.6535269955434654E-2</v>
      </c>
      <c r="BH4">
        <f t="shared" si="0"/>
        <v>1.7597483161399996</v>
      </c>
      <c r="BI4">
        <f t="shared" si="7"/>
        <v>5.2752204865833548E-2</v>
      </c>
      <c r="BJ4">
        <f t="shared" si="0"/>
        <v>11.9201051097809</v>
      </c>
      <c r="BK4">
        <f t="shared" si="8"/>
        <v>4.6396527584780335E-2</v>
      </c>
      <c r="BL4">
        <f t="shared" si="0"/>
        <v>22.813026813308142</v>
      </c>
      <c r="BM4">
        <f t="shared" si="9"/>
        <v>0.13361300391638478</v>
      </c>
      <c r="BN4">
        <f t="shared" si="0"/>
        <v>7115.0238442676964</v>
      </c>
      <c r="BO4">
        <f t="shared" si="10"/>
        <v>4.3166284424760837E-2</v>
      </c>
      <c r="BP4">
        <f t="shared" si="0"/>
        <v>4821.2634497077488</v>
      </c>
      <c r="BQ4">
        <f t="shared" si="11"/>
        <v>6.7975920825126102E-2</v>
      </c>
      <c r="BR4">
        <f t="shared" si="12"/>
        <v>4.925788459995184</v>
      </c>
    </row>
    <row r="5" spans="1:70" x14ac:dyDescent="0.25">
      <c r="A5">
        <f>CellCount_Viability!A5</f>
        <v>46271</v>
      </c>
      <c r="B5" s="69">
        <f>CellCount_Viability!B5</f>
        <v>72</v>
      </c>
      <c r="C5" s="63">
        <f>CellCount_Viability!C5</f>
        <v>3</v>
      </c>
      <c r="D5" s="11">
        <f>IF(ISERROR(CellCount_Viability!E5), CellCount_Viability!H5, IF(ISERROR(CellCount_Viability!H5), CellCount_Viability!E5, AVERAGE(CellCount_Viability!E5, CellCount_Viability!H5)))</f>
        <v>42353400</v>
      </c>
      <c r="E5" s="11">
        <f>IF(ISERROR(CellCount_Viability!E5),0,IF(ISERROR(CellCount_Viability!H5),0,STDEV(CellCount_Viability!E5,CellCount_Viability!H5)))</f>
        <v>2052589.5644283101</v>
      </c>
      <c r="F5" s="92">
        <f>IF(ISERROR(CellCount_Viability!F5), CellCount_Viability!I5, IF(ISERROR(CellCount_Viability!I5), CellCount_Viability!F5, AVERAGE(CellCount_Viability!F5, CellCount_Viability!I5)))</f>
        <v>0.9990544553862879</v>
      </c>
      <c r="G5" s="92">
        <f>IF(ISERROR(CellCount_Viability!F5),0,IF(ISERROR(CellCount_Viability!I5),0,STDEV(CellCount_Viability!F5,CellCount_Viability!I5)))</f>
        <v>4.5824302341820728E-5</v>
      </c>
      <c r="J5" s="96">
        <f>IF(ISERROR(Attenuation!D6), Attenuation!E6, IF(ISERROR(Attenuation!E6), Attenuation!D6, AVERAGE(Attenuation!D6, Attenuation!E6)))</f>
        <v>12.257000000000001</v>
      </c>
      <c r="K5" s="96">
        <f>IF(ISERROR(Attenuation!D6),0,IF(ISERROR(Attenuation!E6),0,STDEV(Attenuation!D6,Attenuation!E6)))</f>
        <v>0.16829141392239924</v>
      </c>
      <c r="L5" s="96">
        <f>IF(ISERROR(pH!D6), pH!E6, IF(ISERROR(pH!E6), pH!D6, AVERAGE(pH!D6, pH!E6)))</f>
        <v>4.5528000000000004</v>
      </c>
      <c r="M5" s="96">
        <f>IF(ISERROR(pH!D6),0,IF(ISERROR(pH!E6),0,STDEV(pH!D6,pH!E6)))</f>
        <v>9.1641038841776518E-2</v>
      </c>
      <c r="N5" s="96">
        <f>IF(ISERROR(HPLC!D5), HPLC!J5, IF(ISERROR( HPLC!J5), HPLC!D5, AVERAGE(HPLC!D5,  HPLC!J5)))</f>
        <v>25.984788822816171</v>
      </c>
      <c r="O5" s="96">
        <f>IF(ISERROR( HPLC!D5),0,IF(ISERROR( HPLC!J5),0,STDEV( HPLC!D5, HPLC!J5)))</f>
        <v>0.3028069756369256</v>
      </c>
      <c r="P5" s="96">
        <f>IF(ISERROR(HPLC!E5), HPLC!K5, IF(ISERROR( HPLC!K5), HPLC!E5, AVERAGE(HPLC!E5,  HPLC!K5)))</f>
        <v>55.45974982474344</v>
      </c>
      <c r="Q5" s="96">
        <f>IF(ISERROR( HPLC!E5),0,IF(ISERROR( HPLC!K5),0,STDEV( HPLC!E5, HPLC!K5)))</f>
        <v>2.034691056679403</v>
      </c>
      <c r="R5" s="96">
        <f>IF(ISERROR(HPLC!F5), HPLC!L5, IF(ISERROR( HPLC!L5), HPLC!F5, AVERAGE(HPLC!F5,  HPLC!L5)))</f>
        <v>3.2719513055787477</v>
      </c>
      <c r="S5" s="96">
        <f>IF(ISERROR( HPLC!F5),0,IF(ISERROR( HPLC!L5),0,STDEV( HPLC!F5, HPLC!L5)))</f>
        <v>7.4742949531041922E-2</v>
      </c>
      <c r="T5" s="96">
        <f>IF(ISERROR(HPLC!G5), HPLC!M5, IF(ISERROR( HPLC!M5), HPLC!G5, AVERAGE(HPLC!M5,  HPLC!G5)))</f>
        <v>3.6663287942624203</v>
      </c>
      <c r="U5" s="96">
        <f>IF(ISERROR( HPLC!M5),0,IF(ISERROR( HPLC!G5),0,STDEV( HPLC!M5, HPLC!G5)))</f>
        <v>8.3634243172326608E-2</v>
      </c>
      <c r="V5" s="96">
        <f>IF(ISERROR(HPLC!H5), HPLC!N5, IF(ISERROR( HPLC!N5), HPLC!H5, AVERAGE(HPLC!H5,  HPLC!N5)))</f>
        <v>1.5062464110248897</v>
      </c>
      <c r="W5" s="96">
        <f>IF(ISERROR( HPLC!H5),0,IF(ISERROR( HPLC!N5),0,STDEV( HPLC!H5, HPLC!N5)))</f>
        <v>1.1190388301891516E-2</v>
      </c>
      <c r="X5" s="96">
        <f>IF(ISERROR(HPLC!I5), HPLC!O5, IF(ISERROR( HPLC!O5), HPLC!I5, AVERAGE(HPLC!I5,  HPLC!O5)))</f>
        <v>25.711309208762088</v>
      </c>
      <c r="Y5" s="96">
        <f>IF(ISERROR( HPLC!I5),0,IF(ISERROR( HPLC!O5),0,STDEV( HPLC!I5, HPLC!O5)))</f>
        <v>0.48380788530814905</v>
      </c>
      <c r="Z5" s="96">
        <f>IF(ISERROR(GC_esters!D5), GC_esters!N5, IF(ISERROR(GC_esters!N5), GC_esters!D5, AVERAGE(GC_esters!D5,  GC_esters!N5)))</f>
        <v>11.423999999999999</v>
      </c>
      <c r="AA5" s="96">
        <f>IF(ISERROR(GC_esters!D5),0,IF(ISERROR(GC_esters!N5),0,STDEV(GC_esters!D5, GC_esters!N5)))</f>
        <v>0.99843477503540445</v>
      </c>
      <c r="AB5" s="96">
        <f>IF(ISERROR(GC_esters!F5), GC_esters!P5, IF(ISERROR(GC_esters!P5), GC_esters!F5, AVERAGE(GC_esters!F5,  GC_esters!P5)))</f>
        <v>7.9499999999999987E-2</v>
      </c>
      <c r="AC5" s="96">
        <f>IF(ISERROR(GC_esters!F5),0,IF(ISERROR(GC_esters!P5),0,STDEV(GC_esters!F5, GC_esters!P5)))</f>
        <v>1.0606601717798213E-2</v>
      </c>
      <c r="AD5" s="96">
        <f>IF(ISERROR(GC_esters!G5), GC_esters!Q5, IF(ISERROR(GC_esters!Q5), GC_esters!G5, AVERAGE(GC_esters!G5,  GC_esters!Q5)))</f>
        <v>0.34849999999999998</v>
      </c>
      <c r="AE5" s="96">
        <f>IF(ISERROR(GC_esters!G5),0,IF(ISERROR(GC_esters!Q5),0,STDEV(GC_esters!G5, GC_esters!Q5)))</f>
        <v>1.2020815280171319E-2</v>
      </c>
      <c r="AF5" s="96">
        <f>IF(ISERROR(GC_esters!H5), GC_esters!R5, IF(ISERROR(GC_esters!R5), GC_esters!H5, AVERAGE(GC_esters!H5,  GC_esters!R5)))</f>
        <v>6.3940000000000001</v>
      </c>
      <c r="AG5" s="96">
        <f>IF(ISERROR(GC_esters!H5),0,IF(ISERROR(GC_esters!R5),0,STDEV(GC_esters!H5, GC_esters!R5)))</f>
        <v>0.22627416997969604</v>
      </c>
      <c r="AH5" s="96">
        <f>IF(ISERROR(GC_esters!I5), GC_esters!S5, IF(ISERROR(GC_esters!S5), GC_esters!I5, AVERAGE(GC_esters!I5,  GC_esters!S5)))</f>
        <v>2.351</v>
      </c>
      <c r="AI5" s="96">
        <f>IF(ISERROR(GC_esters!I5),0,IF(ISERROR(GC_esters!S5),0,STDEV(GC_esters!I5, GC_esters!S5)))</f>
        <v>0.21496046148071063</v>
      </c>
      <c r="AJ5" s="96">
        <f>IF(ISERROR(GC_esters!J5), GC_esters!T5, IF(ISERROR(GC_esters!T5), GC_esters!J5, AVERAGE(GC_esters!J5,  GC_esters!T5)))</f>
        <v>46.346499999999999</v>
      </c>
      <c r="AK5" s="96">
        <f>IF(ISERROR(GC_esters!J5),0,IF(ISERROR(GC_esters!T5),0,STDEV(GC_esters!J5, GC_esters!T5)))</f>
        <v>1.407849601342416</v>
      </c>
      <c r="AL5" s="96">
        <f>IF(ISERROR(GC_esters!K5), GC_esters!U5, IF(ISERROR(GC_esters!U5), GC_esters!K5, AVERAGE(GC_esters!K5,  GC_esters!U5)))</f>
        <v>0.33150000000000002</v>
      </c>
      <c r="AM5" s="96">
        <f>IF(ISERROR(GC_esters!K5),0,IF(ISERROR(GC_esters!U5),0,STDEV(GC_esters!K5, GC_esters!U5)))</f>
        <v>1.0606601717798184E-2</v>
      </c>
      <c r="AN5" s="96">
        <f>IF(ISERROR(GC_esters!L5), GC_esters!V5, IF(ISERROR(GC_esters!V5), GC_esters!L5, AVERAGE(GC_esters!L5,  GC_esters!V5)))</f>
        <v>2.2454999999999998</v>
      </c>
      <c r="AO5" s="96">
        <f>IF(ISERROR(GC_esters!L5),0,IF(ISERROR(GC_esters!V5),0,STDEV(GC_esters!L5, GC_esters!V5)))</f>
        <v>4.4547727214752614E-2</v>
      </c>
      <c r="AP5" s="96">
        <f>IF(ISERROR(GC_esters!M5), GC_esters!W5, IF(ISERROR(GC_esters!W5), GC_esters!M5, AVERAGE(GC_esters!M5,  GC_esters!W5)))</f>
        <v>4.2974999999999994</v>
      </c>
      <c r="AQ5" s="96">
        <f>IF(ISERROR(GC_esters!M5),0,IF(ISERROR(GC_esters!W5),0,STDEV(GC_esters!M5, GC_esters!W5)))</f>
        <v>0.54517932829482807</v>
      </c>
      <c r="AR5" s="96">
        <f>IF(ISERROR(GC_ketones!D5), GC_ketones!F5, IF(ISERROR(GC_ketones!F5), GC_ketones!D5, AVERAGE(GC_ketones!D5, GC_ketones!F5)))</f>
        <v>657.5</v>
      </c>
      <c r="AS5" s="96">
        <f>IF(ISERROR(GC_ketones!D5),0,IF(ISERROR(GC_ketones!F5),0,STDEV(GC_ketones!D5, GC_ketones!F5)))</f>
        <v>74.246212024587493</v>
      </c>
      <c r="AT5" s="96">
        <f>IF(ISERROR(GC_ketones!E5), GC_ketones!G5, IF(ISERROR(GC_ketones!G5), GC_ketones!E5, AVERAGE(GC_ketones!E5, GC_ketones!G5)))</f>
        <v>596.37749999999994</v>
      </c>
      <c r="AU5" s="96">
        <f>IF(ISERROR(GC_ketones!E5),0,IF(ISERROR(GC_ketones!G5),0,STDEV(GC_ketones!E5, GC_ketones!G5)))</f>
        <v>36.34882408689446</v>
      </c>
      <c r="AV5">
        <f t="shared" ref="AV5:AV21" si="13">Z5*36.6/X5</f>
        <v>16.262042380071044</v>
      </c>
      <c r="AW5">
        <f t="shared" si="1"/>
        <v>8.9400713539647764E-2</v>
      </c>
      <c r="AX5">
        <f t="shared" si="0"/>
        <v>0.11316809954618766</v>
      </c>
      <c r="AY5">
        <f t="shared" si="2"/>
        <v>0.13473680130247834</v>
      </c>
      <c r="AZ5">
        <f t="shared" si="0"/>
        <v>0.49608909046347677</v>
      </c>
      <c r="BA5">
        <f t="shared" si="3"/>
        <v>3.9291790747936824E-2</v>
      </c>
      <c r="BB5">
        <f t="shared" si="0"/>
        <v>9.1018468993499884</v>
      </c>
      <c r="BC5">
        <f t="shared" si="4"/>
        <v>4.0080218000428554E-2</v>
      </c>
      <c r="BD5">
        <f t="shared" si="0"/>
        <v>3.346644050730657</v>
      </c>
      <c r="BE5">
        <f t="shared" si="5"/>
        <v>9.3349800823818552E-2</v>
      </c>
      <c r="BF5">
        <f t="shared" si="0"/>
        <v>65.97415503921242</v>
      </c>
      <c r="BG5">
        <f t="shared" si="6"/>
        <v>3.5732552669802804E-2</v>
      </c>
      <c r="BH5">
        <f t="shared" si="0"/>
        <v>0.47188962263599016</v>
      </c>
      <c r="BI5">
        <f t="shared" si="7"/>
        <v>3.7118821206979943E-2</v>
      </c>
      <c r="BJ5">
        <f t="shared" si="0"/>
        <v>3.1964650003894897</v>
      </c>
      <c r="BK5">
        <f t="shared" si="8"/>
        <v>2.7343180896050874E-2</v>
      </c>
      <c r="BL5">
        <f t="shared" si="0"/>
        <v>6.1174831169778807</v>
      </c>
      <c r="BM5">
        <f t="shared" si="9"/>
        <v>0.12824759875003022</v>
      </c>
      <c r="BN5">
        <f t="shared" si="0"/>
        <v>935.95000568073453</v>
      </c>
      <c r="BO5">
        <f t="shared" si="10"/>
        <v>0.11447905435894094</v>
      </c>
      <c r="BP5">
        <f t="shared" si="0"/>
        <v>848.94224260511373</v>
      </c>
      <c r="BQ5">
        <f t="shared" si="11"/>
        <v>6.3787935579407512E-2</v>
      </c>
      <c r="BR5">
        <f t="shared" si="12"/>
        <v>4.8592088472990218</v>
      </c>
    </row>
    <row r="6" spans="1:70" x14ac:dyDescent="0.25">
      <c r="A6">
        <f>CellCount_Viability!A6</f>
        <v>46272</v>
      </c>
      <c r="B6" s="69">
        <f>CellCount_Viability!B6</f>
        <v>96</v>
      </c>
      <c r="C6" s="63">
        <f>CellCount_Viability!C6</f>
        <v>4</v>
      </c>
      <c r="D6" s="11">
        <f>IF(ISERROR(CellCount_Viability!E6), CellCount_Viability!H6, IF(ISERROR(CellCount_Viability!H6), CellCount_Viability!E6, AVERAGE(CellCount_Viability!E6, CellCount_Viability!H6)))</f>
        <v>39740000</v>
      </c>
      <c r="E6" s="11">
        <f>IF(ISERROR(CellCount_Viability!E6),0,IF(ISERROR(CellCount_Viability!H6),0,STDEV(CellCount_Viability!E6,CellCount_Viability!H6)))</f>
        <v>1762110.0987168765</v>
      </c>
      <c r="F6" s="92">
        <f>IF(ISERROR(CellCount_Viability!F6), CellCount_Viability!I6, IF(ISERROR(CellCount_Viability!I6), CellCount_Viability!F6, AVERAGE(CellCount_Viability!F6, CellCount_Viability!I6)))</f>
        <v>0.99874058375929176</v>
      </c>
      <c r="G6" s="92">
        <f>IF(ISERROR(CellCount_Viability!F6),0,IF(ISERROR(CellCount_Viability!I6),0,STDEV(CellCount_Viability!F6,CellCount_Viability!I6)))</f>
        <v>5.5843736191254897E-5</v>
      </c>
      <c r="J6" s="96">
        <f>IF(ISERROR(Attenuation!D7), Attenuation!E7, IF(ISERROR(Attenuation!E7), Attenuation!D7, AVERAGE(Attenuation!D7, Attenuation!E7)))</f>
        <v>8.9239999999999995</v>
      </c>
      <c r="K6" s="96">
        <f>IF(ISERROR(Attenuation!D7),0,IF(ISERROR(Attenuation!E7),0,STDEV(Attenuation!D7,Attenuation!E7)))</f>
        <v>0.26021529547664973</v>
      </c>
      <c r="L6" s="96">
        <f>IF(ISERROR(pH!D7), pH!E7, IF(ISERROR(pH!E7), pH!D7, AVERAGE(pH!D7, pH!E7)))</f>
        <v>4.1856499999999999</v>
      </c>
      <c r="M6" s="96">
        <f>IF(ISERROR(pH!D7),0,IF(ISERROR(pH!E7),0,STDEV(pH!D7,pH!E7)))</f>
        <v>0.12890556621030866</v>
      </c>
      <c r="N6" s="96">
        <f>IF(ISERROR(HPLC!D6), HPLC!J6, IF(ISERROR( HPLC!J6), HPLC!D6, AVERAGE(HPLC!D6,  HPLC!J6)))</f>
        <v>25.111182801284482</v>
      </c>
      <c r="O6" s="96">
        <f>IF(ISERROR( HPLC!D6),0,IF(ISERROR( HPLC!J6),0,STDEV( HPLC!D6, HPLC!J6)))</f>
        <v>0.67253860679585542</v>
      </c>
      <c r="P6" s="96">
        <f>IF(ISERROR(HPLC!E6), HPLC!K6, IF(ISERROR( HPLC!K6), HPLC!E6, AVERAGE(HPLC!E6,  HPLC!K6)))</f>
        <v>35.44325980483967</v>
      </c>
      <c r="Q6" s="96">
        <f>IF(ISERROR( HPLC!E6),0,IF(ISERROR( HPLC!K6),0,STDEV( HPLC!E6, HPLC!K6)))</f>
        <v>2.6721560878344359</v>
      </c>
      <c r="R6" s="96">
        <f>IF(ISERROR(HPLC!F6), HPLC!L6, IF(ISERROR( HPLC!L6), HPLC!F6, AVERAGE(HPLC!F6,  HPLC!L6)))</f>
        <v>0</v>
      </c>
      <c r="S6" s="96">
        <f>IF(ISERROR( HPLC!F6),0,IF(ISERROR( HPLC!L6),0,STDEV( HPLC!F6, HPLC!L6)))</f>
        <v>0</v>
      </c>
      <c r="T6" s="96">
        <f>IF(ISERROR(HPLC!G6), HPLC!M6, IF(ISERROR( HPLC!M6), HPLC!G6, AVERAGE(HPLC!M6,  HPLC!G6)))</f>
        <v>1.7500885441119891</v>
      </c>
      <c r="U6" s="96">
        <f>IF(ISERROR( HPLC!M6),0,IF(ISERROR( HPLC!G6),0,STDEV( HPLC!M6, HPLC!G6)))</f>
        <v>0.11298351325330626</v>
      </c>
      <c r="V6" s="96">
        <f>IF(ISERROR(HPLC!H6), HPLC!N6, IF(ISERROR( HPLC!N6), HPLC!H6, AVERAGE(HPLC!H6,  HPLC!N6)))</f>
        <v>1.9263834378008826</v>
      </c>
      <c r="W6" s="96">
        <f>IF(ISERROR( HPLC!H6),0,IF(ISERROR( HPLC!N6),0,STDEV( HPLC!H6, HPLC!N6)))</f>
        <v>0.18403382485298511</v>
      </c>
      <c r="X6" s="96">
        <f>IF(ISERROR(HPLC!I6), HPLC!O6, IF(ISERROR( HPLC!O6), HPLC!I6, AVERAGE(HPLC!I6,  HPLC!O6)))</f>
        <v>33.658350253384128</v>
      </c>
      <c r="Y6" s="96">
        <f>IF(ISERROR( HPLC!I6),0,IF(ISERROR( HPLC!O6),0,STDEV( HPLC!I6, HPLC!O6)))</f>
        <v>1.8621877059629246</v>
      </c>
      <c r="Z6" s="96">
        <f>IF(ISERROR(GC_esters!D6), GC_esters!N6, IF(ISERROR(GC_esters!N6), GC_esters!D6, AVERAGE(GC_esters!D6,  GC_esters!N6)))</f>
        <v>18.714999999999996</v>
      </c>
      <c r="AA6" s="96">
        <f>IF(ISERROR(GC_esters!D6),0,IF(ISERROR(GC_esters!N6),0,STDEV(GC_esters!D6, GC_esters!N6)))</f>
        <v>1.6475588001646571</v>
      </c>
      <c r="AB6" s="96">
        <f>IF(ISERROR(GC_esters!F6), GC_esters!P6, IF(ISERROR(GC_esters!P6), GC_esters!F6, AVERAGE(GC_esters!F6,  GC_esters!P6)))</f>
        <v>0.13250000000000001</v>
      </c>
      <c r="AC6" s="96">
        <f>IF(ISERROR(GC_esters!F6),0,IF(ISERROR(GC_esters!P6),0,STDEV(GC_esters!F6, GC_esters!P6)))</f>
        <v>1.7677669529663705E-2</v>
      </c>
      <c r="AD6" s="96">
        <f>IF(ISERROR(GC_esters!G6), GC_esters!Q6, IF(ISERROR(GC_esters!Q6), GC_esters!G6, AVERAGE(GC_esters!G6,  GC_esters!Q6)))</f>
        <v>0.49249999999999999</v>
      </c>
      <c r="AE6" s="96">
        <f>IF(ISERROR(GC_esters!G6),0,IF(ISERROR(GC_esters!Q6),0,STDEV(GC_esters!G6, GC_esters!Q6)))</f>
        <v>1.7677669529663705E-2</v>
      </c>
      <c r="AF6" s="96">
        <f>IF(ISERROR(GC_esters!H6), GC_esters!R6, IF(ISERROR(GC_esters!R6), GC_esters!H6, AVERAGE(GC_esters!H6,  GC_esters!R6)))</f>
        <v>9.2750000000000004</v>
      </c>
      <c r="AG6" s="96">
        <f>IF(ISERROR(GC_esters!H6),0,IF(ISERROR(GC_esters!R6),0,STDEV(GC_esters!H6, GC_esters!R6)))</f>
        <v>0.28991378028648457</v>
      </c>
      <c r="AH6" s="96">
        <f>IF(ISERROR(GC_esters!I6), GC_esters!S6, IF(ISERROR(GC_esters!S6), GC_esters!I6, AVERAGE(GC_esters!I6,  GC_esters!S6)))</f>
        <v>3.875</v>
      </c>
      <c r="AI6" s="96">
        <f>IF(ISERROR(GC_esters!I6),0,IF(ISERROR(GC_esters!S6),0,STDEV(GC_esters!I6, GC_esters!S6)))</f>
        <v>0.35355339059327379</v>
      </c>
      <c r="AJ6" s="96">
        <f>IF(ISERROR(GC_esters!J6), GC_esters!T6, IF(ISERROR(GC_esters!T6), GC_esters!J6, AVERAGE(GC_esters!J6,  GC_esters!T6)))</f>
        <v>63.787500000000001</v>
      </c>
      <c r="AK6" s="96">
        <f>IF(ISERROR(GC_esters!J6),0,IF(ISERROR(GC_esters!T6),0,STDEV(GC_esters!J6, GC_esters!T6)))</f>
        <v>1.5874547237637924</v>
      </c>
      <c r="AL6" s="96">
        <f>IF(ISERROR(GC_esters!K6), GC_esters!U6, IF(ISERROR(GC_esters!U6), GC_esters!K6, AVERAGE(GC_esters!K6,  GC_esters!U6)))</f>
        <v>0.55249999999999999</v>
      </c>
      <c r="AM6" s="96">
        <f>IF(ISERROR(GC_esters!K6),0,IF(ISERROR(GC_esters!U6),0,STDEV(GC_esters!K6, GC_esters!U6)))</f>
        <v>1.7677669529663625E-2</v>
      </c>
      <c r="AN6" s="96">
        <f>IF(ISERROR(GC_esters!L6), GC_esters!V6, IF(ISERROR(GC_esters!V6), GC_esters!L6, AVERAGE(GC_esters!L6,  GC_esters!V6)))</f>
        <v>3.7424999999999997</v>
      </c>
      <c r="AO6" s="96">
        <f>IF(ISERROR(GC_esters!L6),0,IF(ISERROR(GC_esters!V6),0,STDEV(GC_esters!L6, GC_esters!V6)))</f>
        <v>7.4246212024587477E-2</v>
      </c>
      <c r="AP6" s="96">
        <f>IF(ISERROR(GC_esters!M6), GC_esters!W6, IF(ISERROR(GC_esters!W6), GC_esters!M6, AVERAGE(GC_esters!M6,  GC_esters!W6)))</f>
        <v>7.1624999999999996</v>
      </c>
      <c r="AQ6" s="96">
        <f>IF(ISERROR(GC_esters!M6),0,IF(ISERROR(GC_esters!W6),0,STDEV(GC_esters!M6, GC_esters!W6)))</f>
        <v>0.90863221382471371</v>
      </c>
      <c r="AR6" s="96">
        <f>IF(ISERROR(GC_ketones!D6), GC_ketones!F6, IF(ISERROR(GC_ketones!F6), GC_ketones!D6, AVERAGE(GC_ketones!D6, GC_ketones!F6)))</f>
        <v>923.83500000000004</v>
      </c>
      <c r="AS6" s="96">
        <f>IF(ISERROR(GC_ketones!D6),0,IF(ISERROR(GC_ketones!F6),0,STDEV(GC_ketones!D6, GC_ketones!F6)))</f>
        <v>145.37408314414225</v>
      </c>
      <c r="AT6" s="96">
        <f>IF(ISERROR(GC_ketones!E6), GC_ketones!G6, IF(ISERROR(GC_ketones!G6), GC_ketones!E6, AVERAGE(GC_ketones!E6, GC_ketones!G6)))</f>
        <v>770.11750000000006</v>
      </c>
      <c r="AU6" s="96">
        <f>IF(ISERROR(GC_ketones!E6),0,IF(ISERROR(GC_ketones!G6),0,STDEV(GC_ketones!E6, GC_ketones!G6)))</f>
        <v>43.752232085917711</v>
      </c>
      <c r="AV6">
        <f t="shared" si="13"/>
        <v>20.350640921003869</v>
      </c>
      <c r="AW6">
        <f t="shared" si="1"/>
        <v>0.10397592986803522</v>
      </c>
      <c r="AX6">
        <f t="shared" si="0"/>
        <v>0.14408014544659434</v>
      </c>
      <c r="AY6">
        <f t="shared" si="2"/>
        <v>0.14443307865264982</v>
      </c>
      <c r="AZ6">
        <f t="shared" si="0"/>
        <v>0.53554318213168084</v>
      </c>
      <c r="BA6">
        <f t="shared" si="3"/>
        <v>6.5949574342831538E-2</v>
      </c>
      <c r="BB6">
        <f t="shared" si="0"/>
        <v>10.085610181261604</v>
      </c>
      <c r="BC6">
        <f t="shared" si="4"/>
        <v>6.3545415790651621E-2</v>
      </c>
      <c r="BD6">
        <f t="shared" si="0"/>
        <v>4.2136646309853063</v>
      </c>
      <c r="BE6">
        <f t="shared" si="5"/>
        <v>0.10670354829813129</v>
      </c>
      <c r="BF6">
        <f t="shared" si="0"/>
        <v>69.362356812638751</v>
      </c>
      <c r="BG6">
        <f t="shared" si="6"/>
        <v>6.0665713834581553E-2</v>
      </c>
      <c r="BH6">
        <f t="shared" si="0"/>
        <v>0.60078702157919517</v>
      </c>
      <c r="BI6">
        <f t="shared" si="7"/>
        <v>6.3911778817794709E-2</v>
      </c>
      <c r="BJ6">
        <f t="shared" si="0"/>
        <v>4.0695844855387104</v>
      </c>
      <c r="BK6">
        <f t="shared" si="8"/>
        <v>5.87754891546904E-2</v>
      </c>
      <c r="BL6">
        <f t="shared" si="0"/>
        <v>7.7884833340470321</v>
      </c>
      <c r="BM6">
        <f t="shared" si="9"/>
        <v>0.13839926000166233</v>
      </c>
      <c r="BN6">
        <f t="shared" si="0"/>
        <v>1004.5757069332413</v>
      </c>
      <c r="BO6">
        <f t="shared" si="10"/>
        <v>0.1668021378133748</v>
      </c>
      <c r="BP6">
        <f t="shared" si="0"/>
        <v>837.42370876201983</v>
      </c>
      <c r="BQ6">
        <f t="shared" si="11"/>
        <v>7.930091724366739E-2</v>
      </c>
      <c r="BR6">
        <f t="shared" si="12"/>
        <v>4.8296774193548382</v>
      </c>
    </row>
    <row r="7" spans="1:70" x14ac:dyDescent="0.25">
      <c r="A7">
        <f>CellCount_Viability!A7</f>
        <v>46273</v>
      </c>
      <c r="B7" s="69">
        <f>CellCount_Viability!B7</f>
        <v>120</v>
      </c>
      <c r="C7" s="63">
        <f>CellCount_Viability!C7</f>
        <v>5</v>
      </c>
      <c r="D7" s="11">
        <f>IF(ISERROR(CellCount_Viability!E7), CellCount_Viability!H7, IF(ISERROR(CellCount_Viability!H7), CellCount_Viability!E7, AVERAGE(CellCount_Viability!E7, CellCount_Viability!H7)))</f>
        <v>37837800</v>
      </c>
      <c r="E7" s="11">
        <f>IF(ISERROR(CellCount_Viability!E7),0,IF(ISERROR(CellCount_Viability!H7),0,STDEV(CellCount_Viability!E7,CellCount_Viability!H7)))</f>
        <v>69296.464556281659</v>
      </c>
      <c r="F7" s="92">
        <f>IF(ISERROR(CellCount_Viability!F7), CellCount_Viability!I7, IF(ISERROR(CellCount_Viability!I7), CellCount_Viability!F7, AVERAGE(CellCount_Viability!F7, CellCount_Viability!I7)))</f>
        <v>0.99841428146927491</v>
      </c>
      <c r="G7" s="92">
        <f>IF(ISERROR(CellCount_Viability!F7),0,IF(ISERROR(CellCount_Viability!I7),0,STDEV(CellCount_Viability!F7,CellCount_Viability!I7)))</f>
        <v>2.9040982287501068E-6</v>
      </c>
      <c r="J7" s="96">
        <f>IF(ISERROR(Attenuation!D8), Attenuation!E8, IF(ISERROR(Attenuation!E8), Attenuation!D8, AVERAGE(Attenuation!D8, Attenuation!E8)))</f>
        <v>6.8599999999999994</v>
      </c>
      <c r="K7" s="96">
        <f>IF(ISERROR(Attenuation!D8),0,IF(ISERROR(Attenuation!E8),0,STDEV(Attenuation!D8,Attenuation!E8)))</f>
        <v>0</v>
      </c>
      <c r="L7" s="96">
        <f>IF(ISERROR(pH!D8), pH!E8, IF(ISERROR(pH!E8), pH!D8, AVERAGE(pH!D8, pH!E8)))</f>
        <v>4.1845999999999997</v>
      </c>
      <c r="M7" s="96">
        <f>IF(ISERROR(pH!D8),0,IF(ISERROR(pH!E8),0,STDEV(pH!D8,pH!E8)))</f>
        <v>0</v>
      </c>
      <c r="N7" s="96">
        <f>IF(ISERROR(HPLC!D7), HPLC!J7, IF(ISERROR( HPLC!J7), HPLC!D7, AVERAGE(HPLC!D7,  HPLC!J7)))</f>
        <v>23.273054758866202</v>
      </c>
      <c r="O7" s="96">
        <f>IF(ISERROR( HPLC!D7),0,IF(ISERROR( HPLC!J7),0,STDEV( HPLC!D7, HPLC!J7)))</f>
        <v>0.17626733518338386</v>
      </c>
      <c r="P7" s="96">
        <f>IF(ISERROR(HPLC!E7), HPLC!K7, IF(ISERROR( HPLC!K7), HPLC!E7, AVERAGE(HPLC!E7,  HPLC!K7)))</f>
        <v>19.857961706263932</v>
      </c>
      <c r="Q7" s="96">
        <f>IF(ISERROR( HPLC!E7),0,IF(ISERROR( HPLC!K7),0,STDEV( HPLC!E7, HPLC!K7)))</f>
        <v>0.57141272289856571</v>
      </c>
      <c r="R7" s="96">
        <f>IF(ISERROR(HPLC!F7), HPLC!L7, IF(ISERROR( HPLC!L7), HPLC!F7, AVERAGE(HPLC!F7,  HPLC!L7)))</f>
        <v>0</v>
      </c>
      <c r="S7" s="96">
        <f>IF(ISERROR( HPLC!F7),0,IF(ISERROR( HPLC!L7),0,STDEV( HPLC!F7, HPLC!L7)))</f>
        <v>0</v>
      </c>
      <c r="T7" s="96">
        <f>IF(ISERROR(HPLC!G7), HPLC!M7, IF(ISERROR( HPLC!M7), HPLC!G7, AVERAGE(HPLC!M7,  HPLC!G7)))</f>
        <v>0</v>
      </c>
      <c r="U7" s="96">
        <f>IF(ISERROR( HPLC!M7),0,IF(ISERROR( HPLC!G7),0,STDEV( HPLC!M7, HPLC!G7)))</f>
        <v>0</v>
      </c>
      <c r="V7" s="96">
        <f>IF(ISERROR(HPLC!H7), HPLC!N7, IF(ISERROR( HPLC!N7), HPLC!H7, AVERAGE(HPLC!H7,  HPLC!N7)))</f>
        <v>2.2932086690734583</v>
      </c>
      <c r="W7" s="96">
        <f>IF(ISERROR( HPLC!H7),0,IF(ISERROR( HPLC!N7),0,STDEV( HPLC!H7, HPLC!N7)))</f>
        <v>7.9686445995612115E-2</v>
      </c>
      <c r="X7" s="96">
        <f>IF(ISERROR(HPLC!I7), HPLC!O7, IF(ISERROR( HPLC!O7), HPLC!I7, AVERAGE(HPLC!I7,  HPLC!O7)))</f>
        <v>45.825947130297095</v>
      </c>
      <c r="Y7" s="96">
        <f>IF(ISERROR( HPLC!I7),0,IF(ISERROR( HPLC!O7),0,STDEV( HPLC!I7, HPLC!O7)))</f>
        <v>3.8152132631855441E-2</v>
      </c>
      <c r="Z7" s="96">
        <f>IF(ISERROR(GC_esters!D7), GC_esters!N7, IF(ISERROR(GC_esters!N7), GC_esters!D7, AVERAGE(GC_esters!D7,  GC_esters!N7)))</f>
        <v>25.952500000000001</v>
      </c>
      <c r="AA7" s="96">
        <f>IF(ISERROR(GC_esters!D7),0,IF(ISERROR(GC_esters!N7),0,STDEV(GC_esters!D7, GC_esters!N7)))</f>
        <v>2.1814244199604969</v>
      </c>
      <c r="AB7" s="96">
        <f>IF(ISERROR(GC_esters!F7), GC_esters!P7, IF(ISERROR(GC_esters!P7), GC_esters!F7, AVERAGE(GC_esters!F7,  GC_esters!P7)))</f>
        <v>0.16999999999999998</v>
      </c>
      <c r="AC7" s="96">
        <f>IF(ISERROR(GC_esters!F7),0,IF(ISERROR(GC_esters!P7),0,STDEV(GC_esters!F7, GC_esters!P7)))</f>
        <v>1.4142135623730944E-2</v>
      </c>
      <c r="AD7" s="96">
        <f>IF(ISERROR(GC_esters!G7), GC_esters!Q7, IF(ISERROR(GC_esters!Q7), GC_esters!G7, AVERAGE(GC_esters!G7,  GC_esters!Q7)))</f>
        <v>0.57000000000000006</v>
      </c>
      <c r="AE7" s="96">
        <f>IF(ISERROR(GC_esters!G7),0,IF(ISERROR(GC_esters!Q7),0,STDEV(GC_esters!G7, GC_esters!Q7)))</f>
        <v>2.8284271247461849E-2</v>
      </c>
      <c r="AF7" s="96">
        <f>IF(ISERROR(GC_esters!H7), GC_esters!R7, IF(ISERROR(GC_esters!R7), GC_esters!H7, AVERAGE(GC_esters!H7,  GC_esters!R7)))</f>
        <v>10.940000000000001</v>
      </c>
      <c r="AG7" s="96">
        <f>IF(ISERROR(GC_esters!H7),0,IF(ISERROR(GC_esters!R7),0,STDEV(GC_esters!H7, GC_esters!R7)))</f>
        <v>0.32526911934581121</v>
      </c>
      <c r="AH7" s="96">
        <f>IF(ISERROR(GC_esters!I7), GC_esters!S7, IF(ISERROR(GC_esters!S7), GC_esters!I7, AVERAGE(GC_esters!I7,  GC_esters!S7)))</f>
        <v>5.0175000000000001</v>
      </c>
      <c r="AI7" s="96">
        <f>IF(ISERROR(GC_esters!I7),0,IF(ISERROR(GC_esters!S7),0,STDEV(GC_esters!I7, GC_esters!S7)))</f>
        <v>0.42072853480599498</v>
      </c>
      <c r="AJ7" s="96">
        <f>IF(ISERROR(GC_esters!J7), GC_esters!T7, IF(ISERROR(GC_esters!T7), GC_esters!J7, AVERAGE(GC_esters!J7,  GC_esters!T7)))</f>
        <v>68.325000000000003</v>
      </c>
      <c r="AK7" s="96">
        <f>IF(ISERROR(GC_esters!J7),0,IF(ISERROR(GC_esters!T7),0,STDEV(GC_esters!J7, GC_esters!T7)))</f>
        <v>2.0647518010647099</v>
      </c>
      <c r="AL7" s="96">
        <f>IF(ISERROR(GC_esters!K7), GC_esters!U7, IF(ISERROR(GC_esters!U7), GC_esters!K7, AVERAGE(GC_esters!K7,  GC_esters!U7)))</f>
        <v>0.72750000000000004</v>
      </c>
      <c r="AM7" s="96">
        <f>IF(ISERROR(GC_esters!K7),0,IF(ISERROR(GC_esters!U7),0,STDEV(GC_esters!K7, GC_esters!U7)))</f>
        <v>3.1819805153394672E-2</v>
      </c>
      <c r="AN7" s="96">
        <f>IF(ISERROR(GC_esters!L7), GC_esters!V7, IF(ISERROR(GC_esters!V7), GC_esters!L7, AVERAGE(GC_esters!L7,  GC_esters!V7)))</f>
        <v>5.3424999999999994</v>
      </c>
      <c r="AO7" s="96">
        <f>IF(ISERROR(GC_esters!L7),0,IF(ISERROR(GC_esters!V7),0,STDEV(GC_esters!L7, GC_esters!V7)))</f>
        <v>0.10253048327204972</v>
      </c>
      <c r="AP7" s="96">
        <f>IF(ISERROR(GC_esters!M7), GC_esters!W7, IF(ISERROR(GC_esters!W7), GC_esters!M7, AVERAGE(GC_esters!M7,  GC_esters!W7)))</f>
        <v>11.62</v>
      </c>
      <c r="AQ7" s="96">
        <f>IF(ISERROR(GC_esters!M7),0,IF(ISERROR(GC_esters!W7),0,STDEV(GC_esters!M7, GC_esters!W7)))</f>
        <v>1.3505739520663058</v>
      </c>
      <c r="AR7" s="96">
        <f>IF(ISERROR(GC_ketones!D7), GC_ketones!F7, IF(ISERROR(GC_ketones!F7), GC_ketones!D7, AVERAGE(GC_ketones!D7, GC_ketones!F7)))</f>
        <v>595.93500000000006</v>
      </c>
      <c r="AS7" s="96">
        <f>IF(ISERROR(GC_ketones!D7),0,IF(ISERROR(GC_ketones!F7),0,STDEV(GC_ketones!D7, GC_ketones!F7)))</f>
        <v>8.6408448660996307</v>
      </c>
      <c r="AT7" s="96">
        <f>IF(ISERROR(GC_ketones!E7), GC_ketones!G7, IF(ISERROR(GC_ketones!G7), GC_ketones!E7, AVERAGE(GC_ketones!E7, GC_ketones!G7)))</f>
        <v>816.76499999999999</v>
      </c>
      <c r="AU7" s="96">
        <f>IF(ISERROR(GC_ketones!E7),0,IF(ISERROR(GC_ketones!G7),0,STDEV(GC_ketones!E7, GC_ketones!G7)))</f>
        <v>59.241406127808929</v>
      </c>
      <c r="AV7">
        <f t="shared" si="13"/>
        <v>20.727591233395682</v>
      </c>
      <c r="AW7">
        <f t="shared" si="1"/>
        <v>8.4058623333604629E-2</v>
      </c>
      <c r="AX7">
        <f t="shared" si="0"/>
        <v>0.13577460782881284</v>
      </c>
      <c r="AY7">
        <f t="shared" si="2"/>
        <v>8.3193198970718182E-2</v>
      </c>
      <c r="AZ7">
        <f t="shared" si="0"/>
        <v>0.45524427330837258</v>
      </c>
      <c r="BA7">
        <f t="shared" si="3"/>
        <v>4.9628512179723472E-2</v>
      </c>
      <c r="BB7">
        <f t="shared" si="0"/>
        <v>8.7374953508659576</v>
      </c>
      <c r="BC7">
        <f t="shared" si="4"/>
        <v>2.9743748980349573E-2</v>
      </c>
      <c r="BD7">
        <f t="shared" si="0"/>
        <v>4.007347616359227</v>
      </c>
      <c r="BE7">
        <f t="shared" si="5"/>
        <v>8.385635711994413E-2</v>
      </c>
      <c r="BF7">
        <f t="shared" si="0"/>
        <v>54.569412234727288</v>
      </c>
      <c r="BG7">
        <f t="shared" si="6"/>
        <v>3.023103138675598E-2</v>
      </c>
      <c r="BH7">
        <f t="shared" si="0"/>
        <v>0.58103545409094925</v>
      </c>
      <c r="BI7">
        <f t="shared" si="7"/>
        <v>4.3746486624863287E-2</v>
      </c>
      <c r="BJ7">
        <f t="shared" si="0"/>
        <v>4.266916719561368</v>
      </c>
      <c r="BK7">
        <f t="shared" si="8"/>
        <v>1.9209530044117355E-2</v>
      </c>
      <c r="BL7">
        <f t="shared" si="0"/>
        <v>9.2805937821812083</v>
      </c>
      <c r="BM7">
        <f t="shared" si="9"/>
        <v>0.11623137690692968</v>
      </c>
      <c r="BN7">
        <f t="shared" si="0"/>
        <v>475.95788774390348</v>
      </c>
      <c r="BO7">
        <f t="shared" si="10"/>
        <v>1.4523525150129599E-2</v>
      </c>
      <c r="BP7">
        <f t="shared" si="0"/>
        <v>652.32910331353139</v>
      </c>
      <c r="BQ7">
        <f t="shared" si="11"/>
        <v>7.2536541839485089E-2</v>
      </c>
      <c r="BR7">
        <f t="shared" si="12"/>
        <v>5.1723966118584954</v>
      </c>
    </row>
    <row r="8" spans="1:70" x14ac:dyDescent="0.25">
      <c r="A8">
        <f>CellCount_Viability!A8</f>
        <v>46274</v>
      </c>
      <c r="B8" s="69">
        <f>CellCount_Viability!B8</f>
        <v>144</v>
      </c>
      <c r="C8" s="63">
        <f>CellCount_Viability!C8</f>
        <v>6</v>
      </c>
      <c r="D8" s="11">
        <f>IF(ISERROR(CellCount_Viability!E8), CellCount_Viability!H8, IF(ISERROR(CellCount_Viability!H8), CellCount_Viability!E8, AVERAGE(CellCount_Viability!E8, CellCount_Viability!H8)))</f>
        <v>13265500</v>
      </c>
      <c r="E8" s="11">
        <f>IF(ISERROR(CellCount_Viability!E8),0,IF(ISERROR(CellCount_Viability!H8),0,STDEV(CellCount_Viability!E8,CellCount_Viability!H8)))</f>
        <v>3309966.8427342288</v>
      </c>
      <c r="F8" s="92">
        <f>IF(ISERROR(CellCount_Viability!F8), CellCount_Viability!I8, IF(ISERROR(CellCount_Viability!I8), CellCount_Viability!F8, AVERAGE(CellCount_Viability!F8, CellCount_Viability!I8)))</f>
        <v>0.99455361151654698</v>
      </c>
      <c r="G8" s="92">
        <f>IF(ISERROR(CellCount_Viability!F8),0,IF(ISERROR(CellCount_Viability!I8),0,STDEV(CellCount_Viability!F8,CellCount_Viability!I8)))</f>
        <v>1.3589661371888448E-3</v>
      </c>
      <c r="J8" s="96">
        <f>IF(ISERROR(Attenuation!D9), Attenuation!E9, IF(ISERROR(Attenuation!E9), Attenuation!D9, AVERAGE(Attenuation!D9, Attenuation!E9)))</f>
        <v>4.8265000000000002</v>
      </c>
      <c r="K8" s="96">
        <f>IF(ISERROR(Attenuation!D9),0,IF(ISERROR(Attenuation!E9),0,STDEV(Attenuation!D9,Attenuation!E9)))</f>
        <v>0.24253762594698577</v>
      </c>
      <c r="L8" s="96">
        <f>IF(ISERROR(pH!D9), pH!E9, IF(ISERROR(pH!E9), pH!D9, AVERAGE(pH!D9, pH!E9)))</f>
        <v>4.1960999999999995</v>
      </c>
      <c r="M8" s="96">
        <f>IF(ISERROR(pH!D9),0,IF(ISERROR(pH!E9),0,STDEV(pH!D9,pH!E9)))</f>
        <v>0.21085924214982879</v>
      </c>
      <c r="N8" s="96">
        <f>IF(ISERROR(HPLC!D8), HPLC!J8, IF(ISERROR( HPLC!J8), HPLC!D8, AVERAGE(HPLC!D8,  HPLC!J8)))</f>
        <v>20.391254444367583</v>
      </c>
      <c r="O8" s="96">
        <f>IF(ISERROR( HPLC!D8),0,IF(ISERROR( HPLC!J8),0,STDEV( HPLC!D8, HPLC!J8)))</f>
        <v>0.65940617558255643</v>
      </c>
      <c r="P8" s="96">
        <f>IF(ISERROR(HPLC!E8), HPLC!K8, IF(ISERROR( HPLC!K8), HPLC!E8, AVERAGE(HPLC!E8,  HPLC!K8)))</f>
        <v>5.2908900409393356</v>
      </c>
      <c r="Q8" s="96">
        <f>IF(ISERROR( HPLC!E8),0,IF(ISERROR( HPLC!K8),0,STDEV( HPLC!E8, HPLC!K8)))</f>
        <v>6.9481883332289654E-3</v>
      </c>
      <c r="R8" s="96">
        <f>IF(ISERROR(HPLC!F8), HPLC!L8, IF(ISERROR( HPLC!L8), HPLC!F8, AVERAGE(HPLC!F8,  HPLC!L8)))</f>
        <v>0</v>
      </c>
      <c r="S8" s="96">
        <f>IF(ISERROR( HPLC!F8),0,IF(ISERROR( HPLC!L8),0,STDEV( HPLC!F8, HPLC!L8)))</f>
        <v>0</v>
      </c>
      <c r="T8" s="96">
        <f>IF(ISERROR(HPLC!G8), HPLC!M8, IF(ISERROR( HPLC!M8), HPLC!G8, AVERAGE(HPLC!M8,  HPLC!G8)))</f>
        <v>0</v>
      </c>
      <c r="U8" s="96">
        <f>IF(ISERROR( HPLC!M8),0,IF(ISERROR( HPLC!G8),0,STDEV( HPLC!M8, HPLC!G8)))</f>
        <v>0</v>
      </c>
      <c r="V8" s="96">
        <f>IF(ISERROR(HPLC!H8), HPLC!N8, IF(ISERROR( HPLC!N8), HPLC!H8, AVERAGE(HPLC!H8,  HPLC!N8)))</f>
        <v>2.5698617832050901</v>
      </c>
      <c r="W8" s="96">
        <f>IF(ISERROR( HPLC!H8),0,IF(ISERROR( HPLC!N8),0,STDEV( HPLC!H8, HPLC!N8)))</f>
        <v>5.0712744922518607E-2</v>
      </c>
      <c r="X8" s="96">
        <f>IF(ISERROR(HPLC!I8), HPLC!O8, IF(ISERROR( HPLC!O8), HPLC!I8, AVERAGE(HPLC!I8,  HPLC!O8)))</f>
        <v>56.618121267096818</v>
      </c>
      <c r="Y8" s="96">
        <f>IF(ISERROR( HPLC!I8),0,IF(ISERROR( HPLC!O8),0,STDEV( HPLC!I8, HPLC!O8)))</f>
        <v>1.4873604144956272</v>
      </c>
      <c r="Z8" s="96">
        <f>IF(ISERROR(GC_esters!D8), GC_esters!N8, IF(ISERROR(GC_esters!N8), GC_esters!D8, AVERAGE(GC_esters!D8,  GC_esters!N8)))</f>
        <v>30.821375</v>
      </c>
      <c r="AA8" s="96">
        <f>IF(ISERROR(GC_esters!D8),0,IF(ISERROR(GC_esters!N8),0,STDEV(GC_esters!D8, GC_esters!N8)))</f>
        <v>2.1444780906435019</v>
      </c>
      <c r="AB8" s="96">
        <f>IF(ISERROR(GC_esters!F8), GC_esters!P8, IF(ISERROR(GC_esters!P8), GC_esters!F8, AVERAGE(GC_esters!F8,  GC_esters!P8)))</f>
        <v>0.192</v>
      </c>
      <c r="AC8" s="96">
        <f>IF(ISERROR(GC_esters!F8),0,IF(ISERROR(GC_esters!P8),0,STDEV(GC_esters!F8, GC_esters!P8)))</f>
        <v>1.4142135623730963E-2</v>
      </c>
      <c r="AD8" s="96">
        <f>IF(ISERROR(GC_esters!G8), GC_esters!Q8, IF(ISERROR(GC_esters!Q8), GC_esters!G8, AVERAGE(GC_esters!G8,  GC_esters!Q8)))</f>
        <v>0.63462499999999999</v>
      </c>
      <c r="AE8" s="96">
        <f>IF(ISERROR(GC_esters!G8),0,IF(ISERROR(GC_esters!Q8),0,STDEV(GC_esters!G8, GC_esters!Q8)))</f>
        <v>2.2450640302672766E-2</v>
      </c>
      <c r="AF8" s="96">
        <f>IF(ISERROR(GC_esters!H8), GC_esters!R8, IF(ISERROR(GC_esters!R8), GC_esters!H8, AVERAGE(GC_esters!H8,  GC_esters!R8)))</f>
        <v>11.967124999999999</v>
      </c>
      <c r="AG8" s="96">
        <f>IF(ISERROR(GC_esters!H8),0,IF(ISERROR(GC_esters!R8),0,STDEV(GC_esters!H8, GC_esters!R8)))</f>
        <v>0.16387199653998233</v>
      </c>
      <c r="AH8" s="96">
        <f>IF(ISERROR(GC_esters!I8), GC_esters!S8, IF(ISERROR(GC_esters!S8), GC_esters!I8, AVERAGE(GC_esters!I8,  GC_esters!S8)))</f>
        <v>5.7008749999999999</v>
      </c>
      <c r="AI8" s="96">
        <f>IF(ISERROR(GC_esters!I8),0,IF(ISERROR(GC_esters!S8),0,STDEV(GC_esters!I8, GC_esters!S8)))</f>
        <v>0.40711672926815429</v>
      </c>
      <c r="AJ8" s="96">
        <f>IF(ISERROR(GC_esters!J8), GC_esters!T8, IF(ISERROR(GC_esters!T8), GC_esters!J8, AVERAGE(GC_esters!J8,  GC_esters!T8)))</f>
        <v>71.257874999999999</v>
      </c>
      <c r="AK8" s="96">
        <f>IF(ISERROR(GC_esters!J8),0,IF(ISERROR(GC_esters!T8),0,STDEV(GC_esters!J8, GC_esters!T8)))</f>
        <v>1.1138699570641168</v>
      </c>
      <c r="AL8" s="96">
        <f>IF(ISERROR(GC_esters!K8), GC_esters!U8, IF(ISERROR(GC_esters!U8), GC_esters!K8, AVERAGE(GC_esters!K8,  GC_esters!U8)))</f>
        <v>0.77287499999999998</v>
      </c>
      <c r="AM8" s="96">
        <f>IF(ISERROR(GC_esters!K8),0,IF(ISERROR(GC_esters!U8),0,STDEV(GC_esters!K8, GC_esters!U8)))</f>
        <v>2.5986174208605585E-2</v>
      </c>
      <c r="AN8" s="96">
        <f>IF(ISERROR(GC_esters!L8), GC_esters!V8, IF(ISERROR(GC_esters!V8), GC_esters!L8, AVERAGE(GC_esters!L8,  GC_esters!V8)))</f>
        <v>6.3435000000000006</v>
      </c>
      <c r="AO8" s="96">
        <f>IF(ISERROR(GC_esters!L8),0,IF(ISERROR(GC_esters!V8),0,STDEV(GC_esters!L8, GC_esters!V8)))</f>
        <v>4.4194173824159848E-2</v>
      </c>
      <c r="AP8" s="96">
        <f>IF(ISERROR(GC_esters!M8), GC_esters!W8, IF(ISERROR(GC_esters!W8), GC_esters!M8, AVERAGE(GC_esters!M8,  GC_esters!W8)))</f>
        <v>13.568375</v>
      </c>
      <c r="AQ8" s="96">
        <f>IF(ISERROR(GC_esters!M8),0,IF(ISERROR(GC_esters!W8),0,STDEV(GC_esters!M8, GC_esters!W8)))</f>
        <v>1.0063897263237545</v>
      </c>
      <c r="AR8" s="96">
        <f>IF(ISERROR(GC_ketones!D8), GC_ketones!F8, IF(ISERROR(GC_ketones!F8), GC_ketones!D8, AVERAGE(GC_ketones!D8, GC_ketones!F8)))</f>
        <v>428.70125000000002</v>
      </c>
      <c r="AS8" s="96">
        <f>IF(ISERROR(GC_ketones!D8),0,IF(ISERROR(GC_ketones!F8),0,STDEV(GC_ketones!D8, GC_ketones!F8)))</f>
        <v>25.620246449341554</v>
      </c>
      <c r="AT8" s="96">
        <f>IF(ISERROR(GC_ketones!E8), GC_ketones!G8, IF(ISERROR(GC_ketones!G8), GC_ketones!E8, AVERAGE(GC_ketones!E8, GC_ketones!G8)))</f>
        <v>567.28625</v>
      </c>
      <c r="AU8" s="96">
        <f>IF(ISERROR(GC_ketones!E8),0,IF(ISERROR(GC_ketones!G8),0,STDEV(GC_ketones!E8, GC_ketones!G8)))</f>
        <v>39.744704403542855</v>
      </c>
      <c r="AV8">
        <f t="shared" si="13"/>
        <v>19.92405081190083</v>
      </c>
      <c r="AW8">
        <f t="shared" si="1"/>
        <v>7.4371776126445965E-2</v>
      </c>
      <c r="AX8">
        <f t="shared" si="0"/>
        <v>0.12411573967368295</v>
      </c>
      <c r="AY8">
        <f t="shared" si="2"/>
        <v>7.8201421473085092E-2</v>
      </c>
      <c r="AZ8">
        <f t="shared" si="0"/>
        <v>0.41024453797089083</v>
      </c>
      <c r="BA8">
        <f t="shared" si="3"/>
        <v>4.406350854150471E-2</v>
      </c>
      <c r="BB8">
        <f t="shared" si="0"/>
        <v>7.7359821413667857</v>
      </c>
      <c r="BC8">
        <f t="shared" si="4"/>
        <v>2.962477730370406E-2</v>
      </c>
      <c r="BD8">
        <f t="shared" si="0"/>
        <v>3.6852516531885793</v>
      </c>
      <c r="BE8">
        <f t="shared" si="5"/>
        <v>7.6091624027492533E-2</v>
      </c>
      <c r="BF8">
        <f t="shared" si="0"/>
        <v>46.063665954165835</v>
      </c>
      <c r="BG8">
        <f t="shared" si="6"/>
        <v>3.0568938160283571E-2</v>
      </c>
      <c r="BH8">
        <f t="shared" si="0"/>
        <v>0.49961433489738383</v>
      </c>
      <c r="BI8">
        <f t="shared" si="7"/>
        <v>4.2668532421398536E-2</v>
      </c>
      <c r="BJ8">
        <f t="shared" si="0"/>
        <v>4.1006676803125401</v>
      </c>
      <c r="BK8">
        <f t="shared" si="8"/>
        <v>2.7178153195449705E-2</v>
      </c>
      <c r="BL8">
        <f t="shared" si="0"/>
        <v>8.7710880171609773</v>
      </c>
      <c r="BM8">
        <f t="shared" si="9"/>
        <v>7.8686462047807784E-2</v>
      </c>
      <c r="BN8">
        <f t="shared" si="0"/>
        <v>277.12798303532537</v>
      </c>
      <c r="BO8">
        <f t="shared" si="10"/>
        <v>6.5281453397563527E-2</v>
      </c>
      <c r="BP8">
        <f t="shared" si="0"/>
        <v>366.71433607010323</v>
      </c>
      <c r="BQ8">
        <f t="shared" si="11"/>
        <v>7.4824289122584167E-2</v>
      </c>
      <c r="BR8">
        <f t="shared" si="12"/>
        <v>5.4064288376784262</v>
      </c>
    </row>
    <row r="9" spans="1:70" x14ac:dyDescent="0.25">
      <c r="A9">
        <f>CellCount_Viability!A9</f>
        <v>46275</v>
      </c>
      <c r="B9" s="69">
        <f>CellCount_Viability!B9</f>
        <v>168</v>
      </c>
      <c r="C9" s="63">
        <f>CellCount_Viability!C9</f>
        <v>7</v>
      </c>
      <c r="D9" s="11">
        <f>IF(ISERROR(CellCount_Viability!E9), CellCount_Viability!H9, IF(ISERROR(CellCount_Viability!H9), CellCount_Viability!E9, AVERAGE(CellCount_Viability!E9, CellCount_Viability!H9)))</f>
        <v>5498900</v>
      </c>
      <c r="E9" s="11">
        <f>IF(ISERROR(CellCount_Viability!E9),0,IF(ISERROR(CellCount_Viability!H9),0,STDEV(CellCount_Viability!E9,CellCount_Viability!H9)))</f>
        <v>393292.79169595771</v>
      </c>
      <c r="F9" s="92">
        <f>IF(ISERROR(CellCount_Viability!F9), CellCount_Viability!I9, IF(ISERROR(CellCount_Viability!I9), CellCount_Viability!F9, AVERAGE(CellCount_Viability!F9, CellCount_Viability!I9)))</f>
        <v>0.98541432995067302</v>
      </c>
      <c r="G9" s="92">
        <f>IF(ISERROR(CellCount_Viability!F9),0,IF(ISERROR(CellCount_Viability!I9),0,STDEV(CellCount_Viability!F9,CellCount_Viability!I9)))</f>
        <v>1.0431975290432242E-3</v>
      </c>
      <c r="J9" s="96">
        <f>IF(ISERROR(Attenuation!D10), Attenuation!E10, IF(ISERROR(Attenuation!E10), Attenuation!D10, AVERAGE(Attenuation!D10, Attenuation!E10)))</f>
        <v>4.8445</v>
      </c>
      <c r="K9" s="96">
        <f>IF(ISERROR(Attenuation!D10),0,IF(ISERROR(Attenuation!E10),0,STDEV(Attenuation!D10,Attenuation!E10)))</f>
        <v>8.5559920523572558E-2</v>
      </c>
      <c r="L9" s="96">
        <f>IF(ISERROR(pH!D10), pH!E10, IF(ISERROR(pH!E10), pH!D10, AVERAGE(pH!D10, pH!E10)))</f>
        <v>4.5846999999999998</v>
      </c>
      <c r="M9" s="96">
        <f>IF(ISERROR(pH!D10),0,IF(ISERROR(pH!E10),0,STDEV(pH!D10,pH!E10)))</f>
        <v>0.1446740474307677</v>
      </c>
      <c r="N9" s="96">
        <f>IF(ISERROR(HPLC!D9), HPLC!J9, IF(ISERROR( HPLC!J9), HPLC!D9, AVERAGE(HPLC!D9,  HPLC!J9)))</f>
        <v>18.845535914666332</v>
      </c>
      <c r="O9" s="96">
        <f>IF(ISERROR( HPLC!D9),0,IF(ISERROR( HPLC!J9),0,STDEV( HPLC!D9, HPLC!J9)))</f>
        <v>3.9336516330098624E-2</v>
      </c>
      <c r="P9" s="96">
        <f>IF(ISERROR(HPLC!E9), HPLC!K9, IF(ISERROR( HPLC!K9), HPLC!E9, AVERAGE(HPLC!E9,  HPLC!K9)))</f>
        <v>3.9351088508107104</v>
      </c>
      <c r="Q9" s="96">
        <f>IF(ISERROR( HPLC!E9),0,IF(ISERROR( HPLC!K9),0,STDEV( HPLC!E9, HPLC!K9)))</f>
        <v>0.14345346447431462</v>
      </c>
      <c r="R9" s="96">
        <f>IF(ISERROR(HPLC!F9), HPLC!L9, IF(ISERROR( HPLC!L9), HPLC!F9, AVERAGE(HPLC!F9,  HPLC!L9)))</f>
        <v>0</v>
      </c>
      <c r="S9" s="96">
        <f>IF(ISERROR( HPLC!F9),0,IF(ISERROR( HPLC!L9),0,STDEV( HPLC!F9, HPLC!L9)))</f>
        <v>0</v>
      </c>
      <c r="T9" s="96">
        <f>IF(ISERROR(HPLC!G9), HPLC!M9, IF(ISERROR( HPLC!M9), HPLC!G9, AVERAGE(HPLC!M9,  HPLC!G9)))</f>
        <v>0</v>
      </c>
      <c r="U9" s="96">
        <f>IF(ISERROR( HPLC!M9),0,IF(ISERROR( HPLC!G9),0,STDEV( HPLC!M9, HPLC!G9)))</f>
        <v>0</v>
      </c>
      <c r="V9" s="96">
        <f>IF(ISERROR(HPLC!H9), HPLC!N9, IF(ISERROR( HPLC!N9), HPLC!H9, AVERAGE(HPLC!H9,  HPLC!N9)))</f>
        <v>2.489014725373349</v>
      </c>
      <c r="W9" s="96">
        <f>IF(ISERROR( HPLC!H9),0,IF(ISERROR( HPLC!N9),0,STDEV( HPLC!H9, HPLC!N9)))</f>
        <v>8.2957832682608049E-2</v>
      </c>
      <c r="X9" s="96">
        <f>IF(ISERROR(HPLC!I9), HPLC!O9, IF(ISERROR( HPLC!O9), HPLC!I9, AVERAGE(HPLC!I9,  HPLC!O9)))</f>
        <v>59.954871470271812</v>
      </c>
      <c r="Y9" s="96">
        <f>IF(ISERROR( HPLC!I9),0,IF(ISERROR( HPLC!O9),0,STDEV( HPLC!I9, HPLC!O9)))</f>
        <v>7.8383454700222455E-2</v>
      </c>
      <c r="Z9" s="96">
        <f>IF(ISERROR(GC_esters!D9), GC_esters!N9, IF(ISERROR(GC_esters!N9), GC_esters!D9, AVERAGE(GC_esters!D9,  GC_esters!N9)))</f>
        <v>34.805</v>
      </c>
      <c r="AA9" s="96">
        <f>IF(ISERROR(GC_esters!D9),0,IF(ISERROR(GC_esters!N9),0,STDEV(GC_esters!D9, GC_esters!N9)))</f>
        <v>2.1142492757477735</v>
      </c>
      <c r="AB9" s="96">
        <f>IF(ISERROR(GC_esters!F9), GC_esters!P9, IF(ISERROR(GC_esters!P9), GC_esters!F9, AVERAGE(GC_esters!F9,  GC_esters!P9)))</f>
        <v>0.21000000000000002</v>
      </c>
      <c r="AC9" s="96">
        <f>IF(ISERROR(GC_esters!F9),0,IF(ISERROR(GC_esters!P9),0,STDEV(GC_esters!F9, GC_esters!P9)))</f>
        <v>1.4142135623730944E-2</v>
      </c>
      <c r="AD9" s="96">
        <f>IF(ISERROR(GC_esters!G9), GC_esters!Q9, IF(ISERROR(GC_esters!Q9), GC_esters!G9, AVERAGE(GC_esters!G9,  GC_esters!Q9)))</f>
        <v>0.6875</v>
      </c>
      <c r="AE9" s="96">
        <f>IF(ISERROR(GC_esters!G9),0,IF(ISERROR(GC_esters!Q9),0,STDEV(GC_esters!G9, GC_esters!Q9)))</f>
        <v>1.7677669529663625E-2</v>
      </c>
      <c r="AF9" s="96">
        <f>IF(ISERROR(GC_esters!H9), GC_esters!R9, IF(ISERROR(GC_esters!R9), GC_esters!H9, AVERAGE(GC_esters!H9,  GC_esters!R9)))</f>
        <v>12.807500000000001</v>
      </c>
      <c r="AG9" s="96">
        <f>IF(ISERROR(GC_esters!H9),0,IF(ISERROR(GC_esters!R9),0,STDEV(GC_esters!H9, GC_esters!R9)))</f>
        <v>3.1819805153394588E-2</v>
      </c>
      <c r="AH9" s="96">
        <f>IF(ISERROR(GC_esters!I9), GC_esters!S9, IF(ISERROR(GC_esters!S9), GC_esters!I9, AVERAGE(GC_esters!I9,  GC_esters!S9)))</f>
        <v>6.26</v>
      </c>
      <c r="AI9" s="96">
        <f>IF(ISERROR(GC_esters!I9),0,IF(ISERROR(GC_esters!S9),0,STDEV(GC_esters!I9, GC_esters!S9)))</f>
        <v>0.39597979746446632</v>
      </c>
      <c r="AJ9" s="96">
        <f>IF(ISERROR(GC_esters!J9), GC_esters!T9, IF(ISERROR(GC_esters!T9), GC_esters!J9, AVERAGE(GC_esters!J9,  GC_esters!T9)))</f>
        <v>73.657499999999999</v>
      </c>
      <c r="AK9" s="96">
        <f>IF(ISERROR(GC_esters!J9),0,IF(ISERROR(GC_esters!T9),0,STDEV(GC_esters!J9, GC_esters!T9)))</f>
        <v>0.33587572106360608</v>
      </c>
      <c r="AL9" s="96">
        <f>IF(ISERROR(GC_esters!K9), GC_esters!U9, IF(ISERROR(GC_esters!U9), GC_esters!K9, AVERAGE(GC_esters!K9,  GC_esters!U9)))</f>
        <v>0.81</v>
      </c>
      <c r="AM9" s="96">
        <f>IF(ISERROR(GC_esters!K9),0,IF(ISERROR(GC_esters!U9),0,STDEV(GC_esters!K9, GC_esters!U9)))</f>
        <v>2.1213203435596368E-2</v>
      </c>
      <c r="AN9" s="96">
        <f>IF(ISERROR(GC_esters!L9), GC_esters!V9, IF(ISERROR(GC_esters!V9), GC_esters!L9, AVERAGE(GC_esters!L9,  GC_esters!V9)))</f>
        <v>7.1624999999999996</v>
      </c>
      <c r="AO9" s="96">
        <f>IF(ISERROR(GC_esters!L9),0,IF(ISERROR(GC_esters!V9),0,STDEV(GC_esters!L9, GC_esters!V9)))</f>
        <v>3.5355339059326622E-3</v>
      </c>
      <c r="AP9" s="96">
        <f>IF(ISERROR(GC_esters!M9), GC_esters!W9, IF(ISERROR(GC_esters!W9), GC_esters!M9, AVERAGE(GC_esters!M9,  GC_esters!W9)))</f>
        <v>15.162500000000001</v>
      </c>
      <c r="AQ9" s="96">
        <f>IF(ISERROR(GC_esters!M9),0,IF(ISERROR(GC_esters!W9),0,STDEV(GC_esters!M9, GC_esters!W9)))</f>
        <v>0.72478445071621145</v>
      </c>
      <c r="AR9" s="96">
        <f>IF(ISERROR(GC_ketones!D9), GC_ketones!F9, IF(ISERROR(GC_ketones!F9), GC_ketones!D9, AVERAGE(GC_ketones!D9, GC_ketones!F9)))</f>
        <v>361.80775</v>
      </c>
      <c r="AS9" s="96">
        <f>IF(ISERROR(GC_ketones!D9),0,IF(ISERROR(GC_ketones!F9),0,STDEV(GC_ketones!D9, GC_ketones!F9)))</f>
        <v>32.412007082638354</v>
      </c>
      <c r="AT9" s="96">
        <f>IF(ISERROR(GC_ketones!E9), GC_ketones!G9, IF(ISERROR(GC_ketones!G9), GC_ketones!E9, AVERAGE(GC_ketones!E9, GC_ketones!G9)))</f>
        <v>467.49474999999995</v>
      </c>
      <c r="AU9" s="96">
        <f>IF(ISERROR(GC_ketones!E9),0,IF(ISERROR(GC_ketones!G9),0,STDEV(GC_ketones!E9, GC_ketones!G9)))</f>
        <v>31.946023713836468</v>
      </c>
      <c r="AV9">
        <f t="shared" si="13"/>
        <v>21.247030787675623</v>
      </c>
      <c r="AW9">
        <f t="shared" si="1"/>
        <v>6.0759628836751567E-2</v>
      </c>
      <c r="AX9">
        <f t="shared" si="0"/>
        <v>0.1281964219339716</v>
      </c>
      <c r="AY9">
        <f t="shared" si="2"/>
        <v>6.7356192140748283E-2</v>
      </c>
      <c r="AZ9">
        <f t="shared" si="0"/>
        <v>0.41969066704574032</v>
      </c>
      <c r="BA9">
        <f t="shared" si="3"/>
        <v>2.5746189081192961E-2</v>
      </c>
      <c r="BB9">
        <f t="shared" si="0"/>
        <v>7.8184555900921007</v>
      </c>
      <c r="BC9">
        <f t="shared" si="4"/>
        <v>2.807454608211273E-3</v>
      </c>
      <c r="BD9">
        <f t="shared" si="0"/>
        <v>3.8214742919364864</v>
      </c>
      <c r="BE9">
        <f t="shared" si="5"/>
        <v>6.3269067749652713E-2</v>
      </c>
      <c r="BF9">
        <f t="shared" si="0"/>
        <v>44.964894993340536</v>
      </c>
      <c r="BG9">
        <f t="shared" si="6"/>
        <v>4.7436821646824594E-3</v>
      </c>
      <c r="BH9">
        <f t="shared" si="0"/>
        <v>0.49447191317389044</v>
      </c>
      <c r="BI9">
        <f t="shared" si="7"/>
        <v>2.6221752108747016E-2</v>
      </c>
      <c r="BJ9">
        <f t="shared" si="0"/>
        <v>4.3724136766765298</v>
      </c>
      <c r="BK9">
        <f t="shared" si="8"/>
        <v>1.397456779039025E-3</v>
      </c>
      <c r="BL9">
        <f t="shared" si="0"/>
        <v>9.2560868932087832</v>
      </c>
      <c r="BM9">
        <f t="shared" si="9"/>
        <v>4.7818993124236195E-2</v>
      </c>
      <c r="BN9">
        <f t="shared" si="0"/>
        <v>220.86885227609955</v>
      </c>
      <c r="BO9">
        <f t="shared" si="10"/>
        <v>8.9593046286338782E-2</v>
      </c>
      <c r="BP9">
        <f t="shared" si="0"/>
        <v>285.38644868055502</v>
      </c>
      <c r="BQ9">
        <f t="shared" si="11"/>
        <v>6.8347013140058768E-2</v>
      </c>
      <c r="BR9">
        <f t="shared" si="12"/>
        <v>5.5599041533546325</v>
      </c>
    </row>
    <row r="10" spans="1:70" x14ac:dyDescent="0.25">
      <c r="A10">
        <f>CellCount_Viability!A10</f>
        <v>46276</v>
      </c>
      <c r="B10" s="69">
        <f>CellCount_Viability!B10</f>
        <v>192</v>
      </c>
      <c r="C10" s="63">
        <f>CellCount_Viability!C10</f>
        <v>8</v>
      </c>
      <c r="D10" s="11">
        <f>IF(ISERROR(CellCount_Viability!E10), CellCount_Viability!H10, IF(ISERROR(CellCount_Viability!H10), CellCount_Viability!E10, AVERAGE(CellCount_Viability!E10, CellCount_Viability!H10)))</f>
        <v>2736900</v>
      </c>
      <c r="E10" s="11">
        <f>IF(ISERROR(CellCount_Viability!E10),0,IF(ISERROR(CellCount_Viability!H10),0,STDEV(CellCount_Viability!E10,CellCount_Viability!H10)))</f>
        <v>370382.53198551357</v>
      </c>
      <c r="F10" s="92">
        <f>IF(ISERROR(CellCount_Viability!F10), CellCount_Viability!I10, IF(ISERROR(CellCount_Viability!I10), CellCount_Viability!F10, AVERAGE(CellCount_Viability!F10, CellCount_Viability!I10)))</f>
        <v>0.96681217941722142</v>
      </c>
      <c r="G10" s="92">
        <f>IF(ISERROR(CellCount_Viability!F10),0,IF(ISERROR(CellCount_Viability!I10),0,STDEV(CellCount_Viability!F10,CellCount_Viability!I10)))</f>
        <v>4.4912817488875932E-3</v>
      </c>
      <c r="J10" s="96">
        <f>IF(ISERROR(Attenuation!D11), Attenuation!E11, IF(ISERROR(Attenuation!E11), Attenuation!D11, AVERAGE(Attenuation!D11, Attenuation!E11)))</f>
        <v>4.3710000000000004</v>
      </c>
      <c r="K10" s="96">
        <f>IF(ISERROR(Attenuation!D11),0,IF(ISERROR(Attenuation!E11),0,STDEV(Attenuation!D11,Attenuation!E11)))</f>
        <v>2.12132034355966E-2</v>
      </c>
      <c r="L10" s="96">
        <f>IF(ISERROR(pH!D11), pH!E11, IF(ISERROR(pH!E11), pH!D11, AVERAGE(pH!D11, pH!E11)))</f>
        <v>4.3468499999999999</v>
      </c>
      <c r="M10" s="96">
        <f>IF(ISERROR(pH!D11),0,IF(ISERROR(pH!E11),0,STDEV(pH!D11,pH!E11)))</f>
        <v>0.11306637431172921</v>
      </c>
      <c r="N10" s="96">
        <f>IF(ISERROR(HPLC!D10), HPLC!J10, IF(ISERROR( HPLC!J10), HPLC!D10, AVERAGE(HPLC!D10,  HPLC!J10)))</f>
        <v>17.579949961875045</v>
      </c>
      <c r="O10" s="96">
        <f>IF(ISERROR( HPLC!D10),0,IF(ISERROR( HPLC!J10),0,STDEV( HPLC!D10, HPLC!J10)))</f>
        <v>0.4185784714573606</v>
      </c>
      <c r="P10" s="96">
        <f>IF(ISERROR(HPLC!E10), HPLC!K10, IF(ISERROR( HPLC!K10), HPLC!E10, AVERAGE(HPLC!E10,  HPLC!K10)))</f>
        <v>3.4483722496701992</v>
      </c>
      <c r="Q10" s="96">
        <f>IF(ISERROR( HPLC!E10),0,IF(ISERROR( HPLC!K10),0,STDEV( HPLC!E10, HPLC!K10)))</f>
        <v>5.5324032184162528E-2</v>
      </c>
      <c r="R10" s="96">
        <f>IF(ISERROR(HPLC!F10), HPLC!L10, IF(ISERROR( HPLC!L10), HPLC!F10, AVERAGE(HPLC!F10,  HPLC!L10)))</f>
        <v>0</v>
      </c>
      <c r="S10" s="96">
        <f>IF(ISERROR( HPLC!F10),0,IF(ISERROR( HPLC!L10),0,STDEV( HPLC!F10, HPLC!L10)))</f>
        <v>0</v>
      </c>
      <c r="T10" s="96">
        <f>IF(ISERROR(HPLC!G10), HPLC!M10, IF(ISERROR( HPLC!M10), HPLC!G10, AVERAGE(HPLC!M10,  HPLC!G10)))</f>
        <v>0</v>
      </c>
      <c r="U10" s="96">
        <f>IF(ISERROR( HPLC!M10),0,IF(ISERROR( HPLC!G10),0,STDEV( HPLC!M10, HPLC!G10)))</f>
        <v>0</v>
      </c>
      <c r="V10" s="96">
        <f>IF(ISERROR(HPLC!H10), HPLC!N10, IF(ISERROR( HPLC!N10), HPLC!H10, AVERAGE(HPLC!H10,  HPLC!N10)))</f>
        <v>2.5508687126136138</v>
      </c>
      <c r="W10" s="96">
        <f>IF(ISERROR( HPLC!H10),0,IF(ISERROR( HPLC!N10),0,STDEV( HPLC!H10, HPLC!N10)))</f>
        <v>7.5226447581166361E-4</v>
      </c>
      <c r="X10" s="96">
        <f>IF(ISERROR(HPLC!I10), HPLC!O10, IF(ISERROR( HPLC!O10), HPLC!I10, AVERAGE(HPLC!I10,  HPLC!O10)))</f>
        <v>58.047685005771307</v>
      </c>
      <c r="Y10" s="96">
        <f>IF(ISERROR( HPLC!I10),0,IF(ISERROR( HPLC!O10),0,STDEV( HPLC!I10, HPLC!O10)))</f>
        <v>1.846326463967545</v>
      </c>
      <c r="Z10" s="96">
        <f>IF(ISERROR(GC_esters!D10), GC_esters!N10, IF(ISERROR(GC_esters!N10), GC_esters!D10, AVERAGE(GC_esters!D10,  GC_esters!N10)))</f>
        <v>36.035249999999998</v>
      </c>
      <c r="AA10" s="96">
        <f>IF(ISERROR(GC_esters!D10),0,IF(ISERROR(GC_esters!N10),0,STDEV(GC_esters!D10, GC_esters!N10)))</f>
        <v>2.0944502858745562</v>
      </c>
      <c r="AB10" s="96">
        <f>IF(ISERROR(GC_esters!F10), GC_esters!P10, IF(ISERROR(GC_esters!P10), GC_esters!F10, AVERAGE(GC_esters!F10,  GC_esters!P10)))</f>
        <v>0.21174999999999999</v>
      </c>
      <c r="AC10" s="96">
        <f>IF(ISERROR(GC_esters!F10),0,IF(ISERROR(GC_esters!P10),0,STDEV(GC_esters!F10, GC_esters!P10)))</f>
        <v>1.4142135623730944E-2</v>
      </c>
      <c r="AD10" s="96">
        <f>IF(ISERROR(GC_esters!G10), GC_esters!Q10, IF(ISERROR(GC_esters!Q10), GC_esters!G10, AVERAGE(GC_esters!G10,  GC_esters!Q10)))</f>
        <v>0.69450000000000001</v>
      </c>
      <c r="AE10" s="96">
        <f>IF(ISERROR(GC_esters!G10),0,IF(ISERROR(GC_esters!Q10),0,STDEV(GC_esters!G10, GC_esters!Q10)))</f>
        <v>1.5202795795510668E-2</v>
      </c>
      <c r="AF10" s="96">
        <f>IF(ISERROR(GC_esters!H10), GC_esters!R10, IF(ISERROR(GC_esters!R10), GC_esters!H10, AVERAGE(GC_esters!H10,  GC_esters!R10)))</f>
        <v>12.919499999999999</v>
      </c>
      <c r="AG10" s="96">
        <f>IF(ISERROR(GC_esters!H10),0,IF(ISERROR(GC_esters!R10),0,STDEV(GC_esters!H10, GC_esters!R10)))</f>
        <v>2.1920310216783385E-2</v>
      </c>
      <c r="AH10" s="96">
        <f>IF(ISERROR(GC_esters!I10), GC_esters!S10, IF(ISERROR(GC_esters!S10), GC_esters!I10, AVERAGE(GC_esters!I10,  GC_esters!S10)))</f>
        <v>6.3238750000000001</v>
      </c>
      <c r="AI10" s="96">
        <f>IF(ISERROR(GC_esters!I10),0,IF(ISERROR(GC_esters!S10),0,STDEV(GC_esters!I10, GC_esters!S10)))</f>
        <v>0.38484286566077841</v>
      </c>
      <c r="AJ10" s="96">
        <f>IF(ISERROR(GC_esters!J10), GC_esters!T10, IF(ISERROR(GC_esters!T10), GC_esters!J10, AVERAGE(GC_esters!J10,  GC_esters!T10)))</f>
        <v>73.908625000000001</v>
      </c>
      <c r="AK10" s="96">
        <f>IF(ISERROR(GC_esters!J10),0,IF(ISERROR(GC_esters!T10),0,STDEV(GC_esters!J10, GC_esters!T10)))</f>
        <v>0.30246492565254796</v>
      </c>
      <c r="AL10" s="96">
        <f>IF(ISERROR(GC_esters!K10), GC_esters!U10, IF(ISERROR(GC_esters!U10), GC_esters!K10, AVERAGE(GC_esters!K10,  GC_esters!U10)))</f>
        <v>0.79599999999999993</v>
      </c>
      <c r="AM10" s="96">
        <f>IF(ISERROR(GC_esters!K10),0,IF(ISERROR(GC_esters!U10),0,STDEV(GC_esters!K10, GC_esters!U10)))</f>
        <v>1.6263455967290529E-2</v>
      </c>
      <c r="AN10" s="96">
        <f>IF(ISERROR(GC_esters!L10), GC_esters!V10, IF(ISERROR(GC_esters!V10), GC_esters!L10, AVERAGE(GC_esters!L10,  GC_esters!V10)))</f>
        <v>7.2928749999999996</v>
      </c>
      <c r="AO10" s="96">
        <f>IF(ISERROR(GC_esters!L10),0,IF(ISERROR(GC_esters!V10),0,STDEV(GC_esters!L10, GC_esters!V10)))</f>
        <v>7.4422988719884023E-2</v>
      </c>
      <c r="AP10" s="96">
        <f>IF(ISERROR(GC_esters!M10), GC_esters!W10, IF(ISERROR(GC_esters!W10), GC_esters!M10, AVERAGE(GC_esters!M10,  GC_esters!W10)))</f>
        <v>15.807375</v>
      </c>
      <c r="AQ10" s="96">
        <f>IF(ISERROR(GC_esters!M10),0,IF(ISERROR(GC_esters!W10),0,STDEV(GC_esters!M10, GC_esters!W10)))</f>
        <v>1.1121021901111421</v>
      </c>
      <c r="AR10" s="96">
        <f>IF(ISERROR(GC_ketones!D10), GC_ketones!F10, IF(ISERROR(GC_ketones!F10), GC_ketones!D10, AVERAGE(GC_ketones!D10, GC_ketones!F10)))</f>
        <v>261.46750000000003</v>
      </c>
      <c r="AS10" s="96">
        <f>IF(ISERROR(GC_ketones!D10),0,IF(ISERROR(GC_ketones!F10),0,STDEV(GC_ketones!D10, GC_ketones!F10)))</f>
        <v>42.599648032583772</v>
      </c>
      <c r="AT10" s="96">
        <f>IF(ISERROR(GC_ketones!E10), GC_ketones!G10, IF(ISERROR(GC_ketones!G10), GC_ketones!E10, AVERAGE(GC_ketones!E10, GC_ketones!G10)))</f>
        <v>317.8075</v>
      </c>
      <c r="AU10" s="96">
        <f>IF(ISERROR(GC_ketones!E10),0,IF(ISERROR(GC_ketones!G10),0,STDEV(GC_ketones!E10, GC_ketones!G10)))</f>
        <v>20.248002679276784</v>
      </c>
      <c r="AV10">
        <f t="shared" si="13"/>
        <v>22.720805314955648</v>
      </c>
      <c r="AW10">
        <f t="shared" si="1"/>
        <v>6.6256221124379733E-2</v>
      </c>
      <c r="AX10">
        <f t="shared" si="0"/>
        <v>0.13351178430680677</v>
      </c>
      <c r="AY10">
        <f t="shared" si="2"/>
        <v>7.397422112017818E-2</v>
      </c>
      <c r="AZ10">
        <f t="shared" si="0"/>
        <v>0.43789343188230134</v>
      </c>
      <c r="BA10">
        <f t="shared" si="3"/>
        <v>3.8611830865327303E-2</v>
      </c>
      <c r="BB10">
        <f t="shared" si="0"/>
        <v>8.145952761991925</v>
      </c>
      <c r="BC10">
        <f t="shared" si="4"/>
        <v>3.1852285510329668E-2</v>
      </c>
      <c r="BD10">
        <f t="shared" si="0"/>
        <v>3.9873050058238855</v>
      </c>
      <c r="BE10">
        <f t="shared" si="5"/>
        <v>6.8666489851197443E-2</v>
      </c>
      <c r="BF10">
        <f t="shared" si="0"/>
        <v>46.600578037367967</v>
      </c>
      <c r="BG10">
        <f t="shared" si="6"/>
        <v>3.2069256828915836E-2</v>
      </c>
      <c r="BH10">
        <f t="shared" si="0"/>
        <v>0.50189081609548136</v>
      </c>
      <c r="BI10">
        <f t="shared" si="7"/>
        <v>3.7803896913327507E-2</v>
      </c>
      <c r="BJ10">
        <f t="shared" si="0"/>
        <v>4.5982751073270522</v>
      </c>
      <c r="BK10">
        <f t="shared" si="8"/>
        <v>3.340402879266062E-2</v>
      </c>
      <c r="BL10">
        <f t="shared" si="0"/>
        <v>9.966804446077024</v>
      </c>
      <c r="BM10">
        <f t="shared" si="9"/>
        <v>7.720936995624321E-2</v>
      </c>
      <c r="BN10">
        <f t="shared" si="0"/>
        <v>164.85946853950415</v>
      </c>
      <c r="BO10">
        <f t="shared" si="10"/>
        <v>0.16600094657830994</v>
      </c>
      <c r="BP10">
        <f t="shared" si="0"/>
        <v>200.38274564857377</v>
      </c>
      <c r="BQ10">
        <f t="shared" si="11"/>
        <v>7.1209891548409524E-2</v>
      </c>
      <c r="BR10">
        <f t="shared" si="12"/>
        <v>5.6982862564487746</v>
      </c>
    </row>
    <row r="11" spans="1:70" x14ac:dyDescent="0.25">
      <c r="A11">
        <f>CellCount_Viability!A11</f>
        <v>46277</v>
      </c>
      <c r="B11" s="69">
        <f>CellCount_Viability!B11</f>
        <v>216</v>
      </c>
      <c r="C11" s="63">
        <f>CellCount_Viability!C11</f>
        <v>9</v>
      </c>
      <c r="D11" s="11">
        <f>IF(ISERROR(CellCount_Viability!E11), CellCount_Viability!H11, IF(ISERROR(CellCount_Viability!H11), CellCount_Viability!E11, AVERAGE(CellCount_Viability!E11, CellCount_Viability!H11)))</f>
        <v>2362900</v>
      </c>
      <c r="E11" s="11">
        <f>IF(ISERROR(CellCount_Viability!E11),0,IF(ISERROR(CellCount_Viability!H11),0,STDEV(CellCount_Viability!E11,CellCount_Viability!H11)))</f>
        <v>73680.526599638251</v>
      </c>
      <c r="F11" s="92">
        <f>IF(ISERROR(CellCount_Viability!F11), CellCount_Viability!I11, IF(ISERROR(CellCount_Viability!I11), CellCount_Viability!F11, AVERAGE(CellCount_Viability!F11, CellCount_Viability!I11)))</f>
        <v>0.95765853812380142</v>
      </c>
      <c r="G11" s="92">
        <f>IF(ISERROR(CellCount_Viability!F11),0,IF(ISERROR(CellCount_Viability!I11),0,STDEV(CellCount_Viability!F11,CellCount_Viability!I11)))</f>
        <v>1.320301835895173E-3</v>
      </c>
      <c r="J11" s="96">
        <f>IF(ISERROR(Attenuation!D12), Attenuation!E12, IF(ISERROR(Attenuation!E12), Attenuation!D12, AVERAGE(Attenuation!D12, Attenuation!E12)))</f>
        <v>4.6555</v>
      </c>
      <c r="K11" s="96">
        <f>IF(ISERROR(Attenuation!D12),0,IF(ISERROR(Attenuation!E12),0,STDEV(Attenuation!D12,Attenuation!E12)))</f>
        <v>0.1986970055134209</v>
      </c>
      <c r="L11" s="96">
        <f>IF(ISERROR(pH!D12), pH!E12, IF(ISERROR(pH!E12), pH!D12, AVERAGE(pH!D12, pH!E12)))</f>
        <v>4.6438000000000006</v>
      </c>
      <c r="M11" s="96">
        <f>IF(ISERROR(pH!D12),0,IF(ISERROR(pH!E12),0,STDEV(pH!D12,pH!E12)))</f>
        <v>0.12275373721398432</v>
      </c>
      <c r="N11" s="96">
        <f>IF(ISERROR(HPLC!D11), HPLC!J11, IF(ISERROR( HPLC!J11), HPLC!D11, AVERAGE(HPLC!D11,  HPLC!J11)))</f>
        <v>17.788370190872399</v>
      </c>
      <c r="O11" s="96">
        <f>IF(ISERROR( HPLC!D11),0,IF(ISERROR( HPLC!J11),0,STDEV( HPLC!D11, HPLC!J11)))</f>
        <v>0.42181481448317149</v>
      </c>
      <c r="P11" s="96">
        <f>IF(ISERROR(HPLC!E11), HPLC!K11, IF(ISERROR( HPLC!K11), HPLC!E11, AVERAGE(HPLC!E11,  HPLC!K11)))</f>
        <v>3.2539524555013948</v>
      </c>
      <c r="Q11" s="96">
        <f>IF(ISERROR( HPLC!E11),0,IF(ISERROR( HPLC!K11),0,STDEV( HPLC!E11, HPLC!K11)))</f>
        <v>4.2240317811648179E-2</v>
      </c>
      <c r="R11" s="96">
        <f>IF(ISERROR(HPLC!F11), HPLC!L11, IF(ISERROR( HPLC!L11), HPLC!F11, AVERAGE(HPLC!F11,  HPLC!L11)))</f>
        <v>0</v>
      </c>
      <c r="S11" s="96">
        <f>IF(ISERROR( HPLC!F11),0,IF(ISERROR( HPLC!L11),0,STDEV( HPLC!F11, HPLC!L11)))</f>
        <v>0</v>
      </c>
      <c r="T11" s="96">
        <f>IF(ISERROR(HPLC!G11), HPLC!M11, IF(ISERROR( HPLC!M11), HPLC!G11, AVERAGE(HPLC!M11,  HPLC!G11)))</f>
        <v>0</v>
      </c>
      <c r="U11" s="96">
        <f>IF(ISERROR( HPLC!M11),0,IF(ISERROR( HPLC!G11),0,STDEV( HPLC!M11, HPLC!G11)))</f>
        <v>0</v>
      </c>
      <c r="V11" s="96">
        <f>IF(ISERROR(HPLC!H11), HPLC!N11, IF(ISERROR( HPLC!N11), HPLC!H11, AVERAGE(HPLC!H11,  HPLC!N11)))</f>
        <v>2.5845605757713388</v>
      </c>
      <c r="W11" s="96">
        <f>IF(ISERROR( HPLC!H11),0,IF(ISERROR( HPLC!N11),0,STDEV( HPLC!H11, HPLC!N11)))</f>
        <v>7.897499971561843E-2</v>
      </c>
      <c r="X11" s="96">
        <f>IF(ISERROR(HPLC!I11), HPLC!O11, IF(ISERROR( HPLC!O11), HPLC!I11, AVERAGE(HPLC!I11,  HPLC!O11)))</f>
        <v>56.683307962491426</v>
      </c>
      <c r="Y11" s="96">
        <f>IF(ISERROR( HPLC!I11),0,IF(ISERROR( HPLC!O11),0,STDEV( HPLC!I11, HPLC!O11)))</f>
        <v>1.5807525342901323</v>
      </c>
      <c r="Z11" s="96">
        <f>IF(ISERROR(GC_esters!D11), GC_esters!N11, IF(ISERROR(GC_esters!N11), GC_esters!D11, AVERAGE(GC_esters!D11,  GC_esters!N11)))</f>
        <v>37.265500000000003</v>
      </c>
      <c r="AA11" s="96">
        <f>IF(ISERROR(GC_esters!D11),0,IF(ISERROR(GC_esters!N11),0,STDEV(GC_esters!D11, GC_esters!N11)))</f>
        <v>2.0746512960013335</v>
      </c>
      <c r="AB11" s="96">
        <f>IF(ISERROR(GC_esters!F11), GC_esters!P11, IF(ISERROR(GC_esters!P11), GC_esters!F11, AVERAGE(GC_esters!F11,  GC_esters!P11)))</f>
        <v>0.21350000000000002</v>
      </c>
      <c r="AC11" s="96">
        <f>IF(ISERROR(GC_esters!F11),0,IF(ISERROR(GC_esters!P11),0,STDEV(GC_esters!F11, GC_esters!P11)))</f>
        <v>1.4142135623730944E-2</v>
      </c>
      <c r="AD11" s="96">
        <f>IF(ISERROR(GC_esters!G11), GC_esters!Q11, IF(ISERROR(GC_esters!Q11), GC_esters!G11, AVERAGE(GC_esters!G11,  GC_esters!Q11)))</f>
        <v>0.7014999999999999</v>
      </c>
      <c r="AE11" s="96">
        <f>IF(ISERROR(GC_esters!G11),0,IF(ISERROR(GC_esters!Q11),0,STDEV(GC_esters!G11, GC_esters!Q11)))</f>
        <v>1.2727922061357866E-2</v>
      </c>
      <c r="AF11" s="96">
        <f>IF(ISERROR(GC_esters!H11), GC_esters!R11, IF(ISERROR(GC_esters!R11), GC_esters!H11, AVERAGE(GC_esters!H11,  GC_esters!R11)))</f>
        <v>13.031499999999999</v>
      </c>
      <c r="AG11" s="96">
        <f>IF(ISERROR(GC_esters!H11),0,IF(ISERROR(GC_esters!R11),0,STDEV(GC_esters!H11, GC_esters!R11)))</f>
        <v>1.2020815280170927E-2</v>
      </c>
      <c r="AH11" s="96">
        <f>IF(ISERROR(GC_esters!I11), GC_esters!S11, IF(ISERROR(GC_esters!S11), GC_esters!I11, AVERAGE(GC_esters!I11,  GC_esters!S11)))</f>
        <v>6.3877499999999996</v>
      </c>
      <c r="AI11" s="96">
        <f>IF(ISERROR(GC_esters!I11),0,IF(ISERROR(GC_esters!S11),0,STDEV(GC_esters!I11, GC_esters!S11)))</f>
        <v>0.37370593385708989</v>
      </c>
      <c r="AJ11" s="96">
        <f>IF(ISERROR(GC_esters!J11), GC_esters!T11, IF(ISERROR(GC_esters!T11), GC_esters!J11, AVERAGE(GC_esters!J11,  GC_esters!T11)))</f>
        <v>74.159750000000003</v>
      </c>
      <c r="AK11" s="96">
        <f>IF(ISERROR(GC_esters!J11),0,IF(ISERROR(GC_esters!T11),0,STDEV(GC_esters!J11, GC_esters!T11)))</f>
        <v>0.26905413024146974</v>
      </c>
      <c r="AL11" s="96">
        <f>IF(ISERROR(GC_esters!K11), GC_esters!U11, IF(ISERROR(GC_esters!U11), GC_esters!K11, AVERAGE(GC_esters!K11,  GC_esters!U11)))</f>
        <v>0.78200000000000003</v>
      </c>
      <c r="AM11" s="96">
        <f>IF(ISERROR(GC_esters!K11),0,IF(ISERROR(GC_esters!U11),0,STDEV(GC_esters!K11, GC_esters!U11)))</f>
        <v>1.1313708498984771E-2</v>
      </c>
      <c r="AN11" s="96">
        <f>IF(ISERROR(GC_esters!L11), GC_esters!V11, IF(ISERROR(GC_esters!V11), GC_esters!L11, AVERAGE(GC_esters!L11,  GC_esters!V11)))</f>
        <v>7.4232500000000003</v>
      </c>
      <c r="AO11" s="96">
        <f>IF(ISERROR(GC_esters!L11),0,IF(ISERROR(GC_esters!V11),0,STDEV(GC_esters!L11, GC_esters!V11)))</f>
        <v>0.15238151134570133</v>
      </c>
      <c r="AP11" s="96">
        <f>IF(ISERROR(GC_esters!M11), GC_esters!W11, IF(ISERROR(GC_esters!W11), GC_esters!M11, AVERAGE(GC_esters!M11,  GC_esters!W11)))</f>
        <v>16.452249999999999</v>
      </c>
      <c r="AQ11" s="96">
        <f>IF(ISERROR(GC_esters!M11),0,IF(ISERROR(GC_esters!W11),0,STDEV(GC_esters!M11, GC_esters!W11)))</f>
        <v>1.4994199295060764</v>
      </c>
      <c r="AR11" s="96">
        <f>IF(ISERROR(GC_ketones!D11), GC_ketones!F11, IF(ISERROR(GC_ketones!F11), GC_ketones!D11, AVERAGE(GC_ketones!D11, GC_ketones!F11)))</f>
        <v>95</v>
      </c>
      <c r="AS11" s="96">
        <f>IF(ISERROR(GC_ketones!D11),0,IF(ISERROR(GC_ketones!F11),0,STDEV(GC_ketones!D11, GC_ketones!F11)))</f>
        <v>4.2426406871192848</v>
      </c>
      <c r="AT11" s="96">
        <f>IF(ISERROR(GC_ketones!E11), GC_ketones!G11, IF(ISERROR(GC_ketones!G11), GC_ketones!E11, AVERAGE(GC_ketones!E11, GC_ketones!G11)))</f>
        <v>95.25</v>
      </c>
      <c r="AU11" s="96">
        <f>IF(ISERROR(GC_ketones!E11),0,IF(ISERROR(GC_ketones!G11),0,STDEV(GC_ketones!E11, GC_ketones!G11)))</f>
        <v>8.1317279836452965</v>
      </c>
      <c r="AV11">
        <f t="shared" si="13"/>
        <v>24.06206251940225</v>
      </c>
      <c r="AW11">
        <f t="shared" si="1"/>
        <v>6.2266364418079992E-2</v>
      </c>
      <c r="AX11">
        <f t="shared" si="0"/>
        <v>0.13785539836825966</v>
      </c>
      <c r="AY11">
        <f t="shared" si="2"/>
        <v>7.1870594295976226E-2</v>
      </c>
      <c r="AZ11">
        <f t="shared" si="0"/>
        <v>0.45295345178142454</v>
      </c>
      <c r="BA11">
        <f t="shared" si="3"/>
        <v>3.3270247488308119E-2</v>
      </c>
      <c r="BB11">
        <f t="shared" si="0"/>
        <v>8.4143448423230716</v>
      </c>
      <c r="BC11">
        <f t="shared" si="4"/>
        <v>2.7902695071881575E-2</v>
      </c>
      <c r="BD11">
        <f t="shared" si="0"/>
        <v>4.12452375141382</v>
      </c>
      <c r="BE11">
        <f t="shared" si="5"/>
        <v>6.4810282353503834E-2</v>
      </c>
      <c r="BF11">
        <f t="shared" si="0"/>
        <v>47.884411611899502</v>
      </c>
      <c r="BG11">
        <f t="shared" si="6"/>
        <v>2.8122448781899467E-2</v>
      </c>
      <c r="BH11">
        <f t="shared" si="0"/>
        <v>0.50493171673994874</v>
      </c>
      <c r="BI11">
        <f t="shared" si="7"/>
        <v>3.1416916099084674E-2</v>
      </c>
      <c r="BJ11">
        <f t="shared" si="0"/>
        <v>4.7931385758181904</v>
      </c>
      <c r="BK11">
        <f t="shared" si="8"/>
        <v>3.4627906069169788E-2</v>
      </c>
      <c r="BL11">
        <f t="shared" si="0"/>
        <v>10.623098256694144</v>
      </c>
      <c r="BM11">
        <f t="shared" si="9"/>
        <v>9.530890084728201E-2</v>
      </c>
      <c r="BN11">
        <f t="shared" si="0"/>
        <v>61.340809578382519</v>
      </c>
      <c r="BO11">
        <f t="shared" si="10"/>
        <v>5.2651394331742388E-2</v>
      </c>
      <c r="BP11">
        <f t="shared" si="0"/>
        <v>61.502232761483526</v>
      </c>
      <c r="BQ11">
        <f t="shared" si="11"/>
        <v>8.9811850624759465E-2</v>
      </c>
      <c r="BR11">
        <f t="shared" si="12"/>
        <v>5.8339008257993825</v>
      </c>
    </row>
    <row r="12" spans="1:70" x14ac:dyDescent="0.25">
      <c r="A12">
        <f>CellCount_Viability!A12</f>
        <v>46278</v>
      </c>
      <c r="B12" s="69">
        <f>CellCount_Viability!B12</f>
        <v>240</v>
      </c>
      <c r="C12" s="63">
        <f>CellCount_Viability!C12</f>
        <v>10</v>
      </c>
      <c r="D12" s="11">
        <f>IF(ISERROR(CellCount_Viability!E12), CellCount_Viability!H12, IF(ISERROR(CellCount_Viability!H12), CellCount_Viability!E12, AVERAGE(CellCount_Viability!E12, CellCount_Viability!H12)))</f>
        <v>1805000</v>
      </c>
      <c r="E12" s="11">
        <f>IF(ISERROR(CellCount_Viability!E12),0,IF(ISERROR(CellCount_Viability!H12),0,STDEV(CellCount_Viability!E12,CellCount_Viability!H12)))</f>
        <v>134350.28842544404</v>
      </c>
      <c r="F12" s="92">
        <f>IF(ISERROR(CellCount_Viability!F12), CellCount_Viability!I12, IF(ISERROR(CellCount_Viability!I12), CellCount_Viability!F12, AVERAGE(CellCount_Viability!F12, CellCount_Viability!I12)))</f>
        <v>0.93888888888888888</v>
      </c>
      <c r="G12" s="92">
        <f>IF(ISERROR(CellCount_Viability!F12),0,IF(ISERROR(CellCount_Viability!I12),0,STDEV(CellCount_Viability!F12,CellCount_Viability!I12)))</f>
        <v>4.5486401128959865E-3</v>
      </c>
      <c r="J12" s="96">
        <f>IF(ISERROR(Attenuation!D13), Attenuation!E13, IF(ISERROR(Attenuation!E13), Attenuation!D13, AVERAGE(Attenuation!D13, Attenuation!E13)))</f>
        <v>4.0374999999999996</v>
      </c>
      <c r="K12" s="96">
        <f>IF(ISERROR(Attenuation!D13),0,IF(ISERROR(Attenuation!E13),0,STDEV(Attenuation!D13,Attenuation!E13)))</f>
        <v>6.7175144212722152E-2</v>
      </c>
      <c r="L12" s="96">
        <f>IF(ISERROR(pH!D13), pH!E13, IF(ISERROR(pH!E13), pH!D13, AVERAGE(pH!D13, pH!E13)))</f>
        <v>4.1372499999999999</v>
      </c>
      <c r="M12" s="96">
        <f>IF(ISERROR(pH!D13),0,IF(ISERROR(pH!E13),0,STDEV(pH!D13,pH!E13)))</f>
        <v>6.717514421272875E-3</v>
      </c>
      <c r="N12" s="96">
        <f>IF(ISERROR(HPLC!D12), HPLC!J12, IF(ISERROR( HPLC!J12), HPLC!D12, AVERAGE(HPLC!D12,  HPLC!J12)))</f>
        <v>18.474029294708281</v>
      </c>
      <c r="O12" s="96">
        <f>IF(ISERROR( HPLC!D12),0,IF(ISERROR( HPLC!J12),0,STDEV( HPLC!D12, HPLC!J12)))</f>
        <v>0.46298476131606292</v>
      </c>
      <c r="P12" s="96">
        <f>IF(ISERROR(HPLC!E12), HPLC!K12, IF(ISERROR( HPLC!K12), HPLC!E12, AVERAGE(HPLC!E12,  HPLC!K12)))</f>
        <v>3.3064247421977964</v>
      </c>
      <c r="Q12" s="96">
        <f>IF(ISERROR( HPLC!E12),0,IF(ISERROR( HPLC!K12),0,STDEV( HPLC!E12, HPLC!K12)))</f>
        <v>3.7858968105618597E-2</v>
      </c>
      <c r="R12" s="96">
        <f>IF(ISERROR(HPLC!F12), HPLC!L12, IF(ISERROR( HPLC!L12), HPLC!F12, AVERAGE(HPLC!F12,  HPLC!L12)))</f>
        <v>0</v>
      </c>
      <c r="S12" s="96">
        <f>IF(ISERROR( HPLC!F12),0,IF(ISERROR( HPLC!L12),0,STDEV( HPLC!F12, HPLC!L12)))</f>
        <v>0</v>
      </c>
      <c r="T12" s="96">
        <f>IF(ISERROR(HPLC!G12), HPLC!M12, IF(ISERROR( HPLC!M12), HPLC!G12, AVERAGE(HPLC!M12,  HPLC!G12)))</f>
        <v>0</v>
      </c>
      <c r="U12" s="96">
        <f>IF(ISERROR( HPLC!M12),0,IF(ISERROR( HPLC!G12),0,STDEV( HPLC!M12, HPLC!G12)))</f>
        <v>0</v>
      </c>
      <c r="V12" s="96">
        <f>IF(ISERROR(HPLC!H12), HPLC!N12, IF(ISERROR( HPLC!N12), HPLC!H12, AVERAGE(HPLC!H12,  HPLC!N12)))</f>
        <v>2.6700403742905294</v>
      </c>
      <c r="W12" s="96">
        <f>IF(ISERROR( HPLC!H12),0,IF(ISERROR( HPLC!N12),0,STDEV( HPLC!H12, HPLC!N12)))</f>
        <v>0.12253211398277349</v>
      </c>
      <c r="X12" s="96">
        <f>IF(ISERROR(HPLC!I12), HPLC!O12, IF(ISERROR( HPLC!O12), HPLC!I12, AVERAGE(HPLC!I12,  HPLC!O12)))</f>
        <v>62.146381937148263</v>
      </c>
      <c r="Y12" s="96">
        <f>IF(ISERROR( HPLC!I12),0,IF(ISERROR( HPLC!O12),0,STDEV( HPLC!I12, HPLC!O12)))</f>
        <v>1.552633879991433</v>
      </c>
      <c r="Z12" s="96">
        <f>IF(ISERROR(GC_esters!D12), GC_esters!N12, IF(ISERROR(GC_esters!N12), GC_esters!D12, AVERAGE(GC_esters!D12,  GC_esters!N12)))</f>
        <v>37.619999999999997</v>
      </c>
      <c r="AA12" s="96">
        <f>IF(ISERROR(GC_esters!D12),0,IF(ISERROR(GC_esters!N12),0,STDEV(GC_esters!D12, GC_esters!N12)))</f>
        <v>3.0476302269140212</v>
      </c>
      <c r="AB12" s="96">
        <f>IF(ISERROR(GC_esters!F12), GC_esters!P12, IF(ISERROR(GC_esters!P12), GC_esters!F12, AVERAGE(GC_esters!F12,  GC_esters!P12)))</f>
        <v>0.21250000000000002</v>
      </c>
      <c r="AC12" s="96">
        <f>IF(ISERROR(GC_esters!F12),0,IF(ISERROR(GC_esters!P12),0,STDEV(GC_esters!F12, GC_esters!P12)))</f>
        <v>1.7677669529663684E-2</v>
      </c>
      <c r="AD12" s="96">
        <f>IF(ISERROR(GC_esters!G12), GC_esters!Q12, IF(ISERROR(GC_esters!Q12), GC_esters!G12, AVERAGE(GC_esters!G12,  GC_esters!Q12)))</f>
        <v>0.70099999999999996</v>
      </c>
      <c r="AE12" s="96">
        <f>IF(ISERROR(GC_esters!G12),0,IF(ISERROR(GC_esters!Q12),0,STDEV(GC_esters!G12, GC_esters!Q12)))</f>
        <v>1.9798989873223347E-2</v>
      </c>
      <c r="AF12" s="96">
        <f>IF(ISERROR(GC_esters!H12), GC_esters!R12, IF(ISERROR(GC_esters!R12), GC_esters!H12, AVERAGE(GC_esters!H12,  GC_esters!R12)))</f>
        <v>12.991499999999998</v>
      </c>
      <c r="AG12" s="96">
        <f>IF(ISERROR(GC_esters!H12),0,IF(ISERROR(GC_esters!R12),0,STDEV(GC_esters!H12, GC_esters!R12)))</f>
        <v>0.19586857838867311</v>
      </c>
      <c r="AH12" s="96">
        <f>IF(ISERROR(GC_esters!I12), GC_esters!S12, IF(ISERROR(GC_esters!S12), GC_esters!I12, AVERAGE(GC_esters!I12,  GC_esters!S12)))</f>
        <v>6.379999999999999</v>
      </c>
      <c r="AI12" s="96">
        <f>IF(ISERROR(GC_esters!I12),0,IF(ISERROR(GC_esters!S12),0,STDEV(GC_esters!I12, GC_esters!S12)))</f>
        <v>0.4525483399593902</v>
      </c>
      <c r="AJ12" s="96">
        <f>IF(ISERROR(GC_esters!J12), GC_esters!T12, IF(ISERROR(GC_esters!T12), GC_esters!J12, AVERAGE(GC_esters!J12,  GC_esters!T12)))</f>
        <v>73.784999999999997</v>
      </c>
      <c r="AK12" s="96">
        <f>IF(ISERROR(GC_esters!J12),0,IF(ISERROR(GC_esters!T12),0,STDEV(GC_esters!J12, GC_esters!T12)))</f>
        <v>1.0748023074035495</v>
      </c>
      <c r="AL12" s="96">
        <f>IF(ISERROR(GC_esters!K12), GC_esters!U12, IF(ISERROR(GC_esters!U12), GC_esters!K12, AVERAGE(GC_esters!K12,  GC_esters!U12)))</f>
        <v>0.76849999999999996</v>
      </c>
      <c r="AM12" s="96">
        <f>IF(ISERROR(GC_esters!K12),0,IF(ISERROR(GC_esters!U12),0,STDEV(GC_esters!K12, GC_esters!U12)))</f>
        <v>9.1923881554251269E-3</v>
      </c>
      <c r="AN12" s="96">
        <f>IF(ISERROR(GC_esters!L12), GC_esters!V12, IF(ISERROR(GC_esters!V12), GC_esters!L12, AVERAGE(GC_esters!L12,  GC_esters!V12)))</f>
        <v>7.3934999999999995</v>
      </c>
      <c r="AO12" s="96">
        <f>IF(ISERROR(GC_esters!L12),0,IF(ISERROR(GC_esters!V12),0,STDEV(GC_esters!L12, GC_esters!V12)))</f>
        <v>1.9091883092036879E-2</v>
      </c>
      <c r="AP12" s="96">
        <f>IF(ISERROR(GC_esters!M12), GC_esters!W12, IF(ISERROR(GC_esters!W12), GC_esters!M12, AVERAGE(GC_esters!M12,  GC_esters!W12)))</f>
        <v>16.480499999999999</v>
      </c>
      <c r="AQ12" s="96">
        <f>IF(ISERROR(GC_esters!M12),0,IF(ISERROR(GC_esters!W12),0,STDEV(GC_esters!M12, GC_esters!W12)))</f>
        <v>1.08965154980847</v>
      </c>
      <c r="AR12" s="96">
        <f>IF(ISERROR(GC_ketones!D12), GC_ketones!F12, IF(ISERROR(GC_ketones!F12), GC_ketones!D12, AVERAGE(GC_ketones!D12, GC_ketones!F12)))</f>
        <v>81.75</v>
      </c>
      <c r="AS12" s="96">
        <f>IF(ISERROR(GC_ketones!D12),0,IF(ISERROR(GC_ketones!F12),0,STDEV(GC_ketones!D12, GC_ketones!F12)))</f>
        <v>4.5961940777125587</v>
      </c>
      <c r="AT12" s="96">
        <f>IF(ISERROR(GC_ketones!E12), GC_ketones!G12, IF(ISERROR(GC_ketones!G12), GC_ketones!E12, AVERAGE(GC_ketones!E12, GC_ketones!G12)))</f>
        <v>79.25</v>
      </c>
      <c r="AU12" s="96">
        <f>IF(ISERROR(GC_ketones!E12),0,IF(ISERROR(GC_ketones!G12),0,STDEV(GC_ketones!E12, GC_ketones!G12)))</f>
        <v>30.759144981614817</v>
      </c>
      <c r="AV12">
        <f t="shared" si="13"/>
        <v>22.155626073172204</v>
      </c>
      <c r="AW12">
        <f t="shared" si="1"/>
        <v>8.4775832139901475E-2</v>
      </c>
      <c r="AX12">
        <f t="shared" si="0"/>
        <v>0.12514807391145916</v>
      </c>
      <c r="AY12">
        <f t="shared" si="2"/>
        <v>8.6859601044659354E-2</v>
      </c>
      <c r="AZ12">
        <f t="shared" si="0"/>
        <v>0.41284141087968407</v>
      </c>
      <c r="BA12">
        <f t="shared" si="3"/>
        <v>3.7708012982449121E-2</v>
      </c>
      <c r="BB12">
        <f t="shared" si="0"/>
        <v>7.6511115398622174</v>
      </c>
      <c r="BC12">
        <f t="shared" si="4"/>
        <v>2.9180148965128827E-2</v>
      </c>
      <c r="BD12">
        <f t="shared" si="0"/>
        <v>3.7573868779063964</v>
      </c>
      <c r="BE12">
        <f t="shared" si="5"/>
        <v>7.5203538253486538E-2</v>
      </c>
      <c r="BF12">
        <f t="shared" si="0"/>
        <v>43.454355922621232</v>
      </c>
      <c r="BG12">
        <f t="shared" si="6"/>
        <v>2.8919944074940911E-2</v>
      </c>
      <c r="BH12">
        <f t="shared" si="0"/>
        <v>0.45259432847508868</v>
      </c>
      <c r="BI12">
        <f t="shared" si="7"/>
        <v>2.7699310196442891E-2</v>
      </c>
      <c r="BJ12">
        <f t="shared" si="0"/>
        <v>4.354269573949991</v>
      </c>
      <c r="BK12">
        <f t="shared" si="8"/>
        <v>2.511659005840736E-2</v>
      </c>
      <c r="BL12">
        <f t="shared" si="0"/>
        <v>9.7058956804602463</v>
      </c>
      <c r="BM12">
        <f t="shared" si="9"/>
        <v>7.0680376718493323E-2</v>
      </c>
      <c r="BN12">
        <f t="shared" si="0"/>
        <v>48.145200198878989</v>
      </c>
      <c r="BO12">
        <f t="shared" si="10"/>
        <v>6.1523581198074669E-2</v>
      </c>
      <c r="BP12">
        <f t="shared" si="0"/>
        <v>46.672869917567702</v>
      </c>
      <c r="BQ12">
        <f t="shared" si="11"/>
        <v>0.38893126522262139</v>
      </c>
      <c r="BR12">
        <f t="shared" si="12"/>
        <v>5.8965517241379315</v>
      </c>
    </row>
    <row r="13" spans="1:70" x14ac:dyDescent="0.25">
      <c r="A13">
        <f>CellCount_Viability!A13</f>
        <v>0</v>
      </c>
      <c r="B13" s="69" t="e">
        <f>CellCount_Viability!B13</f>
        <v>#VALUE!</v>
      </c>
      <c r="C13" s="63" t="str">
        <f>CellCount_Viability!C13</f>
        <v/>
      </c>
      <c r="D13" s="11" t="e">
        <f>IF(ISERROR(CellCount_Viability!E13), CellCount_Viability!H13, IF(ISERROR(CellCount_Viability!H13), CellCount_Viability!E13, AVERAGE(CellCount_Viability!E13, CellCount_Viability!H13)))</f>
        <v>#N/A</v>
      </c>
      <c r="E13" s="11">
        <f>IF(ISERROR(CellCount_Viability!E13),0,IF(ISERROR(CellCount_Viability!H13),0,STDEV(CellCount_Viability!E13,CellCount_Viability!H13)))</f>
        <v>0</v>
      </c>
      <c r="F13" s="92" t="e">
        <f>IF(ISERROR(CellCount_Viability!F13), CellCount_Viability!I13, IF(ISERROR(CellCount_Viability!I13), CellCount_Viability!F13, AVERAGE(CellCount_Viability!F13, CellCount_Viability!I13)))</f>
        <v>#N/A</v>
      </c>
      <c r="G13" s="92">
        <f>IF(ISERROR(CellCount_Viability!F13),0,IF(ISERROR(CellCount_Viability!I13),0,STDEV(CellCount_Viability!F13,CellCount_Viability!I13)))</f>
        <v>0</v>
      </c>
      <c r="J13" s="96" t="e">
        <f>IF(ISERROR(Attenuation!D14), Attenuation!E14, IF(ISERROR(Attenuation!E14), Attenuation!D14, AVERAGE(Attenuation!D14, Attenuation!E14)))</f>
        <v>#N/A</v>
      </c>
      <c r="K13" s="96">
        <f>IF(ISERROR(Attenuation!D14),0,IF(ISERROR(Attenuation!E14),0,STDEV(Attenuation!D14,Attenuation!E14)))</f>
        <v>0</v>
      </c>
      <c r="L13" s="96" t="e">
        <f>IF(ISERROR(pH!D14), pH!E14, IF(ISERROR(pH!E14), pH!D14, AVERAGE(pH!D14, pH!E14)))</f>
        <v>#N/A</v>
      </c>
      <c r="M13" s="96">
        <f>IF(ISERROR(pH!D14),0,IF(ISERROR(pH!E14),0,STDEV(pH!D14,pH!E14)))</f>
        <v>0</v>
      </c>
      <c r="N13" s="96" t="e">
        <f>IF(ISERROR(HPLC!D13), HPLC!J13, IF(ISERROR( HPLC!J13), HPLC!D13, AVERAGE(HPLC!D13,  HPLC!J13)))</f>
        <v>#N/A</v>
      </c>
      <c r="O13" s="96">
        <f>IF(ISERROR( HPLC!D13),0,IF(ISERROR( HPLC!J13),0,STDEV( HPLC!D13, HPLC!J13)))</f>
        <v>0</v>
      </c>
      <c r="P13" s="96" t="e">
        <f>IF(ISERROR(HPLC!E13), HPLC!K13, IF(ISERROR( HPLC!K13), HPLC!E13, AVERAGE(HPLC!E13,  HPLC!K13)))</f>
        <v>#N/A</v>
      </c>
      <c r="Q13" s="96">
        <f>IF(ISERROR( HPLC!E13),0,IF(ISERROR( HPLC!K13),0,STDEV( HPLC!E13, HPLC!K13)))</f>
        <v>0</v>
      </c>
      <c r="R13" s="96" t="e">
        <f>IF(ISERROR(HPLC!F13), HPLC!L13, IF(ISERROR( HPLC!L13), HPLC!F13, AVERAGE(HPLC!F13,  HPLC!L13)))</f>
        <v>#N/A</v>
      </c>
      <c r="S13" s="96">
        <f>IF(ISERROR( HPLC!F13),0,IF(ISERROR( HPLC!L13),0,STDEV( HPLC!F13, HPLC!L13)))</f>
        <v>0</v>
      </c>
      <c r="T13" s="96" t="e">
        <f>IF(ISERROR(HPLC!G13), HPLC!M13, IF(ISERROR( HPLC!M13), HPLC!G13, AVERAGE(HPLC!M13,  HPLC!G13)))</f>
        <v>#N/A</v>
      </c>
      <c r="U13" s="96">
        <f>IF(ISERROR( HPLC!M13),0,IF(ISERROR( HPLC!G13),0,STDEV( HPLC!M13, HPLC!G13)))</f>
        <v>0</v>
      </c>
      <c r="V13" s="96" t="e">
        <f>IF(ISERROR(HPLC!H13), HPLC!N13, IF(ISERROR( HPLC!N13), HPLC!H13, AVERAGE(HPLC!H13,  HPLC!N13)))</f>
        <v>#N/A</v>
      </c>
      <c r="W13" s="96">
        <f>IF(ISERROR( HPLC!H13),0,IF(ISERROR( HPLC!N13),0,STDEV( HPLC!H13, HPLC!N13)))</f>
        <v>0</v>
      </c>
      <c r="X13" s="96" t="e">
        <f>IF(ISERROR(HPLC!I13), HPLC!O13, IF(ISERROR( HPLC!O13), HPLC!I13, AVERAGE(HPLC!I13,  HPLC!O13)))</f>
        <v>#N/A</v>
      </c>
      <c r="Y13" s="96">
        <f>IF(ISERROR( HPLC!I13),0,IF(ISERROR( HPLC!O13),0,STDEV( HPLC!I13, HPLC!O13)))</f>
        <v>0</v>
      </c>
      <c r="Z13" s="96" t="e">
        <f>IF(ISERROR(GC_esters!D13), GC_esters!N13, IF(ISERROR(GC_esters!N13), GC_esters!D13, AVERAGE(GC_esters!D13,  GC_esters!N13)))</f>
        <v>#N/A</v>
      </c>
      <c r="AA13" s="96">
        <f>IF(ISERROR(GC_esters!D13),0,IF(ISERROR(GC_esters!N13),0,STDEV(GC_esters!D13, GC_esters!N13)))</f>
        <v>0</v>
      </c>
      <c r="AB13" s="96" t="e">
        <f>IF(ISERROR(GC_esters!F13), GC_esters!P13, IF(ISERROR(GC_esters!P13), GC_esters!F13, AVERAGE(GC_esters!F13,  GC_esters!P13)))</f>
        <v>#N/A</v>
      </c>
      <c r="AC13" s="96">
        <f>IF(ISERROR(GC_esters!F13),0,IF(ISERROR(GC_esters!P13),0,STDEV(GC_esters!F13, GC_esters!P13)))</f>
        <v>0</v>
      </c>
      <c r="AD13" s="96" t="e">
        <f>IF(ISERROR(GC_esters!G13), GC_esters!Q13, IF(ISERROR(GC_esters!Q13), GC_esters!G13, AVERAGE(GC_esters!G13,  GC_esters!Q13)))</f>
        <v>#N/A</v>
      </c>
      <c r="AE13" s="96">
        <f>IF(ISERROR(GC_esters!G13),0,IF(ISERROR(GC_esters!Q13),0,STDEV(GC_esters!G13, GC_esters!Q13)))</f>
        <v>0</v>
      </c>
      <c r="AF13" s="96" t="e">
        <f>IF(ISERROR(GC_esters!H13), GC_esters!R13, IF(ISERROR(GC_esters!R13), GC_esters!H13, AVERAGE(GC_esters!H13,  GC_esters!R13)))</f>
        <v>#N/A</v>
      </c>
      <c r="AG13" s="96">
        <f>IF(ISERROR(GC_esters!H13),0,IF(ISERROR(GC_esters!R13),0,STDEV(GC_esters!H13, GC_esters!R13)))</f>
        <v>0</v>
      </c>
      <c r="AH13" s="96" t="e">
        <f>IF(ISERROR(GC_esters!I13), GC_esters!S13, IF(ISERROR(GC_esters!S13), GC_esters!I13, AVERAGE(GC_esters!I13,  GC_esters!S13)))</f>
        <v>#N/A</v>
      </c>
      <c r="AI13" s="96">
        <f>IF(ISERROR(GC_esters!I13),0,IF(ISERROR(GC_esters!S13),0,STDEV(GC_esters!I13, GC_esters!S13)))</f>
        <v>0</v>
      </c>
      <c r="AJ13" s="96" t="e">
        <f>IF(ISERROR(GC_esters!J13), GC_esters!T13, IF(ISERROR(GC_esters!T13), GC_esters!J13, AVERAGE(GC_esters!J13,  GC_esters!T13)))</f>
        <v>#N/A</v>
      </c>
      <c r="AK13" s="96">
        <f>IF(ISERROR(GC_esters!J13),0,IF(ISERROR(GC_esters!T13),0,STDEV(GC_esters!J13, GC_esters!T13)))</f>
        <v>0</v>
      </c>
      <c r="AL13" s="96" t="e">
        <f>IF(ISERROR(GC_esters!K13), GC_esters!U13, IF(ISERROR(GC_esters!U13), GC_esters!K13, AVERAGE(GC_esters!K13,  GC_esters!U13)))</f>
        <v>#N/A</v>
      </c>
      <c r="AM13" s="96">
        <f>IF(ISERROR(GC_esters!K13),0,IF(ISERROR(GC_esters!U13),0,STDEV(GC_esters!K13, GC_esters!U13)))</f>
        <v>0</v>
      </c>
      <c r="AN13" s="96" t="e">
        <f>IF(ISERROR(GC_esters!L13), GC_esters!V13, IF(ISERROR(GC_esters!V13), GC_esters!L13, AVERAGE(GC_esters!L13,  GC_esters!V13)))</f>
        <v>#N/A</v>
      </c>
      <c r="AO13" s="96">
        <f>IF(ISERROR(GC_esters!L13),0,IF(ISERROR(GC_esters!V13),0,STDEV(GC_esters!L13, GC_esters!V13)))</f>
        <v>0</v>
      </c>
      <c r="AP13" s="96" t="e">
        <f>IF(ISERROR(GC_esters!M13), GC_esters!W13, IF(ISERROR(GC_esters!W13), GC_esters!M13, AVERAGE(GC_esters!M13,  GC_esters!W13)))</f>
        <v>#N/A</v>
      </c>
      <c r="AQ13" s="96">
        <f>IF(ISERROR(GC_esters!M13),0,IF(ISERROR(GC_esters!W13),0,STDEV(GC_esters!M13, GC_esters!W13)))</f>
        <v>0</v>
      </c>
      <c r="AR13" s="96" t="e">
        <f>IF(ISERROR(GC_ketones!D13), GC_ketones!F13, IF(ISERROR(GC_ketones!F13), GC_ketones!D13, AVERAGE(GC_ketones!D13, GC_ketones!F13)))</f>
        <v>#N/A</v>
      </c>
      <c r="AS13" s="96">
        <f>IF(ISERROR(GC_ketones!D13),0,IF(ISERROR(GC_ketones!F13),0,STDEV(GC_ketones!D13, GC_ketones!F13)))</f>
        <v>0</v>
      </c>
      <c r="AT13" s="96" t="e">
        <f>IF(ISERROR(GC_ketones!E13), GC_ketones!G13, IF(ISERROR(GC_ketones!G13), GC_ketones!E13, AVERAGE(GC_ketones!E13, GC_ketones!G13)))</f>
        <v>#N/A</v>
      </c>
      <c r="AU13" s="96">
        <f>IF(ISERROR(GC_ketones!E13),0,IF(ISERROR(GC_ketones!G13),0,STDEV(GC_ketones!E13, GC_ketones!G13)))</f>
        <v>0</v>
      </c>
      <c r="AV13" t="e">
        <f t="shared" si="13"/>
        <v>#N/A</v>
      </c>
      <c r="AW13" t="e">
        <f t="shared" si="1"/>
        <v>#N/A</v>
      </c>
      <c r="AX13" t="e">
        <f t="shared" si="0"/>
        <v>#N/A</v>
      </c>
      <c r="AY13" t="e">
        <f t="shared" si="2"/>
        <v>#N/A</v>
      </c>
      <c r="AZ13" t="e">
        <f t="shared" si="0"/>
        <v>#N/A</v>
      </c>
      <c r="BA13" t="e">
        <f t="shared" si="3"/>
        <v>#N/A</v>
      </c>
      <c r="BB13" t="e">
        <f t="shared" si="0"/>
        <v>#N/A</v>
      </c>
      <c r="BC13" t="e">
        <f t="shared" si="4"/>
        <v>#N/A</v>
      </c>
      <c r="BD13" t="e">
        <f t="shared" si="0"/>
        <v>#N/A</v>
      </c>
      <c r="BE13" t="e">
        <f t="shared" si="5"/>
        <v>#N/A</v>
      </c>
      <c r="BF13" t="e">
        <f t="shared" si="0"/>
        <v>#N/A</v>
      </c>
      <c r="BG13" t="e">
        <f t="shared" si="6"/>
        <v>#N/A</v>
      </c>
      <c r="BH13" t="e">
        <f t="shared" si="0"/>
        <v>#N/A</v>
      </c>
      <c r="BI13" t="e">
        <f t="shared" si="7"/>
        <v>#N/A</v>
      </c>
      <c r="BJ13" t="e">
        <f t="shared" si="0"/>
        <v>#N/A</v>
      </c>
      <c r="BK13" t="e">
        <f t="shared" si="8"/>
        <v>#N/A</v>
      </c>
      <c r="BL13" t="e">
        <f t="shared" si="0"/>
        <v>#N/A</v>
      </c>
      <c r="BM13" t="e">
        <f t="shared" si="9"/>
        <v>#N/A</v>
      </c>
      <c r="BN13" t="e">
        <f t="shared" si="0"/>
        <v>#N/A</v>
      </c>
      <c r="BO13" t="e">
        <f t="shared" si="10"/>
        <v>#N/A</v>
      </c>
      <c r="BP13" t="e">
        <f t="shared" si="0"/>
        <v>#N/A</v>
      </c>
      <c r="BQ13" t="e">
        <f t="shared" si="11"/>
        <v>#N/A</v>
      </c>
      <c r="BR13" t="e">
        <f t="shared" si="12"/>
        <v>#N/A</v>
      </c>
    </row>
    <row r="14" spans="1:70" x14ac:dyDescent="0.25">
      <c r="A14">
        <f>CellCount_Viability!A14</f>
        <v>0</v>
      </c>
      <c r="B14" s="69" t="e">
        <f>CellCount_Viability!B14</f>
        <v>#VALUE!</v>
      </c>
      <c r="C14" s="63" t="str">
        <f>CellCount_Viability!C14</f>
        <v/>
      </c>
      <c r="D14" s="11" t="e">
        <f>IF(ISERROR(CellCount_Viability!E14), CellCount_Viability!H14, IF(ISERROR(CellCount_Viability!H14), CellCount_Viability!E14, AVERAGE(CellCount_Viability!E14, CellCount_Viability!H14)))</f>
        <v>#N/A</v>
      </c>
      <c r="E14" s="11">
        <f>IF(ISERROR(CellCount_Viability!E14),0,IF(ISERROR(CellCount_Viability!H14),0,STDEV(CellCount_Viability!E14,CellCount_Viability!H14)))</f>
        <v>0</v>
      </c>
      <c r="F14" s="92" t="e">
        <f>IF(ISERROR(CellCount_Viability!F14), CellCount_Viability!I14, IF(ISERROR(CellCount_Viability!I14), CellCount_Viability!F14, AVERAGE(CellCount_Viability!F14, CellCount_Viability!I14)))</f>
        <v>#N/A</v>
      </c>
      <c r="G14" s="92">
        <f>IF(ISERROR(CellCount_Viability!F14),0,IF(ISERROR(CellCount_Viability!I14),0,STDEV(CellCount_Viability!F14,CellCount_Viability!I14)))</f>
        <v>0</v>
      </c>
      <c r="J14" s="96" t="e">
        <f>IF(ISERROR(Attenuation!D15), Attenuation!E15, IF(ISERROR(Attenuation!E15), Attenuation!D15, AVERAGE(Attenuation!D15, Attenuation!E15)))</f>
        <v>#N/A</v>
      </c>
      <c r="K14" s="96">
        <f>IF(ISERROR(Attenuation!D15),0,IF(ISERROR(Attenuation!E15),0,STDEV(Attenuation!D15,Attenuation!E15)))</f>
        <v>0</v>
      </c>
      <c r="L14" s="96" t="e">
        <f>IF(ISERROR(pH!D15), pH!E15, IF(ISERROR(pH!E15), pH!D15, AVERAGE(pH!D15, pH!E15)))</f>
        <v>#N/A</v>
      </c>
      <c r="M14" s="96">
        <f>IF(ISERROR(pH!D15),0,IF(ISERROR(pH!E15),0,STDEV(pH!D15,pH!E15)))</f>
        <v>0</v>
      </c>
      <c r="N14" s="96" t="e">
        <f>IF(ISERROR(HPLC!D14), HPLC!J14, IF(ISERROR( HPLC!J14), HPLC!D14, AVERAGE(HPLC!D14,  HPLC!J14)))</f>
        <v>#N/A</v>
      </c>
      <c r="O14" s="96">
        <f>IF(ISERROR( HPLC!D14),0,IF(ISERROR( HPLC!J14),0,STDEV( HPLC!D14, HPLC!J14)))</f>
        <v>0</v>
      </c>
      <c r="P14" s="96" t="e">
        <f>IF(ISERROR(HPLC!E14), HPLC!K14, IF(ISERROR( HPLC!K14), HPLC!E14, AVERAGE(HPLC!E14,  HPLC!K14)))</f>
        <v>#N/A</v>
      </c>
      <c r="Q14" s="96">
        <f>IF(ISERROR( HPLC!E14),0,IF(ISERROR( HPLC!K14),0,STDEV( HPLC!E14, HPLC!K14)))</f>
        <v>0</v>
      </c>
      <c r="R14" s="96" t="e">
        <f>IF(ISERROR(HPLC!F14), HPLC!L14, IF(ISERROR( HPLC!L14), HPLC!F14, AVERAGE(HPLC!F14,  HPLC!L14)))</f>
        <v>#N/A</v>
      </c>
      <c r="S14" s="96">
        <f>IF(ISERROR( HPLC!F14),0,IF(ISERROR( HPLC!L14),0,STDEV( HPLC!F14, HPLC!L14)))</f>
        <v>0</v>
      </c>
      <c r="T14" s="96" t="e">
        <f>IF(ISERROR(HPLC!G14), HPLC!M14, IF(ISERROR( HPLC!M14), HPLC!G14, AVERAGE(HPLC!M14,  HPLC!G14)))</f>
        <v>#N/A</v>
      </c>
      <c r="U14" s="96">
        <f>IF(ISERROR( HPLC!M14),0,IF(ISERROR( HPLC!G14),0,STDEV( HPLC!M14, HPLC!G14)))</f>
        <v>0</v>
      </c>
      <c r="V14" s="96" t="e">
        <f>IF(ISERROR(HPLC!H14), HPLC!N14, IF(ISERROR( HPLC!N14), HPLC!H14, AVERAGE(HPLC!H14,  HPLC!N14)))</f>
        <v>#N/A</v>
      </c>
      <c r="W14" s="96">
        <f>IF(ISERROR( HPLC!H14),0,IF(ISERROR( HPLC!N14),0,STDEV( HPLC!H14, HPLC!N14)))</f>
        <v>0</v>
      </c>
      <c r="X14" s="96" t="e">
        <f>IF(ISERROR(HPLC!I14), HPLC!O14, IF(ISERROR( HPLC!O14), HPLC!I14, AVERAGE(HPLC!I14,  HPLC!O14)))</f>
        <v>#N/A</v>
      </c>
      <c r="Y14" s="96">
        <f>IF(ISERROR( HPLC!I14),0,IF(ISERROR( HPLC!O14),0,STDEV( HPLC!I14, HPLC!O14)))</f>
        <v>0</v>
      </c>
      <c r="Z14" s="96" t="e">
        <f>IF(ISERROR(GC_esters!D14), GC_esters!N14, IF(ISERROR(GC_esters!N14), GC_esters!D14, AVERAGE(GC_esters!D14,  GC_esters!N14)))</f>
        <v>#N/A</v>
      </c>
      <c r="AA14" s="96">
        <f>IF(ISERROR(GC_esters!D14),0,IF(ISERROR(GC_esters!N14),0,STDEV(GC_esters!D14, GC_esters!N14)))</f>
        <v>0</v>
      </c>
      <c r="AB14" s="96" t="e">
        <f>IF(ISERROR(GC_esters!F14), GC_esters!P14, IF(ISERROR(GC_esters!P14), GC_esters!F14, AVERAGE(GC_esters!F14,  GC_esters!P14)))</f>
        <v>#N/A</v>
      </c>
      <c r="AC14" s="96">
        <f>IF(ISERROR(GC_esters!F14),0,IF(ISERROR(GC_esters!P14),0,STDEV(GC_esters!F14, GC_esters!P14)))</f>
        <v>0</v>
      </c>
      <c r="AD14" s="96" t="e">
        <f>IF(ISERROR(GC_esters!G14), GC_esters!Q14, IF(ISERROR(GC_esters!Q14), GC_esters!G14, AVERAGE(GC_esters!G14,  GC_esters!Q14)))</f>
        <v>#N/A</v>
      </c>
      <c r="AE14" s="96">
        <f>IF(ISERROR(GC_esters!G14),0,IF(ISERROR(GC_esters!Q14),0,STDEV(GC_esters!G14, GC_esters!Q14)))</f>
        <v>0</v>
      </c>
      <c r="AF14" s="96" t="e">
        <f>IF(ISERROR(GC_esters!H14), GC_esters!R14, IF(ISERROR(GC_esters!R14), GC_esters!H14, AVERAGE(GC_esters!H14,  GC_esters!R14)))</f>
        <v>#N/A</v>
      </c>
      <c r="AG14" s="96">
        <f>IF(ISERROR(GC_esters!H14),0,IF(ISERROR(GC_esters!R14),0,STDEV(GC_esters!H14, GC_esters!R14)))</f>
        <v>0</v>
      </c>
      <c r="AH14" s="96" t="e">
        <f>IF(ISERROR(GC_esters!I14), GC_esters!S14, IF(ISERROR(GC_esters!S14), GC_esters!I14, AVERAGE(GC_esters!I14,  GC_esters!S14)))</f>
        <v>#N/A</v>
      </c>
      <c r="AI14" s="96">
        <f>IF(ISERROR(GC_esters!I14),0,IF(ISERROR(GC_esters!S14),0,STDEV(GC_esters!I14, GC_esters!S14)))</f>
        <v>0</v>
      </c>
      <c r="AJ14" s="96" t="e">
        <f>IF(ISERROR(GC_esters!J14), GC_esters!T14, IF(ISERROR(GC_esters!T14), GC_esters!J14, AVERAGE(GC_esters!J14,  GC_esters!T14)))</f>
        <v>#N/A</v>
      </c>
      <c r="AK14" s="96">
        <f>IF(ISERROR(GC_esters!J14),0,IF(ISERROR(GC_esters!T14),0,STDEV(GC_esters!J14, GC_esters!T14)))</f>
        <v>0</v>
      </c>
      <c r="AL14" s="96" t="e">
        <f>IF(ISERROR(GC_esters!K14), GC_esters!U14, IF(ISERROR(GC_esters!U14), GC_esters!K14, AVERAGE(GC_esters!K14,  GC_esters!U14)))</f>
        <v>#N/A</v>
      </c>
      <c r="AM14" s="96">
        <f>IF(ISERROR(GC_esters!K14),0,IF(ISERROR(GC_esters!U14),0,STDEV(GC_esters!K14, GC_esters!U14)))</f>
        <v>0</v>
      </c>
      <c r="AN14" s="96" t="e">
        <f>IF(ISERROR(GC_esters!L14), GC_esters!V14, IF(ISERROR(GC_esters!V14), GC_esters!L14, AVERAGE(GC_esters!L14,  GC_esters!V14)))</f>
        <v>#N/A</v>
      </c>
      <c r="AO14" s="96">
        <f>IF(ISERROR(GC_esters!L14),0,IF(ISERROR(GC_esters!V14),0,STDEV(GC_esters!L14, GC_esters!V14)))</f>
        <v>0</v>
      </c>
      <c r="AP14" s="96" t="e">
        <f>IF(ISERROR(GC_esters!M14), GC_esters!W14, IF(ISERROR(GC_esters!W14), GC_esters!M14, AVERAGE(GC_esters!M14,  GC_esters!W14)))</f>
        <v>#N/A</v>
      </c>
      <c r="AQ14" s="96">
        <f>IF(ISERROR(GC_esters!M14),0,IF(ISERROR(GC_esters!W14),0,STDEV(GC_esters!M14, GC_esters!W14)))</f>
        <v>0</v>
      </c>
      <c r="AR14" s="96" t="e">
        <f>IF(ISERROR(GC_ketones!D14), GC_ketones!F14, IF(ISERROR(GC_ketones!F14), GC_ketones!D14, AVERAGE(GC_ketones!D14, GC_ketones!F14)))</f>
        <v>#N/A</v>
      </c>
      <c r="AS14" s="96">
        <f>IF(ISERROR(GC_ketones!D14),0,IF(ISERROR(GC_ketones!F14),0,STDEV(GC_ketones!D14, GC_ketones!F14)))</f>
        <v>0</v>
      </c>
      <c r="AT14" s="96" t="e">
        <f>IF(ISERROR(GC_ketones!E14), GC_ketones!G14, IF(ISERROR(GC_ketones!G14), GC_ketones!E14, AVERAGE(GC_ketones!E14, GC_ketones!G14)))</f>
        <v>#N/A</v>
      </c>
      <c r="AU14" s="96">
        <f>IF(ISERROR(GC_ketones!E14),0,IF(ISERROR(GC_ketones!G14),0,STDEV(GC_ketones!E14, GC_ketones!G14)))</f>
        <v>0</v>
      </c>
      <c r="AV14" t="e">
        <f t="shared" si="13"/>
        <v>#N/A</v>
      </c>
      <c r="AW14" t="e">
        <f t="shared" si="1"/>
        <v>#N/A</v>
      </c>
      <c r="AX14" t="e">
        <f t="shared" si="0"/>
        <v>#N/A</v>
      </c>
      <c r="AY14" t="e">
        <f t="shared" si="2"/>
        <v>#N/A</v>
      </c>
      <c r="AZ14" t="e">
        <f t="shared" si="0"/>
        <v>#N/A</v>
      </c>
      <c r="BA14" t="e">
        <f t="shared" si="3"/>
        <v>#N/A</v>
      </c>
      <c r="BB14" t="e">
        <f t="shared" si="0"/>
        <v>#N/A</v>
      </c>
      <c r="BC14" t="e">
        <f t="shared" si="4"/>
        <v>#N/A</v>
      </c>
      <c r="BD14" t="e">
        <f t="shared" si="0"/>
        <v>#N/A</v>
      </c>
      <c r="BE14" t="e">
        <f t="shared" si="5"/>
        <v>#N/A</v>
      </c>
      <c r="BF14" t="e">
        <f t="shared" si="0"/>
        <v>#N/A</v>
      </c>
      <c r="BG14" t="e">
        <f t="shared" si="6"/>
        <v>#N/A</v>
      </c>
      <c r="BH14" t="e">
        <f t="shared" si="0"/>
        <v>#N/A</v>
      </c>
      <c r="BI14" t="e">
        <f t="shared" si="7"/>
        <v>#N/A</v>
      </c>
      <c r="BJ14" t="e">
        <f t="shared" si="0"/>
        <v>#N/A</v>
      </c>
      <c r="BK14" t="e">
        <f t="shared" si="8"/>
        <v>#N/A</v>
      </c>
      <c r="BL14" t="e">
        <f t="shared" si="0"/>
        <v>#N/A</v>
      </c>
      <c r="BM14" t="e">
        <f t="shared" si="9"/>
        <v>#N/A</v>
      </c>
      <c r="BN14" t="e">
        <f t="shared" si="0"/>
        <v>#N/A</v>
      </c>
      <c r="BO14" t="e">
        <f t="shared" si="10"/>
        <v>#N/A</v>
      </c>
      <c r="BP14" t="e">
        <f t="shared" si="0"/>
        <v>#N/A</v>
      </c>
      <c r="BQ14" t="e">
        <f t="shared" si="11"/>
        <v>#N/A</v>
      </c>
      <c r="BR14" t="e">
        <f t="shared" si="12"/>
        <v>#N/A</v>
      </c>
    </row>
    <row r="15" spans="1:70" x14ac:dyDescent="0.25">
      <c r="A15">
        <f>CellCount_Viability!A15</f>
        <v>0</v>
      </c>
      <c r="B15" s="69" t="e">
        <f>CellCount_Viability!B15</f>
        <v>#VALUE!</v>
      </c>
      <c r="C15" s="63" t="str">
        <f>CellCount_Viability!C15</f>
        <v/>
      </c>
      <c r="D15" s="11" t="e">
        <f>IF(ISERROR(CellCount_Viability!E15), CellCount_Viability!H15, IF(ISERROR(CellCount_Viability!H15), CellCount_Viability!E15, AVERAGE(CellCount_Viability!E15, CellCount_Viability!H15)))</f>
        <v>#N/A</v>
      </c>
      <c r="E15" s="11">
        <f>IF(ISERROR(CellCount_Viability!E15),0,IF(ISERROR(CellCount_Viability!H15),0,STDEV(CellCount_Viability!E15,CellCount_Viability!H15)))</f>
        <v>0</v>
      </c>
      <c r="F15" s="92" t="e">
        <f>IF(ISERROR(CellCount_Viability!F15), CellCount_Viability!I15, IF(ISERROR(CellCount_Viability!I15), CellCount_Viability!F15, AVERAGE(CellCount_Viability!F15, CellCount_Viability!I15)))</f>
        <v>#N/A</v>
      </c>
      <c r="G15" s="92">
        <f>IF(ISERROR(CellCount_Viability!F15),0,IF(ISERROR(CellCount_Viability!I15),0,STDEV(CellCount_Viability!F15,CellCount_Viability!I15)))</f>
        <v>0</v>
      </c>
      <c r="J15" s="96" t="e">
        <f>IF(ISERROR(Attenuation!D16), Attenuation!E16, IF(ISERROR(Attenuation!E16), Attenuation!D16, AVERAGE(Attenuation!D16, Attenuation!E16)))</f>
        <v>#N/A</v>
      </c>
      <c r="K15" s="96">
        <f>IF(ISERROR(Attenuation!D16),0,IF(ISERROR(Attenuation!E16),0,STDEV(Attenuation!D16,Attenuation!E16)))</f>
        <v>0</v>
      </c>
      <c r="L15" s="96" t="e">
        <f>IF(ISERROR(pH!D16), pH!E16, IF(ISERROR(pH!E16), pH!D16, AVERAGE(pH!D16, pH!E16)))</f>
        <v>#N/A</v>
      </c>
      <c r="M15" s="96">
        <f>IF(ISERROR(pH!D16),0,IF(ISERROR(pH!E16),0,STDEV(pH!D16,pH!E16)))</f>
        <v>0</v>
      </c>
      <c r="N15" s="96" t="e">
        <f>IF(ISERROR(HPLC!D15), HPLC!J15, IF(ISERROR( HPLC!J15), HPLC!D15, AVERAGE(HPLC!D15,  HPLC!J15)))</f>
        <v>#N/A</v>
      </c>
      <c r="O15" s="96">
        <f>IF(ISERROR( HPLC!D15),0,IF(ISERROR( HPLC!J15),0,STDEV( HPLC!D15, HPLC!J15)))</f>
        <v>0</v>
      </c>
      <c r="P15" s="96" t="e">
        <f>IF(ISERROR(HPLC!E15), HPLC!K15, IF(ISERROR( HPLC!K15), HPLC!E15, AVERAGE(HPLC!E15,  HPLC!K15)))</f>
        <v>#N/A</v>
      </c>
      <c r="Q15" s="96">
        <f>IF(ISERROR( HPLC!E15),0,IF(ISERROR( HPLC!K15),0,STDEV( HPLC!E15, HPLC!K15)))</f>
        <v>0</v>
      </c>
      <c r="R15" s="96" t="e">
        <f>IF(ISERROR(HPLC!F15), HPLC!L15, IF(ISERROR( HPLC!L15), HPLC!F15, AVERAGE(HPLC!F15,  HPLC!L15)))</f>
        <v>#N/A</v>
      </c>
      <c r="S15" s="96">
        <f>IF(ISERROR( HPLC!F15),0,IF(ISERROR( HPLC!L15),0,STDEV( HPLC!F15, HPLC!L15)))</f>
        <v>0</v>
      </c>
      <c r="T15" s="96" t="e">
        <f>IF(ISERROR(HPLC!G15), HPLC!M15, IF(ISERROR( HPLC!M15), HPLC!G15, AVERAGE(HPLC!M15,  HPLC!G15)))</f>
        <v>#N/A</v>
      </c>
      <c r="U15" s="96">
        <f>IF(ISERROR( HPLC!M15),0,IF(ISERROR( HPLC!G15),0,STDEV( HPLC!M15, HPLC!G15)))</f>
        <v>0</v>
      </c>
      <c r="V15" s="96" t="e">
        <f>IF(ISERROR(HPLC!H15), HPLC!N15, IF(ISERROR( HPLC!N15), HPLC!H15, AVERAGE(HPLC!H15,  HPLC!N15)))</f>
        <v>#N/A</v>
      </c>
      <c r="W15" s="96">
        <f>IF(ISERROR( HPLC!H15),0,IF(ISERROR( HPLC!N15),0,STDEV( HPLC!H15, HPLC!N15)))</f>
        <v>0</v>
      </c>
      <c r="X15" s="96" t="e">
        <f>IF(ISERROR(HPLC!I15), HPLC!O15, IF(ISERROR( HPLC!O15), HPLC!I15, AVERAGE(HPLC!I15,  HPLC!O15)))</f>
        <v>#N/A</v>
      </c>
      <c r="Y15" s="96">
        <f>IF(ISERROR( HPLC!I15),0,IF(ISERROR( HPLC!O15),0,STDEV( HPLC!I15, HPLC!O15)))</f>
        <v>0</v>
      </c>
      <c r="Z15" s="96" t="e">
        <f>IF(ISERROR(GC_esters!D15), GC_esters!N15, IF(ISERROR(GC_esters!N15), GC_esters!D15, AVERAGE(GC_esters!D15,  GC_esters!N15)))</f>
        <v>#N/A</v>
      </c>
      <c r="AA15" s="96">
        <f>IF(ISERROR(GC_esters!D15),0,IF(ISERROR(GC_esters!N15),0,STDEV(GC_esters!D15, GC_esters!N15)))</f>
        <v>0</v>
      </c>
      <c r="AB15" s="96" t="e">
        <f>IF(ISERROR(GC_esters!F15), GC_esters!P15, IF(ISERROR(GC_esters!P15), GC_esters!F15, AVERAGE(GC_esters!F15,  GC_esters!P15)))</f>
        <v>#N/A</v>
      </c>
      <c r="AC15" s="96">
        <f>IF(ISERROR(GC_esters!F15),0,IF(ISERROR(GC_esters!P15),0,STDEV(GC_esters!F15, GC_esters!P15)))</f>
        <v>0</v>
      </c>
      <c r="AD15" s="96" t="e">
        <f>IF(ISERROR(GC_esters!G15), GC_esters!Q15, IF(ISERROR(GC_esters!Q15), GC_esters!G15, AVERAGE(GC_esters!G15,  GC_esters!Q15)))</f>
        <v>#N/A</v>
      </c>
      <c r="AE15" s="96">
        <f>IF(ISERROR(GC_esters!G15),0,IF(ISERROR(GC_esters!Q15),0,STDEV(GC_esters!G15, GC_esters!Q15)))</f>
        <v>0</v>
      </c>
      <c r="AF15" s="96" t="e">
        <f>IF(ISERROR(GC_esters!H15), GC_esters!R15, IF(ISERROR(GC_esters!R15), GC_esters!H15, AVERAGE(GC_esters!H15,  GC_esters!R15)))</f>
        <v>#N/A</v>
      </c>
      <c r="AG15" s="96">
        <f>IF(ISERROR(GC_esters!H15),0,IF(ISERROR(GC_esters!R15),0,STDEV(GC_esters!H15, GC_esters!R15)))</f>
        <v>0</v>
      </c>
      <c r="AH15" s="96" t="e">
        <f>IF(ISERROR(GC_esters!I15), GC_esters!S15, IF(ISERROR(GC_esters!S15), GC_esters!I15, AVERAGE(GC_esters!I15,  GC_esters!S15)))</f>
        <v>#N/A</v>
      </c>
      <c r="AI15" s="96">
        <f>IF(ISERROR(GC_esters!I15),0,IF(ISERROR(GC_esters!S15),0,STDEV(GC_esters!I15, GC_esters!S15)))</f>
        <v>0</v>
      </c>
      <c r="AJ15" s="96" t="e">
        <f>IF(ISERROR(GC_esters!J15), GC_esters!T15, IF(ISERROR(GC_esters!T15), GC_esters!J15, AVERAGE(GC_esters!J15,  GC_esters!T15)))</f>
        <v>#N/A</v>
      </c>
      <c r="AK15" s="96">
        <f>IF(ISERROR(GC_esters!J15),0,IF(ISERROR(GC_esters!T15),0,STDEV(GC_esters!J15, GC_esters!T15)))</f>
        <v>0</v>
      </c>
      <c r="AL15" s="96" t="e">
        <f>IF(ISERROR(GC_esters!K15), GC_esters!U15, IF(ISERROR(GC_esters!U15), GC_esters!K15, AVERAGE(GC_esters!K15,  GC_esters!U15)))</f>
        <v>#N/A</v>
      </c>
      <c r="AM15" s="96">
        <f>IF(ISERROR(GC_esters!K15),0,IF(ISERROR(GC_esters!U15),0,STDEV(GC_esters!K15, GC_esters!U15)))</f>
        <v>0</v>
      </c>
      <c r="AN15" s="96" t="e">
        <f>IF(ISERROR(GC_esters!L15), GC_esters!V15, IF(ISERROR(GC_esters!V15), GC_esters!L15, AVERAGE(GC_esters!L15,  GC_esters!V15)))</f>
        <v>#N/A</v>
      </c>
      <c r="AO15" s="96">
        <f>IF(ISERROR(GC_esters!L15),0,IF(ISERROR(GC_esters!V15),0,STDEV(GC_esters!L15, GC_esters!V15)))</f>
        <v>0</v>
      </c>
      <c r="AP15" s="96" t="e">
        <f>IF(ISERROR(GC_esters!M15), GC_esters!W15, IF(ISERROR(GC_esters!W15), GC_esters!M15, AVERAGE(GC_esters!M15,  GC_esters!W15)))</f>
        <v>#N/A</v>
      </c>
      <c r="AQ15" s="96">
        <f>IF(ISERROR(GC_esters!M15),0,IF(ISERROR(GC_esters!W15),0,STDEV(GC_esters!M15, GC_esters!W15)))</f>
        <v>0</v>
      </c>
      <c r="AR15" s="96" t="e">
        <f>IF(ISERROR(GC_ketones!D15), GC_ketones!F15, IF(ISERROR(GC_ketones!F15), GC_ketones!D15, AVERAGE(GC_ketones!D15, GC_ketones!F15)))</f>
        <v>#N/A</v>
      </c>
      <c r="AS15" s="96">
        <f>IF(ISERROR(GC_ketones!D15),0,IF(ISERROR(GC_ketones!F15),0,STDEV(GC_ketones!D15, GC_ketones!F15)))</f>
        <v>0</v>
      </c>
      <c r="AT15" s="96" t="e">
        <f>IF(ISERROR(GC_ketones!E15), GC_ketones!G15, IF(ISERROR(GC_ketones!G15), GC_ketones!E15, AVERAGE(GC_ketones!E15, GC_ketones!G15)))</f>
        <v>#N/A</v>
      </c>
      <c r="AU15" s="96">
        <f>IF(ISERROR(GC_ketones!E15),0,IF(ISERROR(GC_ketones!G15),0,STDEV(GC_ketones!E15, GC_ketones!G15)))</f>
        <v>0</v>
      </c>
      <c r="AV15" t="e">
        <f t="shared" si="13"/>
        <v>#N/A</v>
      </c>
      <c r="AW15" t="e">
        <f t="shared" si="1"/>
        <v>#N/A</v>
      </c>
      <c r="AX15" t="e">
        <f t="shared" si="0"/>
        <v>#N/A</v>
      </c>
      <c r="AY15" t="e">
        <f t="shared" si="2"/>
        <v>#N/A</v>
      </c>
      <c r="AZ15" t="e">
        <f t="shared" si="0"/>
        <v>#N/A</v>
      </c>
      <c r="BA15" t="e">
        <f t="shared" si="3"/>
        <v>#N/A</v>
      </c>
      <c r="BB15" t="e">
        <f t="shared" si="0"/>
        <v>#N/A</v>
      </c>
      <c r="BC15" t="e">
        <f t="shared" si="4"/>
        <v>#N/A</v>
      </c>
      <c r="BD15" t="e">
        <f t="shared" si="0"/>
        <v>#N/A</v>
      </c>
      <c r="BE15" t="e">
        <f t="shared" si="5"/>
        <v>#N/A</v>
      </c>
      <c r="BF15" t="e">
        <f t="shared" si="0"/>
        <v>#N/A</v>
      </c>
      <c r="BG15" t="e">
        <f t="shared" si="6"/>
        <v>#N/A</v>
      </c>
      <c r="BH15" t="e">
        <f t="shared" si="0"/>
        <v>#N/A</v>
      </c>
      <c r="BI15" t="e">
        <f t="shared" si="7"/>
        <v>#N/A</v>
      </c>
      <c r="BJ15" t="e">
        <f t="shared" si="0"/>
        <v>#N/A</v>
      </c>
      <c r="BK15" t="e">
        <f t="shared" si="8"/>
        <v>#N/A</v>
      </c>
      <c r="BL15" t="e">
        <f t="shared" si="0"/>
        <v>#N/A</v>
      </c>
      <c r="BM15" t="e">
        <f t="shared" si="9"/>
        <v>#N/A</v>
      </c>
      <c r="BN15" t="e">
        <f t="shared" si="0"/>
        <v>#N/A</v>
      </c>
      <c r="BO15" t="e">
        <f t="shared" si="10"/>
        <v>#N/A</v>
      </c>
      <c r="BP15" t="e">
        <f t="shared" si="0"/>
        <v>#N/A</v>
      </c>
      <c r="BQ15" t="e">
        <f t="shared" si="11"/>
        <v>#N/A</v>
      </c>
      <c r="BR15" t="e">
        <f t="shared" si="12"/>
        <v>#N/A</v>
      </c>
    </row>
    <row r="16" spans="1:70" x14ac:dyDescent="0.25">
      <c r="A16">
        <f>CellCount_Viability!A16</f>
        <v>0</v>
      </c>
      <c r="B16" s="69" t="e">
        <f>CellCount_Viability!B16</f>
        <v>#VALUE!</v>
      </c>
      <c r="C16" s="63" t="str">
        <f>CellCount_Viability!C16</f>
        <v/>
      </c>
      <c r="D16" s="11" t="e">
        <f>IF(ISERROR(CellCount_Viability!E16), CellCount_Viability!H16, IF(ISERROR(CellCount_Viability!H16), CellCount_Viability!E16, AVERAGE(CellCount_Viability!E16, CellCount_Viability!H16)))</f>
        <v>#N/A</v>
      </c>
      <c r="E16" s="11">
        <f>IF(ISERROR(CellCount_Viability!E16),0,IF(ISERROR(CellCount_Viability!H16),0,STDEV(CellCount_Viability!E16,CellCount_Viability!H16)))</f>
        <v>0</v>
      </c>
      <c r="F16" s="92" t="e">
        <f>IF(ISERROR(CellCount_Viability!F16), CellCount_Viability!I16, IF(ISERROR(CellCount_Viability!I16), CellCount_Viability!F16, AVERAGE(CellCount_Viability!F16, CellCount_Viability!I16)))</f>
        <v>#N/A</v>
      </c>
      <c r="G16" s="92">
        <f>IF(ISERROR(CellCount_Viability!F16),0,IF(ISERROR(CellCount_Viability!I16),0,STDEV(CellCount_Viability!F16,CellCount_Viability!I16)))</f>
        <v>0</v>
      </c>
      <c r="J16" s="96" t="e">
        <f>IF(ISERROR(Attenuation!D17), Attenuation!E17, IF(ISERROR(Attenuation!E17), Attenuation!D17, AVERAGE(Attenuation!D17, Attenuation!E17)))</f>
        <v>#N/A</v>
      </c>
      <c r="K16" s="96">
        <f>IF(ISERROR(Attenuation!D17),0,IF(ISERROR(Attenuation!E17),0,STDEV(Attenuation!D17,Attenuation!E17)))</f>
        <v>0</v>
      </c>
      <c r="L16" s="96" t="e">
        <f>IF(ISERROR(pH!D17), pH!E17, IF(ISERROR(pH!E17), pH!D17, AVERAGE(pH!D17, pH!E17)))</f>
        <v>#N/A</v>
      </c>
      <c r="M16" s="96">
        <f>IF(ISERROR(pH!D17),0,IF(ISERROR(pH!E17),0,STDEV(pH!D17,pH!E17)))</f>
        <v>0</v>
      </c>
      <c r="N16" s="96" t="e">
        <f>IF(ISERROR(HPLC!D16), HPLC!J16, IF(ISERROR( HPLC!J16), HPLC!D16, AVERAGE(HPLC!D16,  HPLC!J16)))</f>
        <v>#N/A</v>
      </c>
      <c r="O16" s="96">
        <f>IF(ISERROR( HPLC!D16),0,IF(ISERROR( HPLC!J16),0,STDEV( HPLC!D16, HPLC!J16)))</f>
        <v>0</v>
      </c>
      <c r="P16" s="96" t="e">
        <f>IF(ISERROR(HPLC!E16), HPLC!K16, IF(ISERROR( HPLC!K16), HPLC!E16, AVERAGE(HPLC!E16,  HPLC!K16)))</f>
        <v>#N/A</v>
      </c>
      <c r="Q16" s="96">
        <f>IF(ISERROR( HPLC!E16),0,IF(ISERROR( HPLC!K16),0,STDEV( HPLC!E16, HPLC!K16)))</f>
        <v>0</v>
      </c>
      <c r="R16" s="96" t="e">
        <f>IF(ISERROR(HPLC!F16), HPLC!L16, IF(ISERROR( HPLC!L16), HPLC!F16, AVERAGE(HPLC!F16,  HPLC!L16)))</f>
        <v>#N/A</v>
      </c>
      <c r="S16" s="96">
        <f>IF(ISERROR( HPLC!F16),0,IF(ISERROR( HPLC!L16),0,STDEV( HPLC!F16, HPLC!L16)))</f>
        <v>0</v>
      </c>
      <c r="T16" s="96" t="e">
        <f>IF(ISERROR(HPLC!G16), HPLC!M16, IF(ISERROR( HPLC!M16), HPLC!G16, AVERAGE(HPLC!M16,  HPLC!G16)))</f>
        <v>#N/A</v>
      </c>
      <c r="U16" s="96">
        <f>IF(ISERROR( HPLC!M16),0,IF(ISERROR( HPLC!G16),0,STDEV( HPLC!M16, HPLC!G16)))</f>
        <v>0</v>
      </c>
      <c r="V16" s="96" t="e">
        <f>IF(ISERROR(HPLC!H16), HPLC!N16, IF(ISERROR( HPLC!N16), HPLC!H16, AVERAGE(HPLC!H16,  HPLC!N16)))</f>
        <v>#N/A</v>
      </c>
      <c r="W16" s="96">
        <f>IF(ISERROR( HPLC!H16),0,IF(ISERROR( HPLC!N16),0,STDEV( HPLC!H16, HPLC!N16)))</f>
        <v>0</v>
      </c>
      <c r="X16" s="96" t="e">
        <f>IF(ISERROR(HPLC!I16), HPLC!O16, IF(ISERROR( HPLC!O16), HPLC!I16, AVERAGE(HPLC!I16,  HPLC!O16)))</f>
        <v>#N/A</v>
      </c>
      <c r="Y16" s="96">
        <f>IF(ISERROR( HPLC!I16),0,IF(ISERROR( HPLC!O16),0,STDEV( HPLC!I16, HPLC!O16)))</f>
        <v>0</v>
      </c>
      <c r="Z16" s="96" t="e">
        <f>IF(ISERROR(GC_esters!D16), GC_esters!N16, IF(ISERROR(GC_esters!N16), GC_esters!D16, AVERAGE(GC_esters!D16,  GC_esters!N16)))</f>
        <v>#N/A</v>
      </c>
      <c r="AA16" s="96">
        <f>IF(ISERROR(GC_esters!D16),0,IF(ISERROR(GC_esters!N16),0,STDEV(GC_esters!D16, GC_esters!N16)))</f>
        <v>0</v>
      </c>
      <c r="AB16" s="96" t="e">
        <f>IF(ISERROR(GC_esters!F16), GC_esters!P16, IF(ISERROR(GC_esters!P16), GC_esters!F16, AVERAGE(GC_esters!F16,  GC_esters!P16)))</f>
        <v>#N/A</v>
      </c>
      <c r="AC16" s="96">
        <f>IF(ISERROR(GC_esters!F16),0,IF(ISERROR(GC_esters!P16),0,STDEV(GC_esters!F16, GC_esters!P16)))</f>
        <v>0</v>
      </c>
      <c r="AD16" s="96" t="e">
        <f>IF(ISERROR(GC_esters!G16), GC_esters!Q16, IF(ISERROR(GC_esters!Q16), GC_esters!G16, AVERAGE(GC_esters!G16,  GC_esters!Q16)))</f>
        <v>#N/A</v>
      </c>
      <c r="AE16" s="96">
        <f>IF(ISERROR(GC_esters!G16),0,IF(ISERROR(GC_esters!Q16),0,STDEV(GC_esters!G16, GC_esters!Q16)))</f>
        <v>0</v>
      </c>
      <c r="AF16" s="96" t="e">
        <f>IF(ISERROR(GC_esters!H16), GC_esters!R16, IF(ISERROR(GC_esters!R16), GC_esters!H16, AVERAGE(GC_esters!H16,  GC_esters!R16)))</f>
        <v>#N/A</v>
      </c>
      <c r="AG16" s="96">
        <f>IF(ISERROR(GC_esters!H16),0,IF(ISERROR(GC_esters!R16),0,STDEV(GC_esters!H16, GC_esters!R16)))</f>
        <v>0</v>
      </c>
      <c r="AH16" s="96" t="e">
        <f>IF(ISERROR(GC_esters!I16), GC_esters!S16, IF(ISERROR(GC_esters!S16), GC_esters!I16, AVERAGE(GC_esters!I16,  GC_esters!S16)))</f>
        <v>#N/A</v>
      </c>
      <c r="AI16" s="96">
        <f>IF(ISERROR(GC_esters!I16),0,IF(ISERROR(GC_esters!S16),0,STDEV(GC_esters!I16, GC_esters!S16)))</f>
        <v>0</v>
      </c>
      <c r="AJ16" s="96" t="e">
        <f>IF(ISERROR(GC_esters!J16), GC_esters!T16, IF(ISERROR(GC_esters!T16), GC_esters!J16, AVERAGE(GC_esters!J16,  GC_esters!T16)))</f>
        <v>#N/A</v>
      </c>
      <c r="AK16" s="96">
        <f>IF(ISERROR(GC_esters!J16),0,IF(ISERROR(GC_esters!T16),0,STDEV(GC_esters!J16, GC_esters!T16)))</f>
        <v>0</v>
      </c>
      <c r="AL16" s="96" t="e">
        <f>IF(ISERROR(GC_esters!K16), GC_esters!U16, IF(ISERROR(GC_esters!U16), GC_esters!K16, AVERAGE(GC_esters!K16,  GC_esters!U16)))</f>
        <v>#N/A</v>
      </c>
      <c r="AM16" s="96">
        <f>IF(ISERROR(GC_esters!K16),0,IF(ISERROR(GC_esters!U16),0,STDEV(GC_esters!K16, GC_esters!U16)))</f>
        <v>0</v>
      </c>
      <c r="AN16" s="96" t="e">
        <f>IF(ISERROR(GC_esters!L16), GC_esters!V16, IF(ISERROR(GC_esters!V16), GC_esters!L16, AVERAGE(GC_esters!L16,  GC_esters!V16)))</f>
        <v>#N/A</v>
      </c>
      <c r="AO16" s="96">
        <f>IF(ISERROR(GC_esters!L16),0,IF(ISERROR(GC_esters!V16),0,STDEV(GC_esters!L16, GC_esters!V16)))</f>
        <v>0</v>
      </c>
      <c r="AP16" s="96" t="e">
        <f>IF(ISERROR(GC_esters!M16), GC_esters!W16, IF(ISERROR(GC_esters!W16), GC_esters!M16, AVERAGE(GC_esters!M16,  GC_esters!W16)))</f>
        <v>#N/A</v>
      </c>
      <c r="AQ16" s="96">
        <f>IF(ISERROR(GC_esters!M16),0,IF(ISERROR(GC_esters!W16),0,STDEV(GC_esters!M16, GC_esters!W16)))</f>
        <v>0</v>
      </c>
      <c r="AR16" s="96" t="e">
        <f>IF(ISERROR(GC_ketones!D16), GC_ketones!F16, IF(ISERROR(GC_ketones!F16), GC_ketones!D16, AVERAGE(GC_ketones!D16, GC_ketones!F16)))</f>
        <v>#N/A</v>
      </c>
      <c r="AS16" s="96">
        <f>IF(ISERROR(GC_ketones!D16),0,IF(ISERROR(GC_ketones!F16),0,STDEV(GC_ketones!D16, GC_ketones!F16)))</f>
        <v>0</v>
      </c>
      <c r="AT16" s="96" t="e">
        <f>IF(ISERROR(GC_ketones!E16), GC_ketones!G16, IF(ISERROR(GC_ketones!G16), GC_ketones!E16, AVERAGE(GC_ketones!E16, GC_ketones!G16)))</f>
        <v>#N/A</v>
      </c>
      <c r="AU16" s="96">
        <f>IF(ISERROR(GC_ketones!E16),0,IF(ISERROR(GC_ketones!G16),0,STDEV(GC_ketones!E16, GC_ketones!G16)))</f>
        <v>0</v>
      </c>
      <c r="AV16" t="e">
        <f t="shared" si="13"/>
        <v>#N/A</v>
      </c>
      <c r="AW16" t="e">
        <f t="shared" si="1"/>
        <v>#N/A</v>
      </c>
      <c r="AX16" t="e">
        <f t="shared" si="0"/>
        <v>#N/A</v>
      </c>
      <c r="AY16" t="e">
        <f t="shared" si="2"/>
        <v>#N/A</v>
      </c>
      <c r="AZ16" t="e">
        <f t="shared" si="0"/>
        <v>#N/A</v>
      </c>
      <c r="BA16" t="e">
        <f t="shared" si="3"/>
        <v>#N/A</v>
      </c>
      <c r="BB16" t="e">
        <f t="shared" si="0"/>
        <v>#N/A</v>
      </c>
      <c r="BC16" t="e">
        <f t="shared" si="4"/>
        <v>#N/A</v>
      </c>
      <c r="BD16" t="e">
        <f t="shared" si="0"/>
        <v>#N/A</v>
      </c>
      <c r="BE16" t="e">
        <f t="shared" si="5"/>
        <v>#N/A</v>
      </c>
      <c r="BF16" t="e">
        <f t="shared" si="0"/>
        <v>#N/A</v>
      </c>
      <c r="BG16" t="e">
        <f t="shared" si="6"/>
        <v>#N/A</v>
      </c>
      <c r="BH16" t="e">
        <f t="shared" si="0"/>
        <v>#N/A</v>
      </c>
      <c r="BI16" t="e">
        <f t="shared" si="7"/>
        <v>#N/A</v>
      </c>
      <c r="BJ16" t="e">
        <f t="shared" si="0"/>
        <v>#N/A</v>
      </c>
      <c r="BK16" t="e">
        <f t="shared" si="8"/>
        <v>#N/A</v>
      </c>
      <c r="BL16" t="e">
        <f t="shared" si="0"/>
        <v>#N/A</v>
      </c>
      <c r="BM16" t="e">
        <f t="shared" si="9"/>
        <v>#N/A</v>
      </c>
      <c r="BN16" t="e">
        <f t="shared" si="0"/>
        <v>#N/A</v>
      </c>
      <c r="BO16" t="e">
        <f t="shared" si="10"/>
        <v>#N/A</v>
      </c>
      <c r="BP16" t="e">
        <f t="shared" si="0"/>
        <v>#N/A</v>
      </c>
      <c r="BQ16" t="e">
        <f t="shared" si="11"/>
        <v>#N/A</v>
      </c>
      <c r="BR16" t="e">
        <f t="shared" si="12"/>
        <v>#N/A</v>
      </c>
    </row>
    <row r="17" spans="1:70" x14ac:dyDescent="0.25">
      <c r="A17">
        <f>CellCount_Viability!A17</f>
        <v>0</v>
      </c>
      <c r="B17" s="69" t="e">
        <f>CellCount_Viability!B17</f>
        <v>#VALUE!</v>
      </c>
      <c r="C17" s="63" t="str">
        <f>CellCount_Viability!C17</f>
        <v/>
      </c>
      <c r="D17" s="11" t="e">
        <f>IF(ISERROR(CellCount_Viability!E17), CellCount_Viability!H17, IF(ISERROR(CellCount_Viability!H17), CellCount_Viability!E17, AVERAGE(CellCount_Viability!E17, CellCount_Viability!H17)))</f>
        <v>#N/A</v>
      </c>
      <c r="E17" s="11">
        <f>IF(ISERROR(CellCount_Viability!E17),0,IF(ISERROR(CellCount_Viability!H17),0,STDEV(CellCount_Viability!E17,CellCount_Viability!H17)))</f>
        <v>0</v>
      </c>
      <c r="F17" s="92" t="e">
        <f>IF(ISERROR(CellCount_Viability!F17), CellCount_Viability!I17, IF(ISERROR(CellCount_Viability!I17), CellCount_Viability!F17, AVERAGE(CellCount_Viability!F17, CellCount_Viability!I17)))</f>
        <v>#N/A</v>
      </c>
      <c r="G17" s="92">
        <f>IF(ISERROR(CellCount_Viability!F17),0,IF(ISERROR(CellCount_Viability!I17),0,STDEV(CellCount_Viability!F17,CellCount_Viability!I17)))</f>
        <v>0</v>
      </c>
      <c r="J17" s="96" t="e">
        <f>IF(ISERROR(Attenuation!D18), Attenuation!E18, IF(ISERROR(Attenuation!E18), Attenuation!D18, AVERAGE(Attenuation!D18, Attenuation!E18)))</f>
        <v>#N/A</v>
      </c>
      <c r="K17" s="96">
        <f>IF(ISERROR(Attenuation!D18),0,IF(ISERROR(Attenuation!E18),0,STDEV(Attenuation!D18,Attenuation!E18)))</f>
        <v>0</v>
      </c>
      <c r="L17" s="96" t="e">
        <f>IF(ISERROR(pH!D18), pH!E18, IF(ISERROR(pH!E18), pH!D18, AVERAGE(pH!D18, pH!E18)))</f>
        <v>#N/A</v>
      </c>
      <c r="M17" s="96">
        <f>IF(ISERROR(pH!D18),0,IF(ISERROR(pH!E18),0,STDEV(pH!D18,pH!E18)))</f>
        <v>0</v>
      </c>
      <c r="N17" s="96" t="e">
        <f>IF(ISERROR(HPLC!D17), HPLC!J17, IF(ISERROR( HPLC!J17), HPLC!D17, AVERAGE(HPLC!D17,  HPLC!J17)))</f>
        <v>#N/A</v>
      </c>
      <c r="O17" s="96">
        <f>IF(ISERROR( HPLC!D17),0,IF(ISERROR( HPLC!J17),0,STDEV( HPLC!D17, HPLC!J17)))</f>
        <v>0</v>
      </c>
      <c r="P17" s="96" t="e">
        <f>IF(ISERROR(HPLC!E17), HPLC!K17, IF(ISERROR( HPLC!K17), HPLC!E17, AVERAGE(HPLC!E17,  HPLC!K17)))</f>
        <v>#N/A</v>
      </c>
      <c r="Q17" s="96">
        <f>IF(ISERROR( HPLC!E17),0,IF(ISERROR( HPLC!K17),0,STDEV( HPLC!E17, HPLC!K17)))</f>
        <v>0</v>
      </c>
      <c r="R17" s="96" t="e">
        <f>IF(ISERROR(HPLC!F17), HPLC!L17, IF(ISERROR( HPLC!L17), HPLC!F17, AVERAGE(HPLC!F17,  HPLC!L17)))</f>
        <v>#N/A</v>
      </c>
      <c r="S17" s="96">
        <f>IF(ISERROR( HPLC!F17),0,IF(ISERROR( HPLC!L17),0,STDEV( HPLC!F17, HPLC!L17)))</f>
        <v>0</v>
      </c>
      <c r="T17" s="96" t="e">
        <f>IF(ISERROR(HPLC!G17), HPLC!M17, IF(ISERROR( HPLC!M17), HPLC!G17, AVERAGE(HPLC!M17,  HPLC!G17)))</f>
        <v>#N/A</v>
      </c>
      <c r="U17" s="96">
        <f>IF(ISERROR( HPLC!M17),0,IF(ISERROR( HPLC!G17),0,STDEV( HPLC!M17, HPLC!G17)))</f>
        <v>0</v>
      </c>
      <c r="V17" s="96" t="e">
        <f>IF(ISERROR(HPLC!H17), HPLC!N17, IF(ISERROR( HPLC!N17), HPLC!H17, AVERAGE(HPLC!H17,  HPLC!N17)))</f>
        <v>#N/A</v>
      </c>
      <c r="W17" s="96">
        <f>IF(ISERROR( HPLC!H17),0,IF(ISERROR( HPLC!N17),0,STDEV( HPLC!H17, HPLC!N17)))</f>
        <v>0</v>
      </c>
      <c r="X17" s="96" t="e">
        <f>IF(ISERROR(HPLC!I17), HPLC!O17, IF(ISERROR( HPLC!O17), HPLC!I17, AVERAGE(HPLC!I17,  HPLC!O17)))</f>
        <v>#N/A</v>
      </c>
      <c r="Y17" s="96">
        <f>IF(ISERROR( HPLC!I17),0,IF(ISERROR( HPLC!O17),0,STDEV( HPLC!I17, HPLC!O17)))</f>
        <v>0</v>
      </c>
      <c r="Z17" s="96" t="e">
        <f>IF(ISERROR(GC_esters!D17), GC_esters!N17, IF(ISERROR(GC_esters!N17), GC_esters!D17, AVERAGE(GC_esters!D17,  GC_esters!N17)))</f>
        <v>#N/A</v>
      </c>
      <c r="AA17" s="96">
        <f>IF(ISERROR(GC_esters!D17),0,IF(ISERROR(GC_esters!N17),0,STDEV(GC_esters!D17, GC_esters!N17)))</f>
        <v>0</v>
      </c>
      <c r="AB17" s="96" t="e">
        <f>IF(ISERROR(GC_esters!F17), GC_esters!P17, IF(ISERROR(GC_esters!P17), GC_esters!F17, AVERAGE(GC_esters!F17,  GC_esters!P17)))</f>
        <v>#N/A</v>
      </c>
      <c r="AC17" s="96">
        <f>IF(ISERROR(GC_esters!F17),0,IF(ISERROR(GC_esters!P17),0,STDEV(GC_esters!F17, GC_esters!P17)))</f>
        <v>0</v>
      </c>
      <c r="AD17" s="96" t="e">
        <f>IF(ISERROR(GC_esters!G17), GC_esters!Q17, IF(ISERROR(GC_esters!Q17), GC_esters!G17, AVERAGE(GC_esters!G17,  GC_esters!Q17)))</f>
        <v>#N/A</v>
      </c>
      <c r="AE17" s="96">
        <f>IF(ISERROR(GC_esters!G17),0,IF(ISERROR(GC_esters!Q17),0,STDEV(GC_esters!G17, GC_esters!Q17)))</f>
        <v>0</v>
      </c>
      <c r="AF17" s="96" t="e">
        <f>IF(ISERROR(GC_esters!H17), GC_esters!R17, IF(ISERROR(GC_esters!R17), GC_esters!H17, AVERAGE(GC_esters!H17,  GC_esters!R17)))</f>
        <v>#N/A</v>
      </c>
      <c r="AG17" s="96">
        <f>IF(ISERROR(GC_esters!H17),0,IF(ISERROR(GC_esters!R17),0,STDEV(GC_esters!H17, GC_esters!R17)))</f>
        <v>0</v>
      </c>
      <c r="AH17" s="96" t="e">
        <f>IF(ISERROR(GC_esters!I17), GC_esters!S17, IF(ISERROR(GC_esters!S17), GC_esters!I17, AVERAGE(GC_esters!I17,  GC_esters!S17)))</f>
        <v>#N/A</v>
      </c>
      <c r="AI17" s="96">
        <f>IF(ISERROR(GC_esters!I17),0,IF(ISERROR(GC_esters!S17),0,STDEV(GC_esters!I17, GC_esters!S17)))</f>
        <v>0</v>
      </c>
      <c r="AJ17" s="96" t="e">
        <f>IF(ISERROR(GC_esters!J17), GC_esters!T17, IF(ISERROR(GC_esters!T17), GC_esters!J17, AVERAGE(GC_esters!J17,  GC_esters!T17)))</f>
        <v>#N/A</v>
      </c>
      <c r="AK17" s="96">
        <f>IF(ISERROR(GC_esters!J17),0,IF(ISERROR(GC_esters!T17),0,STDEV(GC_esters!J17, GC_esters!T17)))</f>
        <v>0</v>
      </c>
      <c r="AL17" s="96" t="e">
        <f>IF(ISERROR(GC_esters!K17), GC_esters!U17, IF(ISERROR(GC_esters!U17), GC_esters!K17, AVERAGE(GC_esters!K17,  GC_esters!U17)))</f>
        <v>#N/A</v>
      </c>
      <c r="AM17" s="96">
        <f>IF(ISERROR(GC_esters!K17),0,IF(ISERROR(GC_esters!U17),0,STDEV(GC_esters!K17, GC_esters!U17)))</f>
        <v>0</v>
      </c>
      <c r="AN17" s="96" t="e">
        <f>IF(ISERROR(GC_esters!L17), GC_esters!V17, IF(ISERROR(GC_esters!V17), GC_esters!L17, AVERAGE(GC_esters!L17,  GC_esters!V17)))</f>
        <v>#N/A</v>
      </c>
      <c r="AO17" s="96">
        <f>IF(ISERROR(GC_esters!L17),0,IF(ISERROR(GC_esters!V17),0,STDEV(GC_esters!L17, GC_esters!V17)))</f>
        <v>0</v>
      </c>
      <c r="AP17" s="96" t="e">
        <f>IF(ISERROR(GC_esters!M17), GC_esters!W17, IF(ISERROR(GC_esters!W17), GC_esters!M17, AVERAGE(GC_esters!M17,  GC_esters!W17)))</f>
        <v>#N/A</v>
      </c>
      <c r="AQ17" s="96">
        <f>IF(ISERROR(GC_esters!M17),0,IF(ISERROR(GC_esters!W17),0,STDEV(GC_esters!M17, GC_esters!W17)))</f>
        <v>0</v>
      </c>
      <c r="AR17" s="96" t="e">
        <f>IF(ISERROR(GC_ketones!D17), GC_ketones!F17, IF(ISERROR(GC_ketones!F17), GC_ketones!D17, AVERAGE(GC_ketones!D17, GC_ketones!F17)))</f>
        <v>#N/A</v>
      </c>
      <c r="AS17" s="96">
        <f>IF(ISERROR(GC_ketones!D17),0,IF(ISERROR(GC_ketones!F17),0,STDEV(GC_ketones!D17, GC_ketones!F17)))</f>
        <v>0</v>
      </c>
      <c r="AT17" s="96" t="e">
        <f>IF(ISERROR(GC_ketones!E17), GC_ketones!G17, IF(ISERROR(GC_ketones!G17), GC_ketones!E17, AVERAGE(GC_ketones!E17, GC_ketones!G17)))</f>
        <v>#N/A</v>
      </c>
      <c r="AU17" s="96">
        <f>IF(ISERROR(GC_ketones!E17),0,IF(ISERROR(GC_ketones!G17),0,STDEV(GC_ketones!E17, GC_ketones!G17)))</f>
        <v>0</v>
      </c>
      <c r="AV17" t="e">
        <f t="shared" si="13"/>
        <v>#N/A</v>
      </c>
      <c r="AW17" t="e">
        <f t="shared" si="1"/>
        <v>#N/A</v>
      </c>
      <c r="AX17" t="e">
        <f t="shared" si="0"/>
        <v>#N/A</v>
      </c>
      <c r="AY17" t="e">
        <f t="shared" si="2"/>
        <v>#N/A</v>
      </c>
      <c r="AZ17" t="e">
        <f t="shared" si="0"/>
        <v>#N/A</v>
      </c>
      <c r="BA17" t="e">
        <f t="shared" si="3"/>
        <v>#N/A</v>
      </c>
      <c r="BB17" t="e">
        <f t="shared" si="0"/>
        <v>#N/A</v>
      </c>
      <c r="BC17" t="e">
        <f t="shared" si="4"/>
        <v>#N/A</v>
      </c>
      <c r="BD17" t="e">
        <f t="shared" si="0"/>
        <v>#N/A</v>
      </c>
      <c r="BE17" t="e">
        <f t="shared" si="5"/>
        <v>#N/A</v>
      </c>
      <c r="BF17" t="e">
        <f t="shared" si="0"/>
        <v>#N/A</v>
      </c>
      <c r="BG17" t="e">
        <f t="shared" si="6"/>
        <v>#N/A</v>
      </c>
      <c r="BH17" t="e">
        <f t="shared" si="0"/>
        <v>#N/A</v>
      </c>
      <c r="BI17" t="e">
        <f t="shared" si="7"/>
        <v>#N/A</v>
      </c>
      <c r="BJ17" t="e">
        <f t="shared" si="0"/>
        <v>#N/A</v>
      </c>
      <c r="BK17" t="e">
        <f t="shared" si="8"/>
        <v>#N/A</v>
      </c>
      <c r="BL17" t="e">
        <f t="shared" si="0"/>
        <v>#N/A</v>
      </c>
      <c r="BM17" t="e">
        <f t="shared" si="9"/>
        <v>#N/A</v>
      </c>
      <c r="BN17" t="e">
        <f t="shared" si="0"/>
        <v>#N/A</v>
      </c>
      <c r="BO17" t="e">
        <f t="shared" si="10"/>
        <v>#N/A</v>
      </c>
      <c r="BP17" t="e">
        <f t="shared" si="0"/>
        <v>#N/A</v>
      </c>
      <c r="BQ17" t="e">
        <f t="shared" si="11"/>
        <v>#N/A</v>
      </c>
      <c r="BR17" t="e">
        <f t="shared" si="12"/>
        <v>#N/A</v>
      </c>
    </row>
    <row r="18" spans="1:70" x14ac:dyDescent="0.25">
      <c r="A18">
        <f>CellCount_Viability!A18</f>
        <v>0</v>
      </c>
      <c r="B18" s="69" t="e">
        <f>CellCount_Viability!B18</f>
        <v>#VALUE!</v>
      </c>
      <c r="C18" s="63" t="str">
        <f>CellCount_Viability!C18</f>
        <v/>
      </c>
      <c r="D18" s="11" t="e">
        <f>IF(ISERROR(CellCount_Viability!E18), CellCount_Viability!H18, IF(ISERROR(CellCount_Viability!H18), CellCount_Viability!E18, AVERAGE(CellCount_Viability!E18, CellCount_Viability!H18)))</f>
        <v>#N/A</v>
      </c>
      <c r="E18" s="11">
        <f>IF(ISERROR(CellCount_Viability!E18),0,IF(ISERROR(CellCount_Viability!H18),0,STDEV(CellCount_Viability!E18,CellCount_Viability!H18)))</f>
        <v>0</v>
      </c>
      <c r="F18" s="92" t="e">
        <f>IF(ISERROR(CellCount_Viability!F18), CellCount_Viability!I18, IF(ISERROR(CellCount_Viability!I18), CellCount_Viability!F18, AVERAGE(CellCount_Viability!F18, CellCount_Viability!I18)))</f>
        <v>#N/A</v>
      </c>
      <c r="G18" s="92">
        <f>IF(ISERROR(CellCount_Viability!F18),0,IF(ISERROR(CellCount_Viability!I18),0,STDEV(CellCount_Viability!F18,CellCount_Viability!I18)))</f>
        <v>0</v>
      </c>
      <c r="J18" s="96" t="e">
        <f>IF(ISERROR(Attenuation!D19), Attenuation!E19, IF(ISERROR(Attenuation!E19), Attenuation!D19, AVERAGE(Attenuation!D19, Attenuation!E19)))</f>
        <v>#N/A</v>
      </c>
      <c r="K18" s="96">
        <f>IF(ISERROR(Attenuation!D19),0,IF(ISERROR(Attenuation!E19),0,STDEV(Attenuation!D19,Attenuation!E19)))</f>
        <v>0</v>
      </c>
      <c r="L18" s="96" t="e">
        <f>IF(ISERROR(pH!D19), pH!E19, IF(ISERROR(pH!E19), pH!D19, AVERAGE(pH!D19, pH!E19)))</f>
        <v>#N/A</v>
      </c>
      <c r="M18" s="96">
        <f>IF(ISERROR(pH!D19),0,IF(ISERROR(pH!E19),0,STDEV(pH!D19,pH!E19)))</f>
        <v>0</v>
      </c>
      <c r="N18" s="96" t="e">
        <f>IF(ISERROR(HPLC!D18), HPLC!J18, IF(ISERROR( HPLC!J18), HPLC!D18, AVERAGE(HPLC!D18,  HPLC!J18)))</f>
        <v>#N/A</v>
      </c>
      <c r="O18" s="96">
        <f>IF(ISERROR( HPLC!D18),0,IF(ISERROR( HPLC!J18),0,STDEV( HPLC!D18, HPLC!J18)))</f>
        <v>0</v>
      </c>
      <c r="P18" s="96" t="e">
        <f>IF(ISERROR(HPLC!E18), HPLC!K18, IF(ISERROR( HPLC!K18), HPLC!E18, AVERAGE(HPLC!E18,  HPLC!K18)))</f>
        <v>#N/A</v>
      </c>
      <c r="Q18" s="96">
        <f>IF(ISERROR( HPLC!E18),0,IF(ISERROR( HPLC!K18),0,STDEV( HPLC!E18, HPLC!K18)))</f>
        <v>0</v>
      </c>
      <c r="R18" s="96" t="e">
        <f>IF(ISERROR(HPLC!F18), HPLC!L18, IF(ISERROR( HPLC!L18), HPLC!F18, AVERAGE(HPLC!F18,  HPLC!L18)))</f>
        <v>#N/A</v>
      </c>
      <c r="S18" s="96">
        <f>IF(ISERROR( HPLC!F18),0,IF(ISERROR( HPLC!L18),0,STDEV( HPLC!F18, HPLC!L18)))</f>
        <v>0</v>
      </c>
      <c r="T18" s="96" t="e">
        <f>IF(ISERROR(HPLC!G18), HPLC!M18, IF(ISERROR( HPLC!M18), HPLC!G18, AVERAGE(HPLC!M18,  HPLC!G18)))</f>
        <v>#N/A</v>
      </c>
      <c r="U18" s="96">
        <f>IF(ISERROR( HPLC!M18),0,IF(ISERROR( HPLC!G18),0,STDEV( HPLC!M18, HPLC!G18)))</f>
        <v>0</v>
      </c>
      <c r="V18" s="96" t="e">
        <f>IF(ISERROR(HPLC!H18), HPLC!N18, IF(ISERROR( HPLC!N18), HPLC!H18, AVERAGE(HPLC!H18,  HPLC!N18)))</f>
        <v>#N/A</v>
      </c>
      <c r="W18" s="96">
        <f>IF(ISERROR( HPLC!H18),0,IF(ISERROR( HPLC!N18),0,STDEV( HPLC!H18, HPLC!N18)))</f>
        <v>0</v>
      </c>
      <c r="X18" s="96" t="e">
        <f>IF(ISERROR(HPLC!I18), HPLC!O18, IF(ISERROR( HPLC!O18), HPLC!I18, AVERAGE(HPLC!I18,  HPLC!O18)))</f>
        <v>#N/A</v>
      </c>
      <c r="Y18" s="96">
        <f>IF(ISERROR( HPLC!I18),0,IF(ISERROR( HPLC!O18),0,STDEV( HPLC!I18, HPLC!O18)))</f>
        <v>0</v>
      </c>
      <c r="Z18" s="96" t="e">
        <f>IF(ISERROR(GC_esters!D18), GC_esters!N18, IF(ISERROR(GC_esters!N18), GC_esters!D18, AVERAGE(GC_esters!D18,  GC_esters!N18)))</f>
        <v>#N/A</v>
      </c>
      <c r="AA18" s="96">
        <f>IF(ISERROR(GC_esters!D18),0,IF(ISERROR(GC_esters!N18),0,STDEV(GC_esters!D18, GC_esters!N18)))</f>
        <v>0</v>
      </c>
      <c r="AB18" s="96" t="e">
        <f>IF(ISERROR(GC_esters!F18), GC_esters!P18, IF(ISERROR(GC_esters!P18), GC_esters!F18, AVERAGE(GC_esters!F18,  GC_esters!P18)))</f>
        <v>#N/A</v>
      </c>
      <c r="AC18" s="96">
        <f>IF(ISERROR(GC_esters!F18),0,IF(ISERROR(GC_esters!P18),0,STDEV(GC_esters!F18, GC_esters!P18)))</f>
        <v>0</v>
      </c>
      <c r="AD18" s="96" t="e">
        <f>IF(ISERROR(GC_esters!G18), GC_esters!Q18, IF(ISERROR(GC_esters!Q18), GC_esters!G18, AVERAGE(GC_esters!G18,  GC_esters!Q18)))</f>
        <v>#N/A</v>
      </c>
      <c r="AE18" s="96">
        <f>IF(ISERROR(GC_esters!G18),0,IF(ISERROR(GC_esters!Q18),0,STDEV(GC_esters!G18, GC_esters!Q18)))</f>
        <v>0</v>
      </c>
      <c r="AF18" s="96" t="e">
        <f>IF(ISERROR(GC_esters!H18), GC_esters!R18, IF(ISERROR(GC_esters!R18), GC_esters!H18, AVERAGE(GC_esters!H18,  GC_esters!R18)))</f>
        <v>#N/A</v>
      </c>
      <c r="AG18" s="96">
        <f>IF(ISERROR(GC_esters!H18),0,IF(ISERROR(GC_esters!R18),0,STDEV(GC_esters!H18, GC_esters!R18)))</f>
        <v>0</v>
      </c>
      <c r="AH18" s="96" t="e">
        <f>IF(ISERROR(GC_esters!I18), GC_esters!S18, IF(ISERROR(GC_esters!S18), GC_esters!I18, AVERAGE(GC_esters!I18,  GC_esters!S18)))</f>
        <v>#N/A</v>
      </c>
      <c r="AI18" s="96">
        <f>IF(ISERROR(GC_esters!I18),0,IF(ISERROR(GC_esters!S18),0,STDEV(GC_esters!I18, GC_esters!S18)))</f>
        <v>0</v>
      </c>
      <c r="AJ18" s="96" t="e">
        <f>IF(ISERROR(GC_esters!J18), GC_esters!T18, IF(ISERROR(GC_esters!T18), GC_esters!J18, AVERAGE(GC_esters!J18,  GC_esters!T18)))</f>
        <v>#N/A</v>
      </c>
      <c r="AK18" s="96">
        <f>IF(ISERROR(GC_esters!J18),0,IF(ISERROR(GC_esters!T18),0,STDEV(GC_esters!J18, GC_esters!T18)))</f>
        <v>0</v>
      </c>
      <c r="AL18" s="96" t="e">
        <f>IF(ISERROR(GC_esters!K18), GC_esters!U18, IF(ISERROR(GC_esters!U18), GC_esters!K18, AVERAGE(GC_esters!K18,  GC_esters!U18)))</f>
        <v>#N/A</v>
      </c>
      <c r="AM18" s="96">
        <f>IF(ISERROR(GC_esters!K18),0,IF(ISERROR(GC_esters!U18),0,STDEV(GC_esters!K18, GC_esters!U18)))</f>
        <v>0</v>
      </c>
      <c r="AN18" s="96" t="e">
        <f>IF(ISERROR(GC_esters!L18), GC_esters!V18, IF(ISERROR(GC_esters!V18), GC_esters!L18, AVERAGE(GC_esters!L18,  GC_esters!V18)))</f>
        <v>#N/A</v>
      </c>
      <c r="AO18" s="96">
        <f>IF(ISERROR(GC_esters!L18),0,IF(ISERROR(GC_esters!V18),0,STDEV(GC_esters!L18, GC_esters!V18)))</f>
        <v>0</v>
      </c>
      <c r="AP18" s="96" t="e">
        <f>IF(ISERROR(GC_esters!M18), GC_esters!W18, IF(ISERROR(GC_esters!W18), GC_esters!M18, AVERAGE(GC_esters!M18,  GC_esters!W18)))</f>
        <v>#N/A</v>
      </c>
      <c r="AQ18" s="96">
        <f>IF(ISERROR(GC_esters!M18),0,IF(ISERROR(GC_esters!W18),0,STDEV(GC_esters!M18, GC_esters!W18)))</f>
        <v>0</v>
      </c>
      <c r="AR18" s="96" t="e">
        <f>IF(ISERROR(GC_ketones!D18), GC_ketones!F18, IF(ISERROR(GC_ketones!F18), GC_ketones!D18, AVERAGE(GC_ketones!D18, GC_ketones!F18)))</f>
        <v>#N/A</v>
      </c>
      <c r="AS18" s="96">
        <f>IF(ISERROR(GC_ketones!D18),0,IF(ISERROR(GC_ketones!F18),0,STDEV(GC_ketones!D18, GC_ketones!F18)))</f>
        <v>0</v>
      </c>
      <c r="AT18" s="96" t="e">
        <f>IF(ISERROR(GC_ketones!E18), GC_ketones!G18, IF(ISERROR(GC_ketones!G18), GC_ketones!E18, AVERAGE(GC_ketones!E18, GC_ketones!G18)))</f>
        <v>#N/A</v>
      </c>
      <c r="AU18" s="96">
        <f>IF(ISERROR(GC_ketones!E18),0,IF(ISERROR(GC_ketones!G18),0,STDEV(GC_ketones!E18, GC_ketones!G18)))</f>
        <v>0</v>
      </c>
      <c r="AV18" t="e">
        <f t="shared" si="13"/>
        <v>#N/A</v>
      </c>
      <c r="AW18" t="e">
        <f t="shared" si="1"/>
        <v>#N/A</v>
      </c>
      <c r="AX18" t="e">
        <f t="shared" ref="AX18:AX21" si="14">AB18*36.6/$X18</f>
        <v>#N/A</v>
      </c>
      <c r="AY18" t="e">
        <f t="shared" si="2"/>
        <v>#N/A</v>
      </c>
      <c r="AZ18" t="e">
        <f t="shared" ref="AZ18:AZ21" si="15">AD18*36.6/$X18</f>
        <v>#N/A</v>
      </c>
      <c r="BA18" t="e">
        <f t="shared" si="3"/>
        <v>#N/A</v>
      </c>
      <c r="BB18" t="e">
        <f t="shared" ref="BB18:BB21" si="16">AF18*36.6/$X18</f>
        <v>#N/A</v>
      </c>
      <c r="BC18" t="e">
        <f t="shared" si="4"/>
        <v>#N/A</v>
      </c>
      <c r="BD18" t="e">
        <f t="shared" ref="BD18:BD21" si="17">AH18*36.6/$X18</f>
        <v>#N/A</v>
      </c>
      <c r="BE18" t="e">
        <f t="shared" si="5"/>
        <v>#N/A</v>
      </c>
      <c r="BF18" t="e">
        <f t="shared" ref="BF18:BF21" si="18">AJ18*36.6/$X18</f>
        <v>#N/A</v>
      </c>
      <c r="BG18" t="e">
        <f t="shared" si="6"/>
        <v>#N/A</v>
      </c>
      <c r="BH18" t="e">
        <f t="shared" ref="BH18:BH21" si="19">AL18*36.6/$X18</f>
        <v>#N/A</v>
      </c>
      <c r="BI18" t="e">
        <f t="shared" si="7"/>
        <v>#N/A</v>
      </c>
      <c r="BJ18" t="e">
        <f t="shared" ref="BJ18:BJ21" si="20">AN18*36.6/$X18</f>
        <v>#N/A</v>
      </c>
      <c r="BK18" t="e">
        <f t="shared" si="8"/>
        <v>#N/A</v>
      </c>
      <c r="BL18" t="e">
        <f t="shared" ref="BL18:BL21" si="21">AP18*36.6/$X18</f>
        <v>#N/A</v>
      </c>
      <c r="BM18" t="e">
        <f t="shared" si="9"/>
        <v>#N/A</v>
      </c>
      <c r="BN18" t="e">
        <f t="shared" ref="BN18:BN21" si="22">AR18*36.6/$X18</f>
        <v>#N/A</v>
      </c>
      <c r="BO18" t="e">
        <f t="shared" si="10"/>
        <v>#N/A</v>
      </c>
      <c r="BP18" t="e">
        <f t="shared" ref="BP18:BP21" si="23">AT18*36.6/$X18</f>
        <v>#N/A</v>
      </c>
      <c r="BQ18" t="e">
        <f t="shared" si="11"/>
        <v>#N/A</v>
      </c>
      <c r="BR18" t="e">
        <f t="shared" si="12"/>
        <v>#N/A</v>
      </c>
    </row>
    <row r="19" spans="1:70" x14ac:dyDescent="0.25">
      <c r="A19">
        <f>CellCount_Viability!A19</f>
        <v>0</v>
      </c>
      <c r="B19" s="69" t="e">
        <f>CellCount_Viability!B19</f>
        <v>#VALUE!</v>
      </c>
      <c r="C19" s="63" t="str">
        <f>CellCount_Viability!C19</f>
        <v/>
      </c>
      <c r="D19" s="11" t="e">
        <f>IF(ISERROR(CellCount_Viability!E19), CellCount_Viability!H19, IF(ISERROR(CellCount_Viability!H19), CellCount_Viability!E19, AVERAGE(CellCount_Viability!E19, CellCount_Viability!H19)))</f>
        <v>#N/A</v>
      </c>
      <c r="E19" s="11">
        <f>IF(ISERROR(CellCount_Viability!E19),0,IF(ISERROR(CellCount_Viability!H19),0,STDEV(CellCount_Viability!E19,CellCount_Viability!H19)))</f>
        <v>0</v>
      </c>
      <c r="F19" s="92" t="e">
        <f>IF(ISERROR(CellCount_Viability!F19), CellCount_Viability!I19, IF(ISERROR(CellCount_Viability!I19), CellCount_Viability!F19, AVERAGE(CellCount_Viability!F19, CellCount_Viability!I19)))</f>
        <v>#N/A</v>
      </c>
      <c r="G19" s="92">
        <f>IF(ISERROR(CellCount_Viability!F19),0,IF(ISERROR(CellCount_Viability!I19),0,STDEV(CellCount_Viability!F19,CellCount_Viability!I19)))</f>
        <v>0</v>
      </c>
      <c r="J19" s="96" t="e">
        <f>IF(ISERROR(Attenuation!D20), Attenuation!E20, IF(ISERROR(Attenuation!E20), Attenuation!D20, AVERAGE(Attenuation!D20, Attenuation!E20)))</f>
        <v>#N/A</v>
      </c>
      <c r="K19" s="96">
        <f>IF(ISERROR(Attenuation!D20),0,IF(ISERROR(Attenuation!E20),0,STDEV(Attenuation!D20,Attenuation!E20)))</f>
        <v>0</v>
      </c>
      <c r="L19" s="96" t="e">
        <f>IF(ISERROR(pH!D20), pH!E20, IF(ISERROR(pH!E20), pH!D20, AVERAGE(pH!D20, pH!E20)))</f>
        <v>#N/A</v>
      </c>
      <c r="M19" s="96">
        <f>IF(ISERROR(pH!D20),0,IF(ISERROR(pH!E20),0,STDEV(pH!D20,pH!E20)))</f>
        <v>0</v>
      </c>
      <c r="N19" s="96" t="e">
        <f>IF(ISERROR(HPLC!D19), HPLC!J19, IF(ISERROR( HPLC!J19), HPLC!D19, AVERAGE(HPLC!D19,  HPLC!J19)))</f>
        <v>#N/A</v>
      </c>
      <c r="O19" s="96">
        <f>IF(ISERROR( HPLC!D19),0,IF(ISERROR( HPLC!J19),0,STDEV( HPLC!D19, HPLC!J19)))</f>
        <v>0</v>
      </c>
      <c r="P19" s="96" t="e">
        <f>IF(ISERROR(HPLC!E19), HPLC!K19, IF(ISERROR( HPLC!K19), HPLC!E19, AVERAGE(HPLC!E19,  HPLC!K19)))</f>
        <v>#N/A</v>
      </c>
      <c r="Q19" s="96">
        <f>IF(ISERROR( HPLC!E19),0,IF(ISERROR( HPLC!K19),0,STDEV( HPLC!E19, HPLC!K19)))</f>
        <v>0</v>
      </c>
      <c r="R19" s="96" t="e">
        <f>IF(ISERROR(HPLC!F19), HPLC!L19, IF(ISERROR( HPLC!L19), HPLC!F19, AVERAGE(HPLC!F19,  HPLC!L19)))</f>
        <v>#N/A</v>
      </c>
      <c r="S19" s="96">
        <f>IF(ISERROR( HPLC!F19),0,IF(ISERROR( HPLC!L19),0,STDEV( HPLC!F19, HPLC!L19)))</f>
        <v>0</v>
      </c>
      <c r="T19" s="96" t="e">
        <f>IF(ISERROR(HPLC!G19), HPLC!M19, IF(ISERROR( HPLC!M19), HPLC!G19, AVERAGE(HPLC!M19,  HPLC!G19)))</f>
        <v>#N/A</v>
      </c>
      <c r="U19" s="96">
        <f>IF(ISERROR( HPLC!M19),0,IF(ISERROR( HPLC!G19),0,STDEV( HPLC!M19, HPLC!G19)))</f>
        <v>0</v>
      </c>
      <c r="V19" s="96" t="e">
        <f>IF(ISERROR(HPLC!H19), HPLC!N19, IF(ISERROR( HPLC!N19), HPLC!H19, AVERAGE(HPLC!H19,  HPLC!N19)))</f>
        <v>#N/A</v>
      </c>
      <c r="W19" s="96">
        <f>IF(ISERROR( HPLC!H19),0,IF(ISERROR( HPLC!N19),0,STDEV( HPLC!H19, HPLC!N19)))</f>
        <v>0</v>
      </c>
      <c r="X19" s="96" t="e">
        <f>IF(ISERROR(HPLC!I19), HPLC!O19, IF(ISERROR( HPLC!O19), HPLC!I19, AVERAGE(HPLC!I19,  HPLC!O19)))</f>
        <v>#N/A</v>
      </c>
      <c r="Y19" s="96">
        <f>IF(ISERROR( HPLC!I19),0,IF(ISERROR( HPLC!O19),0,STDEV( HPLC!I19, HPLC!O19)))</f>
        <v>0</v>
      </c>
      <c r="Z19" s="96" t="e">
        <f>IF(ISERROR(GC_esters!D19), GC_esters!N19, IF(ISERROR(GC_esters!N19), GC_esters!D19, AVERAGE(GC_esters!D19,  GC_esters!N19)))</f>
        <v>#N/A</v>
      </c>
      <c r="AA19" s="96">
        <f>IF(ISERROR(GC_esters!D19),0,IF(ISERROR(GC_esters!N19),0,STDEV(GC_esters!D19, GC_esters!N19)))</f>
        <v>0</v>
      </c>
      <c r="AB19" s="96" t="e">
        <f>IF(ISERROR(GC_esters!F19), GC_esters!P19, IF(ISERROR(GC_esters!P19), GC_esters!F19, AVERAGE(GC_esters!F19,  GC_esters!P19)))</f>
        <v>#N/A</v>
      </c>
      <c r="AC19" s="96">
        <f>IF(ISERROR(GC_esters!F19),0,IF(ISERROR(GC_esters!P19),0,STDEV(GC_esters!F19, GC_esters!P19)))</f>
        <v>0</v>
      </c>
      <c r="AD19" s="96" t="e">
        <f>IF(ISERROR(GC_esters!G19), GC_esters!Q19, IF(ISERROR(GC_esters!Q19), GC_esters!G19, AVERAGE(GC_esters!G19,  GC_esters!Q19)))</f>
        <v>#N/A</v>
      </c>
      <c r="AE19" s="96">
        <f>IF(ISERROR(GC_esters!G19),0,IF(ISERROR(GC_esters!Q19),0,STDEV(GC_esters!G19, GC_esters!Q19)))</f>
        <v>0</v>
      </c>
      <c r="AF19" s="96" t="e">
        <f>IF(ISERROR(GC_esters!H19), GC_esters!R19, IF(ISERROR(GC_esters!R19), GC_esters!H19, AVERAGE(GC_esters!H19,  GC_esters!R19)))</f>
        <v>#N/A</v>
      </c>
      <c r="AG19" s="96">
        <f>IF(ISERROR(GC_esters!H19),0,IF(ISERROR(GC_esters!R19),0,STDEV(GC_esters!H19, GC_esters!R19)))</f>
        <v>0</v>
      </c>
      <c r="AH19" s="96" t="e">
        <f>IF(ISERROR(GC_esters!I19), GC_esters!S19, IF(ISERROR(GC_esters!S19), GC_esters!I19, AVERAGE(GC_esters!I19,  GC_esters!S19)))</f>
        <v>#N/A</v>
      </c>
      <c r="AI19" s="96">
        <f>IF(ISERROR(GC_esters!I19),0,IF(ISERROR(GC_esters!S19),0,STDEV(GC_esters!I19, GC_esters!S19)))</f>
        <v>0</v>
      </c>
      <c r="AJ19" s="96" t="e">
        <f>IF(ISERROR(GC_esters!J19), GC_esters!T19, IF(ISERROR(GC_esters!T19), GC_esters!J19, AVERAGE(GC_esters!J19,  GC_esters!T19)))</f>
        <v>#N/A</v>
      </c>
      <c r="AK19" s="96">
        <f>IF(ISERROR(GC_esters!J19),0,IF(ISERROR(GC_esters!T19),0,STDEV(GC_esters!J19, GC_esters!T19)))</f>
        <v>0</v>
      </c>
      <c r="AL19" s="96" t="e">
        <f>IF(ISERROR(GC_esters!K19), GC_esters!U19, IF(ISERROR(GC_esters!U19), GC_esters!K19, AVERAGE(GC_esters!K19,  GC_esters!U19)))</f>
        <v>#N/A</v>
      </c>
      <c r="AM19" s="96">
        <f>IF(ISERROR(GC_esters!K19),0,IF(ISERROR(GC_esters!U19),0,STDEV(GC_esters!K19, GC_esters!U19)))</f>
        <v>0</v>
      </c>
      <c r="AN19" s="96" t="e">
        <f>IF(ISERROR(GC_esters!L19), GC_esters!V19, IF(ISERROR(GC_esters!V19), GC_esters!L19, AVERAGE(GC_esters!L19,  GC_esters!V19)))</f>
        <v>#N/A</v>
      </c>
      <c r="AO19" s="96">
        <f>IF(ISERROR(GC_esters!L19),0,IF(ISERROR(GC_esters!V19),0,STDEV(GC_esters!L19, GC_esters!V19)))</f>
        <v>0</v>
      </c>
      <c r="AP19" s="96" t="e">
        <f>IF(ISERROR(GC_esters!M19), GC_esters!W19, IF(ISERROR(GC_esters!W19), GC_esters!M19, AVERAGE(GC_esters!M19,  GC_esters!W19)))</f>
        <v>#N/A</v>
      </c>
      <c r="AQ19" s="96">
        <f>IF(ISERROR(GC_esters!M19),0,IF(ISERROR(GC_esters!W19),0,STDEV(GC_esters!M19, GC_esters!W19)))</f>
        <v>0</v>
      </c>
      <c r="AR19" s="96" t="e">
        <f>IF(ISERROR(GC_ketones!D19), GC_ketones!F19, IF(ISERROR(GC_ketones!F19), GC_ketones!D19, AVERAGE(GC_ketones!D19, GC_ketones!F19)))</f>
        <v>#N/A</v>
      </c>
      <c r="AS19" s="96">
        <f>IF(ISERROR(GC_ketones!D19),0,IF(ISERROR(GC_ketones!F19),0,STDEV(GC_ketones!D19, GC_ketones!F19)))</f>
        <v>0</v>
      </c>
      <c r="AT19" s="96" t="e">
        <f>IF(ISERROR(GC_ketones!E19), GC_ketones!G19, IF(ISERROR(GC_ketones!G19), GC_ketones!E19, AVERAGE(GC_ketones!E19, GC_ketones!G19)))</f>
        <v>#N/A</v>
      </c>
      <c r="AU19" s="96">
        <f>IF(ISERROR(GC_ketones!E19),0,IF(ISERROR(GC_ketones!G19),0,STDEV(GC_ketones!E19, GC_ketones!G19)))</f>
        <v>0</v>
      </c>
      <c r="AV19" t="e">
        <f t="shared" si="13"/>
        <v>#N/A</v>
      </c>
      <c r="AW19" t="e">
        <f t="shared" si="1"/>
        <v>#N/A</v>
      </c>
      <c r="AX19" t="e">
        <f t="shared" si="14"/>
        <v>#N/A</v>
      </c>
      <c r="AY19" t="e">
        <f t="shared" si="2"/>
        <v>#N/A</v>
      </c>
      <c r="AZ19" t="e">
        <f t="shared" si="15"/>
        <v>#N/A</v>
      </c>
      <c r="BA19" t="e">
        <f t="shared" si="3"/>
        <v>#N/A</v>
      </c>
      <c r="BB19" t="e">
        <f t="shared" si="16"/>
        <v>#N/A</v>
      </c>
      <c r="BC19" t="e">
        <f t="shared" si="4"/>
        <v>#N/A</v>
      </c>
      <c r="BD19" t="e">
        <f t="shared" si="17"/>
        <v>#N/A</v>
      </c>
      <c r="BE19" t="e">
        <f t="shared" si="5"/>
        <v>#N/A</v>
      </c>
      <c r="BF19" t="e">
        <f t="shared" si="18"/>
        <v>#N/A</v>
      </c>
      <c r="BG19" t="e">
        <f t="shared" si="6"/>
        <v>#N/A</v>
      </c>
      <c r="BH19" t="e">
        <f t="shared" si="19"/>
        <v>#N/A</v>
      </c>
      <c r="BI19" t="e">
        <f t="shared" si="7"/>
        <v>#N/A</v>
      </c>
      <c r="BJ19" t="e">
        <f t="shared" si="20"/>
        <v>#N/A</v>
      </c>
      <c r="BK19" t="e">
        <f t="shared" si="8"/>
        <v>#N/A</v>
      </c>
      <c r="BL19" t="e">
        <f t="shared" si="21"/>
        <v>#N/A</v>
      </c>
      <c r="BM19" t="e">
        <f t="shared" si="9"/>
        <v>#N/A</v>
      </c>
      <c r="BN19" t="e">
        <f t="shared" si="22"/>
        <v>#N/A</v>
      </c>
      <c r="BO19" t="e">
        <f t="shared" si="10"/>
        <v>#N/A</v>
      </c>
      <c r="BP19" t="e">
        <f t="shared" si="23"/>
        <v>#N/A</v>
      </c>
      <c r="BQ19" t="e">
        <f t="shared" si="11"/>
        <v>#N/A</v>
      </c>
      <c r="BR19" t="e">
        <f t="shared" si="12"/>
        <v>#N/A</v>
      </c>
    </row>
    <row r="20" spans="1:70" x14ac:dyDescent="0.25">
      <c r="A20">
        <f>CellCount_Viability!A20</f>
        <v>0</v>
      </c>
      <c r="B20" s="69" t="e">
        <f>CellCount_Viability!B20</f>
        <v>#VALUE!</v>
      </c>
      <c r="C20" s="63" t="str">
        <f>CellCount_Viability!C20</f>
        <v/>
      </c>
      <c r="D20" s="11" t="e">
        <f>IF(ISERROR(CellCount_Viability!E20), CellCount_Viability!H20, IF(ISERROR(CellCount_Viability!H20), CellCount_Viability!E20, AVERAGE(CellCount_Viability!E20, CellCount_Viability!H20)))</f>
        <v>#N/A</v>
      </c>
      <c r="E20" s="11">
        <f>IF(ISERROR(CellCount_Viability!E20),0,IF(ISERROR(CellCount_Viability!H20),0,STDEV(CellCount_Viability!E20,CellCount_Viability!H20)))</f>
        <v>0</v>
      </c>
      <c r="F20" s="92" t="e">
        <f>IF(ISERROR(CellCount_Viability!F20), CellCount_Viability!I20, IF(ISERROR(CellCount_Viability!I20), CellCount_Viability!F20, AVERAGE(CellCount_Viability!F20, CellCount_Viability!I20)))</f>
        <v>#N/A</v>
      </c>
      <c r="G20" s="92">
        <f>IF(ISERROR(CellCount_Viability!F20),0,IF(ISERROR(CellCount_Viability!I20),0,STDEV(CellCount_Viability!F20,CellCount_Viability!I20)))</f>
        <v>0</v>
      </c>
      <c r="J20" s="96" t="e">
        <f>IF(ISERROR(Attenuation!D21), Attenuation!E21, IF(ISERROR(Attenuation!E21), Attenuation!D21, AVERAGE(Attenuation!D21, Attenuation!E21)))</f>
        <v>#N/A</v>
      </c>
      <c r="K20" s="96">
        <f>IF(ISERROR(Attenuation!D21),0,IF(ISERROR(Attenuation!E21),0,STDEV(Attenuation!D21,Attenuation!E21)))</f>
        <v>0</v>
      </c>
      <c r="L20" s="96" t="e">
        <f>IF(ISERROR(pH!D21), pH!E21, IF(ISERROR(pH!E21), pH!D21, AVERAGE(pH!D21, pH!E21)))</f>
        <v>#N/A</v>
      </c>
      <c r="M20" s="96">
        <f>IF(ISERROR(pH!D21),0,IF(ISERROR(pH!E21),0,STDEV(pH!D21,pH!E21)))</f>
        <v>0</v>
      </c>
      <c r="N20" s="96" t="e">
        <f>IF(ISERROR(HPLC!D20), HPLC!J20, IF(ISERROR( HPLC!J20), HPLC!D20, AVERAGE(HPLC!D20,  HPLC!J20)))</f>
        <v>#N/A</v>
      </c>
      <c r="O20" s="96">
        <f>IF(ISERROR( HPLC!D20),0,IF(ISERROR( HPLC!J20),0,STDEV( HPLC!D20, HPLC!J20)))</f>
        <v>0</v>
      </c>
      <c r="P20" s="96" t="e">
        <f>IF(ISERROR(HPLC!E20), HPLC!K20, IF(ISERROR( HPLC!K20), HPLC!E20, AVERAGE(HPLC!E20,  HPLC!K20)))</f>
        <v>#N/A</v>
      </c>
      <c r="Q20" s="96">
        <f>IF(ISERROR( HPLC!E20),0,IF(ISERROR( HPLC!K20),0,STDEV( HPLC!E20, HPLC!K20)))</f>
        <v>0</v>
      </c>
      <c r="R20" s="96" t="e">
        <f>IF(ISERROR(HPLC!F20), HPLC!L20, IF(ISERROR( HPLC!L20), HPLC!F20, AVERAGE(HPLC!F20,  HPLC!L20)))</f>
        <v>#N/A</v>
      </c>
      <c r="S20" s="96">
        <f>IF(ISERROR( HPLC!F20),0,IF(ISERROR( HPLC!L20),0,STDEV( HPLC!F20, HPLC!L20)))</f>
        <v>0</v>
      </c>
      <c r="T20" s="96" t="e">
        <f>IF(ISERROR(HPLC!G20), HPLC!M20, IF(ISERROR( HPLC!M20), HPLC!G20, AVERAGE(HPLC!M20,  HPLC!G20)))</f>
        <v>#N/A</v>
      </c>
      <c r="U20" s="96">
        <f>IF(ISERROR( HPLC!M20),0,IF(ISERROR( HPLC!G20),0,STDEV( HPLC!M20, HPLC!G20)))</f>
        <v>0</v>
      </c>
      <c r="V20" s="96" t="e">
        <f>IF(ISERROR(HPLC!H20), HPLC!N20, IF(ISERROR( HPLC!N20), HPLC!H20, AVERAGE(HPLC!H20,  HPLC!N20)))</f>
        <v>#N/A</v>
      </c>
      <c r="W20" s="96">
        <f>IF(ISERROR( HPLC!H20),0,IF(ISERROR( HPLC!N20),0,STDEV( HPLC!H20, HPLC!N20)))</f>
        <v>0</v>
      </c>
      <c r="X20" s="96" t="e">
        <f>IF(ISERROR(HPLC!I20), HPLC!O20, IF(ISERROR( HPLC!O20), HPLC!I20, AVERAGE(HPLC!I20,  HPLC!O20)))</f>
        <v>#N/A</v>
      </c>
      <c r="Y20" s="96">
        <f>IF(ISERROR( HPLC!I20),0,IF(ISERROR( HPLC!O20),0,STDEV( HPLC!I20, HPLC!O20)))</f>
        <v>0</v>
      </c>
      <c r="Z20" s="96" t="e">
        <f>IF(ISERROR(GC_esters!D20), GC_esters!N20, IF(ISERROR(GC_esters!N20), GC_esters!D20, AVERAGE(GC_esters!D20,  GC_esters!N20)))</f>
        <v>#N/A</v>
      </c>
      <c r="AA20" s="96">
        <f>IF(ISERROR(GC_esters!D20),0,IF(ISERROR(GC_esters!N20),0,STDEV(GC_esters!D20, GC_esters!N20)))</f>
        <v>0</v>
      </c>
      <c r="AB20" s="96" t="e">
        <f>IF(ISERROR(GC_esters!F20), GC_esters!P20, IF(ISERROR(GC_esters!P20), GC_esters!F20, AVERAGE(GC_esters!F20,  GC_esters!P20)))</f>
        <v>#N/A</v>
      </c>
      <c r="AC20" s="96">
        <f>IF(ISERROR(GC_esters!F20),0,IF(ISERROR(GC_esters!P20),0,STDEV(GC_esters!F20, GC_esters!P20)))</f>
        <v>0</v>
      </c>
      <c r="AD20" s="96" t="e">
        <f>IF(ISERROR(GC_esters!G20), GC_esters!Q20, IF(ISERROR(GC_esters!Q20), GC_esters!G20, AVERAGE(GC_esters!G20,  GC_esters!Q20)))</f>
        <v>#N/A</v>
      </c>
      <c r="AE20" s="96">
        <f>IF(ISERROR(GC_esters!G20),0,IF(ISERROR(GC_esters!Q20),0,STDEV(GC_esters!G20, GC_esters!Q20)))</f>
        <v>0</v>
      </c>
      <c r="AF20" s="96" t="e">
        <f>IF(ISERROR(GC_esters!H20), GC_esters!R20, IF(ISERROR(GC_esters!R20), GC_esters!H20, AVERAGE(GC_esters!H20,  GC_esters!R20)))</f>
        <v>#N/A</v>
      </c>
      <c r="AG20" s="96">
        <f>IF(ISERROR(GC_esters!H20),0,IF(ISERROR(GC_esters!R20),0,STDEV(GC_esters!H20, GC_esters!R20)))</f>
        <v>0</v>
      </c>
      <c r="AH20" s="96" t="e">
        <f>IF(ISERROR(GC_esters!I20), GC_esters!S20, IF(ISERROR(GC_esters!S20), GC_esters!I20, AVERAGE(GC_esters!I20,  GC_esters!S20)))</f>
        <v>#N/A</v>
      </c>
      <c r="AI20" s="96">
        <f>IF(ISERROR(GC_esters!I20),0,IF(ISERROR(GC_esters!S20),0,STDEV(GC_esters!I20, GC_esters!S20)))</f>
        <v>0</v>
      </c>
      <c r="AJ20" s="96" t="e">
        <f>IF(ISERROR(GC_esters!J20), GC_esters!T20, IF(ISERROR(GC_esters!T20), GC_esters!J20, AVERAGE(GC_esters!J20,  GC_esters!T20)))</f>
        <v>#N/A</v>
      </c>
      <c r="AK20" s="96">
        <f>IF(ISERROR(GC_esters!J20),0,IF(ISERROR(GC_esters!T20),0,STDEV(GC_esters!J20, GC_esters!T20)))</f>
        <v>0</v>
      </c>
      <c r="AL20" s="96" t="e">
        <f>IF(ISERROR(GC_esters!K20), GC_esters!U20, IF(ISERROR(GC_esters!U20), GC_esters!K20, AVERAGE(GC_esters!K20,  GC_esters!U20)))</f>
        <v>#N/A</v>
      </c>
      <c r="AM20" s="96">
        <f>IF(ISERROR(GC_esters!K20),0,IF(ISERROR(GC_esters!U20),0,STDEV(GC_esters!K20, GC_esters!U20)))</f>
        <v>0</v>
      </c>
      <c r="AN20" s="96" t="e">
        <f>IF(ISERROR(GC_esters!L20), GC_esters!V20, IF(ISERROR(GC_esters!V20), GC_esters!L20, AVERAGE(GC_esters!L20,  GC_esters!V20)))</f>
        <v>#N/A</v>
      </c>
      <c r="AO20" s="96">
        <f>IF(ISERROR(GC_esters!L20),0,IF(ISERROR(GC_esters!V20),0,STDEV(GC_esters!L20, GC_esters!V20)))</f>
        <v>0</v>
      </c>
      <c r="AP20" s="96" t="e">
        <f>IF(ISERROR(GC_esters!M20), GC_esters!W20, IF(ISERROR(GC_esters!W20), GC_esters!M20, AVERAGE(GC_esters!M20,  GC_esters!W20)))</f>
        <v>#N/A</v>
      </c>
      <c r="AQ20" s="96">
        <f>IF(ISERROR(GC_esters!M20),0,IF(ISERROR(GC_esters!W20),0,STDEV(GC_esters!M20, GC_esters!W20)))</f>
        <v>0</v>
      </c>
      <c r="AR20" s="96" t="e">
        <f>IF(ISERROR(GC_ketones!D20), GC_ketones!F20, IF(ISERROR(GC_ketones!F20), GC_ketones!D20, AVERAGE(GC_ketones!D20, GC_ketones!F20)))</f>
        <v>#N/A</v>
      </c>
      <c r="AS20" s="96">
        <f>IF(ISERROR(GC_ketones!D20),0,IF(ISERROR(GC_ketones!F20),0,STDEV(GC_ketones!D20, GC_ketones!F20)))</f>
        <v>0</v>
      </c>
      <c r="AT20" s="96" t="e">
        <f>IF(ISERROR(GC_ketones!E20), GC_ketones!G20, IF(ISERROR(GC_ketones!G20), GC_ketones!E20, AVERAGE(GC_ketones!E20, GC_ketones!G20)))</f>
        <v>#N/A</v>
      </c>
      <c r="AU20" s="96">
        <f>IF(ISERROR(GC_ketones!E20),0,IF(ISERROR(GC_ketones!G20),0,STDEV(GC_ketones!E20, GC_ketones!G20)))</f>
        <v>0</v>
      </c>
      <c r="AV20" t="e">
        <f t="shared" si="13"/>
        <v>#N/A</v>
      </c>
      <c r="AW20" t="e">
        <f t="shared" si="1"/>
        <v>#N/A</v>
      </c>
      <c r="AX20" t="e">
        <f t="shared" si="14"/>
        <v>#N/A</v>
      </c>
      <c r="AY20" t="e">
        <f t="shared" si="2"/>
        <v>#N/A</v>
      </c>
      <c r="AZ20" t="e">
        <f t="shared" si="15"/>
        <v>#N/A</v>
      </c>
      <c r="BA20" t="e">
        <f t="shared" si="3"/>
        <v>#N/A</v>
      </c>
      <c r="BB20" t="e">
        <f t="shared" si="16"/>
        <v>#N/A</v>
      </c>
      <c r="BC20" t="e">
        <f t="shared" si="4"/>
        <v>#N/A</v>
      </c>
      <c r="BD20" t="e">
        <f t="shared" si="17"/>
        <v>#N/A</v>
      </c>
      <c r="BE20" t="e">
        <f t="shared" si="5"/>
        <v>#N/A</v>
      </c>
      <c r="BF20" t="e">
        <f t="shared" si="18"/>
        <v>#N/A</v>
      </c>
      <c r="BG20" t="e">
        <f t="shared" si="6"/>
        <v>#N/A</v>
      </c>
      <c r="BH20" t="e">
        <f t="shared" si="19"/>
        <v>#N/A</v>
      </c>
      <c r="BI20" t="e">
        <f t="shared" si="7"/>
        <v>#N/A</v>
      </c>
      <c r="BJ20" t="e">
        <f t="shared" si="20"/>
        <v>#N/A</v>
      </c>
      <c r="BK20" t="e">
        <f t="shared" si="8"/>
        <v>#N/A</v>
      </c>
      <c r="BL20" t="e">
        <f t="shared" si="21"/>
        <v>#N/A</v>
      </c>
      <c r="BM20" t="e">
        <f t="shared" si="9"/>
        <v>#N/A</v>
      </c>
      <c r="BN20" t="e">
        <f t="shared" si="22"/>
        <v>#N/A</v>
      </c>
      <c r="BO20" t="e">
        <f t="shared" si="10"/>
        <v>#N/A</v>
      </c>
      <c r="BP20" t="e">
        <f t="shared" si="23"/>
        <v>#N/A</v>
      </c>
      <c r="BQ20" t="e">
        <f t="shared" si="11"/>
        <v>#N/A</v>
      </c>
      <c r="BR20" t="e">
        <f t="shared" si="12"/>
        <v>#N/A</v>
      </c>
    </row>
    <row r="21" spans="1:70" x14ac:dyDescent="0.25">
      <c r="A21">
        <f>CellCount_Viability!A21</f>
        <v>0</v>
      </c>
      <c r="B21" s="69" t="e">
        <f>CellCount_Viability!B21</f>
        <v>#VALUE!</v>
      </c>
      <c r="C21" s="63" t="str">
        <f>CellCount_Viability!C21</f>
        <v/>
      </c>
      <c r="D21" s="11" t="e">
        <f>IF(ISERROR(CellCount_Viability!E21), CellCount_Viability!H21, IF(ISERROR(CellCount_Viability!H21), CellCount_Viability!E21, AVERAGE(CellCount_Viability!E21, CellCount_Viability!H21)))</f>
        <v>#N/A</v>
      </c>
      <c r="E21" s="11">
        <f>IF(ISERROR(CellCount_Viability!E21),0,IF(ISERROR(CellCount_Viability!H21),0,STDEV(CellCount_Viability!E21,CellCount_Viability!H21)))</f>
        <v>0</v>
      </c>
      <c r="F21" s="92" t="e">
        <f>IF(ISERROR(CellCount_Viability!F21), CellCount_Viability!I21, IF(ISERROR(CellCount_Viability!I21), CellCount_Viability!F21, AVERAGE(CellCount_Viability!F21, CellCount_Viability!I21)))</f>
        <v>#N/A</v>
      </c>
      <c r="G21" s="92">
        <f>IF(ISERROR(CellCount_Viability!F21),0,IF(ISERROR(CellCount_Viability!I21),0,STDEV(CellCount_Viability!F21,CellCount_Viability!I21)))</f>
        <v>0</v>
      </c>
      <c r="J21" s="96" t="e">
        <f>IF(ISERROR(Attenuation!D22), Attenuation!E22, IF(ISERROR(Attenuation!E22), Attenuation!D22, AVERAGE(Attenuation!D22, Attenuation!E22)))</f>
        <v>#N/A</v>
      </c>
      <c r="K21" s="96">
        <f>IF(ISERROR(Attenuation!D22),0,IF(ISERROR(Attenuation!E22),0,STDEV(Attenuation!D22,Attenuation!E22)))</f>
        <v>0</v>
      </c>
      <c r="L21" s="96" t="e">
        <f>IF(ISERROR(pH!D22), pH!E22, IF(ISERROR(pH!E22), pH!D22, AVERAGE(pH!D22, pH!E22)))</f>
        <v>#N/A</v>
      </c>
      <c r="M21" s="96">
        <f>IF(ISERROR(pH!D22),0,IF(ISERROR(pH!E22),0,STDEV(pH!D22,pH!E22)))</f>
        <v>0</v>
      </c>
      <c r="N21" s="96" t="e">
        <f>IF(ISERROR(HPLC!D21), HPLC!J21, IF(ISERROR( HPLC!J21), HPLC!D21, AVERAGE(HPLC!D21,  HPLC!J21)))</f>
        <v>#N/A</v>
      </c>
      <c r="O21" s="96">
        <f>IF(ISERROR( HPLC!D21),0,IF(ISERROR( HPLC!J21),0,STDEV( HPLC!D21, HPLC!J21)))</f>
        <v>0</v>
      </c>
      <c r="P21" s="96" t="e">
        <f>IF(ISERROR(HPLC!E21), HPLC!K21, IF(ISERROR( HPLC!K21), HPLC!E21, AVERAGE(HPLC!E21,  HPLC!K21)))</f>
        <v>#N/A</v>
      </c>
      <c r="Q21" s="96">
        <f>IF(ISERROR( HPLC!E21),0,IF(ISERROR( HPLC!K21),0,STDEV( HPLC!E21, HPLC!K21)))</f>
        <v>0</v>
      </c>
      <c r="R21" s="96" t="e">
        <f>IF(ISERROR(HPLC!F21), HPLC!L21, IF(ISERROR( HPLC!L21), HPLC!F21, AVERAGE(HPLC!F21,  HPLC!L21)))</f>
        <v>#N/A</v>
      </c>
      <c r="S21" s="96">
        <f>IF(ISERROR( HPLC!F21),0,IF(ISERROR( HPLC!L21),0,STDEV( HPLC!F21, HPLC!L21)))</f>
        <v>0</v>
      </c>
      <c r="T21" s="96" t="e">
        <f>IF(ISERROR(HPLC!G21), HPLC!M21, IF(ISERROR( HPLC!M21), HPLC!G21, AVERAGE(HPLC!M21,  HPLC!G21)))</f>
        <v>#N/A</v>
      </c>
      <c r="U21" s="96">
        <f>IF(ISERROR( HPLC!M21),0,IF(ISERROR( HPLC!G21),0,STDEV( HPLC!M21, HPLC!G21)))</f>
        <v>0</v>
      </c>
      <c r="V21" s="96" t="e">
        <f>IF(ISERROR(HPLC!H21), HPLC!N21, IF(ISERROR( HPLC!N21), HPLC!H21, AVERAGE(HPLC!H21,  HPLC!N21)))</f>
        <v>#N/A</v>
      </c>
      <c r="W21" s="96">
        <f>IF(ISERROR( HPLC!H21),0,IF(ISERROR( HPLC!N21),0,STDEV( HPLC!H21, HPLC!N21)))</f>
        <v>0</v>
      </c>
      <c r="X21" s="96" t="e">
        <f>IF(ISERROR(HPLC!I21), HPLC!O21, IF(ISERROR( HPLC!O21), HPLC!I21, AVERAGE(HPLC!I21,  HPLC!O21)))</f>
        <v>#N/A</v>
      </c>
      <c r="Y21" s="96">
        <f>IF(ISERROR( HPLC!I21),0,IF(ISERROR( HPLC!O21),0,STDEV( HPLC!I21, HPLC!O21)))</f>
        <v>0</v>
      </c>
      <c r="Z21" s="96" t="e">
        <f>IF(ISERROR(GC_esters!D21), GC_esters!N21, IF(ISERROR(GC_esters!N21), GC_esters!D21, AVERAGE(GC_esters!D21,  GC_esters!N21)))</f>
        <v>#N/A</v>
      </c>
      <c r="AA21" s="96">
        <f>IF(ISERROR(GC_esters!D21),0,IF(ISERROR(GC_esters!N21),0,STDEV(GC_esters!D21, GC_esters!N21)))</f>
        <v>0</v>
      </c>
      <c r="AB21" s="96" t="e">
        <f>IF(ISERROR(GC_esters!F21), GC_esters!P21, IF(ISERROR(GC_esters!P21), GC_esters!F21, AVERAGE(GC_esters!F21,  GC_esters!P21)))</f>
        <v>#N/A</v>
      </c>
      <c r="AC21" s="96">
        <f>IF(ISERROR(GC_esters!F21),0,IF(ISERROR(GC_esters!P21),0,STDEV(GC_esters!F21, GC_esters!P21)))</f>
        <v>0</v>
      </c>
      <c r="AD21" s="96" t="e">
        <f>IF(ISERROR(GC_esters!G21), GC_esters!Q21, IF(ISERROR(GC_esters!Q21), GC_esters!G21, AVERAGE(GC_esters!G21,  GC_esters!Q21)))</f>
        <v>#N/A</v>
      </c>
      <c r="AE21" s="96">
        <f>IF(ISERROR(GC_esters!G21),0,IF(ISERROR(GC_esters!Q21),0,STDEV(GC_esters!G21, GC_esters!Q21)))</f>
        <v>0</v>
      </c>
      <c r="AF21" s="96" t="e">
        <f>IF(ISERROR(GC_esters!H21), GC_esters!R21, IF(ISERROR(GC_esters!R21), GC_esters!H21, AVERAGE(GC_esters!H21,  GC_esters!R21)))</f>
        <v>#N/A</v>
      </c>
      <c r="AG21" s="96">
        <f>IF(ISERROR(GC_esters!H21),0,IF(ISERROR(GC_esters!R21),0,STDEV(GC_esters!H21, GC_esters!R21)))</f>
        <v>0</v>
      </c>
      <c r="AH21" s="96" t="e">
        <f>IF(ISERROR(GC_esters!I21), GC_esters!S21, IF(ISERROR(GC_esters!S21), GC_esters!I21, AVERAGE(GC_esters!I21,  GC_esters!S21)))</f>
        <v>#N/A</v>
      </c>
      <c r="AI21" s="96">
        <f>IF(ISERROR(GC_esters!I21),0,IF(ISERROR(GC_esters!S21),0,STDEV(GC_esters!I21, GC_esters!S21)))</f>
        <v>0</v>
      </c>
      <c r="AJ21" s="96" t="e">
        <f>IF(ISERROR(GC_esters!J21), GC_esters!T21, IF(ISERROR(GC_esters!T21), GC_esters!J21, AVERAGE(GC_esters!J21,  GC_esters!T21)))</f>
        <v>#N/A</v>
      </c>
      <c r="AK21" s="96">
        <f>IF(ISERROR(GC_esters!J21),0,IF(ISERROR(GC_esters!T21),0,STDEV(GC_esters!J21, GC_esters!T21)))</f>
        <v>0</v>
      </c>
      <c r="AL21" s="96" t="e">
        <f>IF(ISERROR(GC_esters!K21), GC_esters!U21, IF(ISERROR(GC_esters!U21), GC_esters!K21, AVERAGE(GC_esters!K21,  GC_esters!U21)))</f>
        <v>#N/A</v>
      </c>
      <c r="AM21" s="96">
        <f>IF(ISERROR(GC_esters!K21),0,IF(ISERROR(GC_esters!U21),0,STDEV(GC_esters!K21, GC_esters!U21)))</f>
        <v>0</v>
      </c>
      <c r="AN21" s="96" t="e">
        <f>IF(ISERROR(GC_esters!L21), GC_esters!V21, IF(ISERROR(GC_esters!V21), GC_esters!L21, AVERAGE(GC_esters!L21,  GC_esters!V21)))</f>
        <v>#N/A</v>
      </c>
      <c r="AO21" s="96">
        <f>IF(ISERROR(GC_esters!L21),0,IF(ISERROR(GC_esters!V21),0,STDEV(GC_esters!L21, GC_esters!V21)))</f>
        <v>0</v>
      </c>
      <c r="AP21" s="96" t="e">
        <f>IF(ISERROR(GC_esters!M21), GC_esters!W21, IF(ISERROR(GC_esters!W21), GC_esters!M21, AVERAGE(GC_esters!M21,  GC_esters!W21)))</f>
        <v>#N/A</v>
      </c>
      <c r="AQ21" s="96">
        <f>IF(ISERROR(GC_esters!M21),0,IF(ISERROR(GC_esters!W21),0,STDEV(GC_esters!M21, GC_esters!W21)))</f>
        <v>0</v>
      </c>
      <c r="AR21" s="96" t="e">
        <f>IF(ISERROR(GC_ketones!D21), GC_ketones!F21, IF(ISERROR(GC_ketones!F21), GC_ketones!D21, AVERAGE(GC_ketones!D21, GC_ketones!F21)))</f>
        <v>#N/A</v>
      </c>
      <c r="AS21" s="96">
        <f>IF(ISERROR(GC_ketones!D21),0,IF(ISERROR(GC_ketones!F21),0,STDEV(GC_ketones!D21, GC_ketones!F21)))</f>
        <v>0</v>
      </c>
      <c r="AT21" s="96" t="e">
        <f>IF(ISERROR(GC_ketones!E21), GC_ketones!G21, IF(ISERROR(GC_ketones!G21), GC_ketones!E21, AVERAGE(GC_ketones!E21, GC_ketones!G21)))</f>
        <v>#N/A</v>
      </c>
      <c r="AU21" s="96">
        <f>IF(ISERROR(GC_ketones!E21),0,IF(ISERROR(GC_ketones!G21),0,STDEV(GC_ketones!E21, GC_ketones!G21)))</f>
        <v>0</v>
      </c>
      <c r="AV21" t="e">
        <f t="shared" si="13"/>
        <v>#N/A</v>
      </c>
      <c r="AW21" t="e">
        <f t="shared" si="1"/>
        <v>#N/A</v>
      </c>
      <c r="AX21" t="e">
        <f t="shared" si="14"/>
        <v>#N/A</v>
      </c>
      <c r="AY21" t="e">
        <f t="shared" si="2"/>
        <v>#N/A</v>
      </c>
      <c r="AZ21" t="e">
        <f t="shared" si="15"/>
        <v>#N/A</v>
      </c>
      <c r="BA21" t="e">
        <f t="shared" si="3"/>
        <v>#N/A</v>
      </c>
      <c r="BB21" t="e">
        <f t="shared" si="16"/>
        <v>#N/A</v>
      </c>
      <c r="BC21" t="e">
        <f t="shared" si="4"/>
        <v>#N/A</v>
      </c>
      <c r="BD21" t="e">
        <f t="shared" si="17"/>
        <v>#N/A</v>
      </c>
      <c r="BE21" t="e">
        <f t="shared" si="5"/>
        <v>#N/A</v>
      </c>
      <c r="BF21" t="e">
        <f t="shared" si="18"/>
        <v>#N/A</v>
      </c>
      <c r="BG21" t="e">
        <f t="shared" si="6"/>
        <v>#N/A</v>
      </c>
      <c r="BH21" t="e">
        <f t="shared" si="19"/>
        <v>#N/A</v>
      </c>
      <c r="BI21" t="e">
        <f t="shared" si="7"/>
        <v>#N/A</v>
      </c>
      <c r="BJ21" t="e">
        <f t="shared" si="20"/>
        <v>#N/A</v>
      </c>
      <c r="BK21" t="e">
        <f t="shared" si="8"/>
        <v>#N/A</v>
      </c>
      <c r="BL21" t="e">
        <f t="shared" si="21"/>
        <v>#N/A</v>
      </c>
      <c r="BM21" t="e">
        <f t="shared" si="9"/>
        <v>#N/A</v>
      </c>
      <c r="BN21" t="e">
        <f t="shared" si="22"/>
        <v>#N/A</v>
      </c>
      <c r="BO21" t="e">
        <f t="shared" si="10"/>
        <v>#N/A</v>
      </c>
      <c r="BP21" t="e">
        <f t="shared" si="23"/>
        <v>#N/A</v>
      </c>
      <c r="BQ21" t="e">
        <f t="shared" si="11"/>
        <v>#N/A</v>
      </c>
      <c r="BR21" t="e">
        <f t="shared" si="12"/>
        <v>#N/A</v>
      </c>
    </row>
    <row r="22" spans="1:70" x14ac:dyDescent="0.25">
      <c r="D22" s="11"/>
      <c r="E22" s="11"/>
      <c r="F22" s="92"/>
    </row>
    <row r="23" spans="1:70" x14ac:dyDescent="0.25">
      <c r="D23" s="11"/>
      <c r="E23" s="11"/>
      <c r="F23" s="92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 spans="1:70" x14ac:dyDescent="0.25">
      <c r="D24" s="11"/>
      <c r="E24" s="11"/>
      <c r="F24" s="92"/>
    </row>
    <row r="25" spans="1:70" x14ac:dyDescent="0.25">
      <c r="D25" s="11"/>
      <c r="E25" s="11"/>
      <c r="F25" s="92"/>
    </row>
    <row r="26" spans="1:70" x14ac:dyDescent="0.25">
      <c r="D26" s="11"/>
      <c r="E26" s="11"/>
      <c r="F26" s="92"/>
    </row>
    <row r="27" spans="1:70" x14ac:dyDescent="0.25">
      <c r="D27" s="11"/>
      <c r="E27" s="11"/>
      <c r="F27" s="92"/>
    </row>
    <row r="28" spans="1:70" x14ac:dyDescent="0.25">
      <c r="D28" s="11"/>
      <c r="E28" s="11"/>
      <c r="F28" s="92"/>
    </row>
    <row r="29" spans="1:70" x14ac:dyDescent="0.25">
      <c r="D29" s="11"/>
      <c r="E29" s="11"/>
      <c r="F29" s="92"/>
    </row>
    <row r="30" spans="1:70" x14ac:dyDescent="0.25">
      <c r="D30" s="11"/>
      <c r="E30" s="11"/>
      <c r="F30" s="92"/>
    </row>
    <row r="31" spans="1:70" x14ac:dyDescent="0.25">
      <c r="D31" s="11"/>
      <c r="E31" s="11"/>
      <c r="F31" s="92"/>
    </row>
    <row r="32" spans="1:70" x14ac:dyDescent="0.25">
      <c r="D32" s="11"/>
      <c r="E32" s="11"/>
      <c r="F32" s="92"/>
    </row>
    <row r="33" spans="4:18" x14ac:dyDescent="0.25">
      <c r="D33" s="11"/>
      <c r="E33" s="11"/>
      <c r="F33" s="92"/>
    </row>
    <row r="41" spans="4:18" x14ac:dyDescent="0.25">
      <c r="R41" t="s">
        <v>289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1CE5-CFB6-43C5-878F-740E3C49010E}">
  <sheetPr codeName="Sheet15"/>
  <dimension ref="A1:J25"/>
  <sheetViews>
    <sheetView workbookViewId="0">
      <selection activeCell="B4" sqref="B4"/>
    </sheetView>
  </sheetViews>
  <sheetFormatPr defaultRowHeight="15" x14ac:dyDescent="0.25"/>
  <cols>
    <col min="1" max="2" width="25.42578125" bestFit="1" customWidth="1"/>
    <col min="3" max="3" width="20.5703125" bestFit="1" customWidth="1"/>
    <col min="4" max="4" width="21.7109375" customWidth="1"/>
    <col min="5" max="5" width="16.140625" bestFit="1" customWidth="1"/>
    <col min="6" max="6" width="12.28515625" bestFit="1" customWidth="1"/>
    <col min="7" max="7" width="19.42578125" bestFit="1" customWidth="1"/>
    <col min="8" max="8" width="21.5703125" bestFit="1" customWidth="1"/>
    <col min="9" max="9" width="13.42578125" bestFit="1" customWidth="1"/>
  </cols>
  <sheetData>
    <row r="1" spans="1:10" ht="15.75" x14ac:dyDescent="0.25">
      <c r="A1" s="70" t="s">
        <v>3</v>
      </c>
      <c r="B1" s="70" t="s">
        <v>122</v>
      </c>
      <c r="C1" s="70" t="s">
        <v>4</v>
      </c>
      <c r="D1" s="70" t="s">
        <v>127</v>
      </c>
      <c r="E1" s="70" t="s">
        <v>128</v>
      </c>
      <c r="F1" s="70" t="s">
        <v>123</v>
      </c>
      <c r="G1" s="70" t="s">
        <v>53</v>
      </c>
      <c r="H1" s="70" t="s">
        <v>52</v>
      </c>
      <c r="I1" s="72" t="s">
        <v>314</v>
      </c>
      <c r="J1" s="72" t="s">
        <v>313</v>
      </c>
    </row>
    <row r="2" spans="1:10" x14ac:dyDescent="0.25">
      <c r="A2">
        <v>1</v>
      </c>
      <c r="B2" s="71" t="s">
        <v>124</v>
      </c>
      <c r="D2">
        <v>17</v>
      </c>
      <c r="E2" s="11">
        <v>5000000</v>
      </c>
      <c r="F2">
        <v>12</v>
      </c>
      <c r="I2" s="72">
        <v>1</v>
      </c>
      <c r="J2" s="72">
        <v>1</v>
      </c>
    </row>
    <row r="3" spans="1:10" x14ac:dyDescent="0.25">
      <c r="A3">
        <v>2</v>
      </c>
      <c r="B3" s="71" t="s">
        <v>125</v>
      </c>
      <c r="D3">
        <v>20</v>
      </c>
      <c r="E3" s="11">
        <v>10000000</v>
      </c>
      <c r="I3">
        <v>2</v>
      </c>
      <c r="J3">
        <v>2</v>
      </c>
    </row>
    <row r="4" spans="1:10" x14ac:dyDescent="0.25">
      <c r="A4">
        <v>3</v>
      </c>
      <c r="B4" s="71" t="s">
        <v>126</v>
      </c>
      <c r="D4">
        <v>23</v>
      </c>
      <c r="E4" s="11">
        <v>15000000</v>
      </c>
      <c r="J4">
        <v>3</v>
      </c>
    </row>
    <row r="5" spans="1:10" x14ac:dyDescent="0.25">
      <c r="A5">
        <v>4</v>
      </c>
      <c r="B5" s="71"/>
      <c r="D5" t="s">
        <v>292</v>
      </c>
      <c r="J5">
        <v>4</v>
      </c>
    </row>
    <row r="6" spans="1:10" x14ac:dyDescent="0.25">
      <c r="A6">
        <v>5</v>
      </c>
      <c r="J6">
        <v>5</v>
      </c>
    </row>
    <row r="7" spans="1:10" x14ac:dyDescent="0.25">
      <c r="A7">
        <v>6</v>
      </c>
    </row>
    <row r="8" spans="1:10" ht="15.75" x14ac:dyDescent="0.25">
      <c r="A8">
        <v>7</v>
      </c>
      <c r="C8" s="70"/>
    </row>
    <row r="9" spans="1:10" ht="15.75" x14ac:dyDescent="0.25">
      <c r="A9">
        <v>8</v>
      </c>
      <c r="C9" s="70"/>
    </row>
    <row r="10" spans="1:10" ht="15.75" x14ac:dyDescent="0.25">
      <c r="A10">
        <v>9</v>
      </c>
      <c r="C10" s="70"/>
    </row>
    <row r="11" spans="1:10" ht="15.75" x14ac:dyDescent="0.25">
      <c r="A11">
        <v>10</v>
      </c>
      <c r="C11" s="70"/>
    </row>
    <row r="12" spans="1:10" ht="15.75" x14ac:dyDescent="0.25">
      <c r="A12">
        <v>11</v>
      </c>
      <c r="C12" s="70"/>
    </row>
    <row r="13" spans="1:10" ht="15.75" x14ac:dyDescent="0.25">
      <c r="A13">
        <v>12</v>
      </c>
      <c r="C13" s="70"/>
    </row>
    <row r="14" spans="1:10" ht="15.75" x14ac:dyDescent="0.25">
      <c r="A14">
        <v>13</v>
      </c>
      <c r="C14" s="70"/>
    </row>
    <row r="15" spans="1:10" ht="15.75" x14ac:dyDescent="0.25">
      <c r="A15">
        <v>14</v>
      </c>
      <c r="C15" s="70"/>
    </row>
    <row r="16" spans="1:10" x14ac:dyDescent="0.25">
      <c r="A16">
        <v>15</v>
      </c>
    </row>
    <row r="17" spans="1:1" x14ac:dyDescent="0.25">
      <c r="A17">
        <v>16</v>
      </c>
    </row>
    <row r="18" spans="1:1" x14ac:dyDescent="0.25">
      <c r="A18" t="s">
        <v>130</v>
      </c>
    </row>
    <row r="19" spans="1:1" x14ac:dyDescent="0.25">
      <c r="A19" t="s">
        <v>131</v>
      </c>
    </row>
    <row r="20" spans="1:1" x14ac:dyDescent="0.25">
      <c r="A20" t="s">
        <v>132</v>
      </c>
    </row>
    <row r="21" spans="1:1" x14ac:dyDescent="0.25">
      <c r="A21" t="s">
        <v>129</v>
      </c>
    </row>
    <row r="22" spans="1:1" x14ac:dyDescent="0.25">
      <c r="A22" t="s">
        <v>133</v>
      </c>
    </row>
    <row r="23" spans="1:1" x14ac:dyDescent="0.25">
      <c r="A23" t="s">
        <v>134</v>
      </c>
    </row>
    <row r="24" spans="1:1" x14ac:dyDescent="0.25">
      <c r="A24" t="s">
        <v>135</v>
      </c>
    </row>
    <row r="25" spans="1:1" x14ac:dyDescent="0.25">
      <c r="A25" t="s">
        <v>136</v>
      </c>
    </row>
  </sheetData>
  <dataValidations count="1">
    <dataValidation type="whole" errorStyle="warning" showInputMessage="1" showErrorMessage="1" errorTitle="Enter # of replicates!" sqref="I2:J2" xr:uid="{4FDEDC67-4119-4ADC-9697-07AF3A8A2A66}">
      <formula1>1</formula1>
      <formula2>2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Notes</vt:lpstr>
      <vt:lpstr>Experimental_parameters</vt:lpstr>
      <vt:lpstr>Planning_preculture</vt:lpstr>
      <vt:lpstr>CellCount_Viability</vt:lpstr>
      <vt:lpstr>Attenuation</vt:lpstr>
      <vt:lpstr>pH</vt:lpstr>
      <vt:lpstr>Cone_viability</vt:lpstr>
      <vt:lpstr>HPLC_raw</vt:lpstr>
      <vt:lpstr>GC_esters_raw</vt:lpstr>
      <vt:lpstr>GC_ketones_raw</vt:lpstr>
      <vt:lpstr>HPLC</vt:lpstr>
      <vt:lpstr>GC_esters</vt:lpstr>
      <vt:lpstr>GC_ketones</vt:lpstr>
      <vt:lpstr>CO2</vt:lpstr>
      <vt:lpstr>averages_to_plot</vt:lpstr>
      <vt:lpstr>Excel_parameters_(ignore)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Knibbe</dc:creator>
  <cp:lastModifiedBy>Ewout Knibbe</cp:lastModifiedBy>
  <dcterms:created xsi:type="dcterms:W3CDTF">2026-02-11T15:38:15Z</dcterms:created>
  <dcterms:modified xsi:type="dcterms:W3CDTF">2026-09-22T14:11:20Z</dcterms:modified>
</cp:coreProperties>
</file>