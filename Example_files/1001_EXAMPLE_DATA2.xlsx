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BT_HTS\Data\0_Tall Tubes\0_Tall Tube Experiments\"/>
    </mc:Choice>
  </mc:AlternateContent>
  <xr:revisionPtr revIDLastSave="0" documentId="13_ncr:1_{DC5EFC8F-F8DE-49DA-B0E0-7A4A3A09B6A3}" xr6:coauthVersionLast="47" xr6:coauthVersionMax="47" xr10:uidLastSave="{00000000-0000-0000-0000-000000000000}"/>
  <bookViews>
    <workbookView xWindow="-120" yWindow="-120" windowWidth="29040" windowHeight="15720" firstSheet="3" activeTab="7" xr2:uid="{4E4969CC-131E-40C7-A24F-E99793EDCDC4}"/>
  </bookViews>
  <sheets>
    <sheet name="Notes" sheetId="9" r:id="rId1"/>
    <sheet name="Experimental_parameters" sheetId="1" r:id="rId2"/>
    <sheet name="Planning_preculture" sheetId="3" r:id="rId3"/>
    <sheet name="CellCount_Viability" sheetId="8" r:id="rId4"/>
    <sheet name="Attenuation" sheetId="4" r:id="rId5"/>
    <sheet name="pH" sheetId="5" r:id="rId6"/>
    <sheet name="Cone_viability" sheetId="10" r:id="rId7"/>
    <sheet name="HPLC_raw" sheetId="11" r:id="rId8"/>
    <sheet name="GC_esters_raw" sheetId="13" r:id="rId9"/>
    <sheet name="GC_ketones_raw" sheetId="15" r:id="rId10"/>
    <sheet name="HPLC" sheetId="6" r:id="rId11"/>
    <sheet name="GC_esters" sheetId="7" r:id="rId12"/>
    <sheet name="GC_ketones" sheetId="14" r:id="rId13"/>
    <sheet name="CO2" sheetId="17" r:id="rId14"/>
    <sheet name="averages_to_plot" sheetId="16" r:id="rId15"/>
    <sheet name="Excel_parameters_(ignore)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1" l="1"/>
  <c r="Z8" i="11"/>
  <c r="AA8" i="11"/>
  <c r="AB8" i="11"/>
  <c r="AC8" i="11"/>
  <c r="Y9" i="11"/>
  <c r="Z9" i="11"/>
  <c r="AA9" i="11"/>
  <c r="AB9" i="11"/>
  <c r="AC9" i="11"/>
  <c r="Y10" i="11"/>
  <c r="Z10" i="11"/>
  <c r="AA10" i="11"/>
  <c r="AB10" i="11"/>
  <c r="AC10" i="11"/>
  <c r="Y11" i="11"/>
  <c r="Z11" i="11"/>
  <c r="AA11" i="11"/>
  <c r="AB11" i="11"/>
  <c r="AC11" i="11"/>
  <c r="X9" i="11"/>
  <c r="X10" i="11"/>
  <c r="X11" i="11"/>
  <c r="X8" i="11"/>
  <c r="V2" i="11"/>
  <c r="V3" i="11"/>
  <c r="V4" i="11"/>
  <c r="V5" i="11"/>
  <c r="R2" i="11"/>
  <c r="S2" i="11"/>
  <c r="T2" i="11"/>
  <c r="U2" i="11"/>
  <c r="R3" i="11"/>
  <c r="S3" i="11"/>
  <c r="T3" i="11"/>
  <c r="U3" i="11"/>
  <c r="R4" i="11"/>
  <c r="S4" i="11"/>
  <c r="T4" i="11"/>
  <c r="U4" i="11"/>
  <c r="R5" i="11"/>
  <c r="S5" i="11"/>
  <c r="T5" i="11"/>
  <c r="U5" i="11"/>
  <c r="Q3" i="11"/>
  <c r="Q4" i="11"/>
  <c r="Q5" i="11"/>
  <c r="Q2" i="11"/>
  <c r="I3" i="10"/>
  <c r="K11" i="14" l="1"/>
  <c r="J11" i="14"/>
  <c r="I11" i="14"/>
  <c r="H11" i="14"/>
  <c r="G11" i="14"/>
  <c r="F11" i="14"/>
  <c r="E11" i="14"/>
  <c r="D11" i="14"/>
  <c r="A11" i="7" l="1"/>
  <c r="C11" i="7" s="1"/>
  <c r="B11" i="7" s="1"/>
  <c r="A12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AA11" i="6" l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AA21" i="6" l="1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AU21" i="16" l="1"/>
  <c r="AT21" i="16"/>
  <c r="AS21" i="16"/>
  <c r="AR21" i="16"/>
  <c r="M21" i="16"/>
  <c r="L21" i="16"/>
  <c r="K21" i="16"/>
  <c r="J21" i="16"/>
  <c r="G21" i="16"/>
  <c r="F21" i="16"/>
  <c r="E21" i="16"/>
  <c r="D21" i="16"/>
  <c r="A21" i="16"/>
  <c r="AU20" i="16"/>
  <c r="AT20" i="16"/>
  <c r="BQ20" i="16" s="1"/>
  <c r="AS20" i="16"/>
  <c r="AR20" i="16"/>
  <c r="M20" i="16"/>
  <c r="L20" i="16"/>
  <c r="K20" i="16"/>
  <c r="J20" i="16"/>
  <c r="G20" i="16"/>
  <c r="F20" i="16"/>
  <c r="E20" i="16"/>
  <c r="D20" i="16"/>
  <c r="A20" i="16"/>
  <c r="AU19" i="16"/>
  <c r="AT19" i="16"/>
  <c r="AS19" i="16"/>
  <c r="AR19" i="16"/>
  <c r="M19" i="16"/>
  <c r="L19" i="16"/>
  <c r="K19" i="16"/>
  <c r="J19" i="16"/>
  <c r="G19" i="16"/>
  <c r="F19" i="16"/>
  <c r="E19" i="16"/>
  <c r="D19" i="16"/>
  <c r="A19" i="16"/>
  <c r="AU18" i="16"/>
  <c r="AT18" i="16"/>
  <c r="AS18" i="16"/>
  <c r="AR18" i="16"/>
  <c r="BO18" i="16" s="1"/>
  <c r="M18" i="16"/>
  <c r="L18" i="16"/>
  <c r="K18" i="16"/>
  <c r="J18" i="16"/>
  <c r="G18" i="16"/>
  <c r="F18" i="16"/>
  <c r="E18" i="16"/>
  <c r="D18" i="16"/>
  <c r="A18" i="16"/>
  <c r="AU17" i="16"/>
  <c r="AT17" i="16"/>
  <c r="AS17" i="16"/>
  <c r="AR17" i="16"/>
  <c r="M17" i="16"/>
  <c r="L17" i="16"/>
  <c r="K17" i="16"/>
  <c r="J17" i="16"/>
  <c r="G17" i="16"/>
  <c r="F17" i="16"/>
  <c r="E17" i="16"/>
  <c r="D17" i="16"/>
  <c r="A17" i="16"/>
  <c r="AU16" i="16"/>
  <c r="AT16" i="16"/>
  <c r="AS16" i="16"/>
  <c r="AR16" i="16"/>
  <c r="M16" i="16"/>
  <c r="L16" i="16"/>
  <c r="K16" i="16"/>
  <c r="J16" i="16"/>
  <c r="G16" i="16"/>
  <c r="F16" i="16"/>
  <c r="E16" i="16"/>
  <c r="D16" i="16"/>
  <c r="A16" i="16"/>
  <c r="AU15" i="16"/>
  <c r="AT15" i="16"/>
  <c r="BQ15" i="16" s="1"/>
  <c r="AS15" i="16"/>
  <c r="AR15" i="16"/>
  <c r="M15" i="16"/>
  <c r="L15" i="16"/>
  <c r="K15" i="16"/>
  <c r="J15" i="16"/>
  <c r="G15" i="16"/>
  <c r="F15" i="16"/>
  <c r="E15" i="16"/>
  <c r="D15" i="16"/>
  <c r="A15" i="16"/>
  <c r="AU14" i="16"/>
  <c r="AT14" i="16"/>
  <c r="AS14" i="16"/>
  <c r="AR14" i="16"/>
  <c r="BO14" i="16" s="1"/>
  <c r="M14" i="16"/>
  <c r="L14" i="16"/>
  <c r="K14" i="16"/>
  <c r="J14" i="16"/>
  <c r="G14" i="16"/>
  <c r="F14" i="16"/>
  <c r="E14" i="16"/>
  <c r="D14" i="16"/>
  <c r="A14" i="16"/>
  <c r="AU13" i="16"/>
  <c r="AT13" i="16"/>
  <c r="AS13" i="16"/>
  <c r="AR13" i="16"/>
  <c r="M13" i="16"/>
  <c r="L13" i="16"/>
  <c r="K13" i="16"/>
  <c r="J13" i="16"/>
  <c r="G13" i="16"/>
  <c r="E13" i="16"/>
  <c r="D13" i="16"/>
  <c r="A13" i="16"/>
  <c r="M12" i="16"/>
  <c r="L12" i="16"/>
  <c r="K12" i="16"/>
  <c r="J12" i="16"/>
  <c r="E12" i="16"/>
  <c r="D12" i="16"/>
  <c r="A12" i="16"/>
  <c r="M11" i="16"/>
  <c r="L11" i="16"/>
  <c r="K11" i="16"/>
  <c r="J11" i="16"/>
  <c r="E11" i="16"/>
  <c r="D11" i="16"/>
  <c r="A11" i="16"/>
  <c r="M10" i="16"/>
  <c r="L10" i="16"/>
  <c r="K10" i="16"/>
  <c r="J10" i="16"/>
  <c r="E10" i="16"/>
  <c r="D10" i="16"/>
  <c r="A10" i="16"/>
  <c r="M9" i="16"/>
  <c r="L9" i="16"/>
  <c r="K9" i="16"/>
  <c r="J9" i="16"/>
  <c r="E9" i="16"/>
  <c r="D9" i="16"/>
  <c r="A9" i="16"/>
  <c r="M8" i="16"/>
  <c r="L8" i="16"/>
  <c r="K8" i="16"/>
  <c r="J8" i="16"/>
  <c r="E8" i="16"/>
  <c r="D8" i="16"/>
  <c r="A8" i="16"/>
  <c r="M7" i="16"/>
  <c r="L7" i="16"/>
  <c r="K7" i="16"/>
  <c r="J7" i="16"/>
  <c r="E7" i="16"/>
  <c r="D7" i="16"/>
  <c r="A7" i="16"/>
  <c r="M6" i="16"/>
  <c r="L6" i="16"/>
  <c r="K6" i="16"/>
  <c r="J6" i="16"/>
  <c r="E6" i="16"/>
  <c r="D6" i="16"/>
  <c r="A6" i="16"/>
  <c r="M5" i="16"/>
  <c r="L5" i="16"/>
  <c r="K5" i="16"/>
  <c r="J5" i="16"/>
  <c r="E5" i="16"/>
  <c r="D5" i="16"/>
  <c r="A5" i="16"/>
  <c r="M4" i="16"/>
  <c r="L4" i="16"/>
  <c r="K4" i="16"/>
  <c r="J4" i="16"/>
  <c r="E4" i="16"/>
  <c r="D4" i="16"/>
  <c r="A4" i="16"/>
  <c r="M3" i="16"/>
  <c r="L3" i="16"/>
  <c r="K3" i="16"/>
  <c r="J3" i="16"/>
  <c r="E3" i="16"/>
  <c r="D3" i="16"/>
  <c r="A3" i="16"/>
  <c r="M2" i="16"/>
  <c r="L2" i="16"/>
  <c r="K2" i="16"/>
  <c r="J2" i="16"/>
  <c r="E2" i="16"/>
  <c r="D2" i="16"/>
  <c r="A2" i="16"/>
  <c r="C1" i="16"/>
  <c r="B1" i="16"/>
  <c r="A1" i="16"/>
  <c r="BO21" i="16"/>
  <c r="BQ21" i="16"/>
  <c r="BO20" i="16"/>
  <c r="BO19" i="16"/>
  <c r="BQ18" i="16"/>
  <c r="BQ17" i="16"/>
  <c r="BO17" i="16"/>
  <c r="BQ16" i="16"/>
  <c r="BO16" i="16"/>
  <c r="BO15" i="16"/>
  <c r="BQ14" i="16"/>
  <c r="BQ13" i="16"/>
  <c r="BO13" i="16"/>
  <c r="I2" i="10"/>
  <c r="F3" i="16"/>
  <c r="G4" i="16" l="1"/>
  <c r="G5" i="16"/>
  <c r="G3" i="16"/>
  <c r="G2" i="16"/>
  <c r="F5" i="16"/>
  <c r="F4" i="16"/>
  <c r="F2" i="16"/>
  <c r="BQ19" i="16"/>
  <c r="E2" i="7"/>
  <c r="E1" i="5"/>
  <c r="D1" i="5"/>
  <c r="E1" i="4"/>
  <c r="D1" i="4"/>
  <c r="K21" i="14"/>
  <c r="J21" i="14"/>
  <c r="I21" i="14"/>
  <c r="H21" i="14"/>
  <c r="G21" i="14"/>
  <c r="F21" i="14"/>
  <c r="E21" i="14"/>
  <c r="D21" i="14"/>
  <c r="K20" i="14"/>
  <c r="J20" i="14"/>
  <c r="I20" i="14"/>
  <c r="H20" i="14"/>
  <c r="G20" i="14"/>
  <c r="F20" i="14"/>
  <c r="E20" i="14"/>
  <c r="D20" i="14"/>
  <c r="K19" i="14"/>
  <c r="J19" i="14"/>
  <c r="I19" i="14"/>
  <c r="H19" i="14"/>
  <c r="G19" i="14"/>
  <c r="F19" i="14"/>
  <c r="E19" i="14"/>
  <c r="D19" i="14"/>
  <c r="K18" i="14"/>
  <c r="J18" i="14"/>
  <c r="I18" i="14"/>
  <c r="H18" i="14"/>
  <c r="G18" i="14"/>
  <c r="F18" i="14"/>
  <c r="E18" i="14"/>
  <c r="D18" i="14"/>
  <c r="K17" i="14"/>
  <c r="J17" i="14"/>
  <c r="I17" i="14"/>
  <c r="H17" i="14"/>
  <c r="G17" i="14"/>
  <c r="F17" i="14"/>
  <c r="E17" i="14"/>
  <c r="D17" i="14"/>
  <c r="K16" i="14"/>
  <c r="J16" i="14"/>
  <c r="I16" i="14"/>
  <c r="H16" i="14"/>
  <c r="G16" i="14"/>
  <c r="F16" i="14"/>
  <c r="E16" i="14"/>
  <c r="D16" i="14"/>
  <c r="K15" i="14"/>
  <c r="J15" i="14"/>
  <c r="I15" i="14"/>
  <c r="H15" i="14"/>
  <c r="G15" i="14"/>
  <c r="F15" i="14"/>
  <c r="E15" i="14"/>
  <c r="D15" i="14"/>
  <c r="K14" i="14"/>
  <c r="J14" i="14"/>
  <c r="I14" i="14"/>
  <c r="H14" i="14"/>
  <c r="G14" i="14"/>
  <c r="F14" i="14"/>
  <c r="E14" i="14"/>
  <c r="D14" i="14"/>
  <c r="K13" i="14"/>
  <c r="J13" i="14"/>
  <c r="I13" i="14"/>
  <c r="H13" i="14"/>
  <c r="G13" i="14"/>
  <c r="F13" i="14"/>
  <c r="E13" i="14"/>
  <c r="D13" i="14"/>
  <c r="K12" i="14"/>
  <c r="J12" i="14"/>
  <c r="I12" i="14"/>
  <c r="H12" i="14"/>
  <c r="G12" i="14"/>
  <c r="F12" i="14"/>
  <c r="E12" i="14"/>
  <c r="D12" i="14"/>
  <c r="K10" i="14"/>
  <c r="J10" i="14"/>
  <c r="I10" i="14"/>
  <c r="H10" i="14"/>
  <c r="G10" i="14"/>
  <c r="F10" i="14"/>
  <c r="E10" i="14"/>
  <c r="D10" i="14"/>
  <c r="K9" i="14"/>
  <c r="J9" i="14"/>
  <c r="I9" i="14"/>
  <c r="H9" i="14"/>
  <c r="G9" i="14"/>
  <c r="F9" i="14"/>
  <c r="E9" i="14"/>
  <c r="D9" i="14"/>
  <c r="K8" i="14"/>
  <c r="J8" i="14"/>
  <c r="I8" i="14"/>
  <c r="H8" i="14"/>
  <c r="G8" i="14"/>
  <c r="F8" i="14"/>
  <c r="E8" i="14"/>
  <c r="D8" i="14"/>
  <c r="K7" i="14"/>
  <c r="J7" i="14"/>
  <c r="I7" i="14"/>
  <c r="H7" i="14"/>
  <c r="G7" i="14"/>
  <c r="F7" i="14"/>
  <c r="E7" i="14"/>
  <c r="D7" i="14"/>
  <c r="K6" i="14"/>
  <c r="J6" i="14"/>
  <c r="I6" i="14"/>
  <c r="H6" i="14"/>
  <c r="G6" i="14"/>
  <c r="F6" i="14"/>
  <c r="E6" i="14"/>
  <c r="D6" i="14"/>
  <c r="K5" i="14"/>
  <c r="J5" i="14"/>
  <c r="I5" i="14"/>
  <c r="H5" i="14"/>
  <c r="G5" i="14"/>
  <c r="F5" i="14"/>
  <c r="E5" i="14"/>
  <c r="D5" i="14"/>
  <c r="K4" i="14"/>
  <c r="J4" i="14"/>
  <c r="I4" i="14"/>
  <c r="H4" i="14"/>
  <c r="G4" i="14"/>
  <c r="F4" i="14"/>
  <c r="E4" i="14"/>
  <c r="D4" i="14"/>
  <c r="K3" i="14"/>
  <c r="J3" i="14"/>
  <c r="I3" i="14"/>
  <c r="H3" i="14"/>
  <c r="G3" i="14"/>
  <c r="F3" i="14"/>
  <c r="E3" i="14"/>
  <c r="D3" i="14"/>
  <c r="K2" i="14"/>
  <c r="J2" i="14"/>
  <c r="I2" i="14"/>
  <c r="H2" i="14"/>
  <c r="G2" i="14"/>
  <c r="F2" i="14"/>
  <c r="E2" i="14"/>
  <c r="D2" i="14"/>
  <c r="B115" i="15"/>
  <c r="B109" i="15"/>
  <c r="B103" i="15"/>
  <c r="B97" i="15"/>
  <c r="B91" i="15"/>
  <c r="B85" i="15"/>
  <c r="B79" i="15"/>
  <c r="B73" i="15"/>
  <c r="B67" i="15"/>
  <c r="B61" i="15"/>
  <c r="B55" i="15"/>
  <c r="B49" i="15"/>
  <c r="B43" i="15"/>
  <c r="B37" i="15"/>
  <c r="B31" i="15"/>
  <c r="B25" i="15"/>
  <c r="B19" i="15"/>
  <c r="B13" i="15"/>
  <c r="B7" i="15"/>
  <c r="B1" i="15"/>
  <c r="A21" i="14"/>
  <c r="C21" i="14" s="1"/>
  <c r="B21" i="14" s="1"/>
  <c r="A20" i="14"/>
  <c r="C20" i="14" s="1"/>
  <c r="B20" i="14" s="1"/>
  <c r="A19" i="14"/>
  <c r="C19" i="14" s="1"/>
  <c r="B19" i="14" s="1"/>
  <c r="A18" i="14"/>
  <c r="C18" i="14" s="1"/>
  <c r="B18" i="14" s="1"/>
  <c r="A17" i="14"/>
  <c r="C17" i="14" s="1"/>
  <c r="B17" i="14" s="1"/>
  <c r="A16" i="14"/>
  <c r="C16" i="14" s="1"/>
  <c r="B16" i="14" s="1"/>
  <c r="A15" i="14"/>
  <c r="C15" i="14" s="1"/>
  <c r="B15" i="14" s="1"/>
  <c r="A14" i="14"/>
  <c r="C14" i="14" s="1"/>
  <c r="B14" i="14" s="1"/>
  <c r="A13" i="14"/>
  <c r="C13" i="14" s="1"/>
  <c r="B13" i="14" s="1"/>
  <c r="A12" i="14"/>
  <c r="A11" i="14"/>
  <c r="A10" i="14"/>
  <c r="A9" i="14"/>
  <c r="C9" i="14" s="1"/>
  <c r="B9" i="14" s="1"/>
  <c r="A8" i="14"/>
  <c r="C8" i="14" s="1"/>
  <c r="B8" i="14" s="1"/>
  <c r="A7" i="14"/>
  <c r="A6" i="14"/>
  <c r="A5" i="14"/>
  <c r="A4" i="14"/>
  <c r="A3" i="14"/>
  <c r="A2" i="14"/>
  <c r="C2" i="14" s="1"/>
  <c r="B2" i="14" s="1"/>
  <c r="AH2" i="7"/>
  <c r="AI2" i="7"/>
  <c r="AJ2" i="7"/>
  <c r="AK2" i="7"/>
  <c r="AH3" i="7"/>
  <c r="AI3" i="7"/>
  <c r="AJ3" i="7"/>
  <c r="AK3" i="7"/>
  <c r="AH4" i="7"/>
  <c r="AI4" i="7"/>
  <c r="AJ4" i="7"/>
  <c r="AK4" i="7"/>
  <c r="AH5" i="7"/>
  <c r="AI5" i="7"/>
  <c r="AJ5" i="7"/>
  <c r="AK5" i="7"/>
  <c r="AH6" i="7"/>
  <c r="AI6" i="7"/>
  <c r="AJ6" i="7"/>
  <c r="AK6" i="7"/>
  <c r="AH7" i="7"/>
  <c r="AI7" i="7"/>
  <c r="AJ7" i="7"/>
  <c r="AK7" i="7"/>
  <c r="AH8" i="7"/>
  <c r="AI8" i="7"/>
  <c r="AJ8" i="7"/>
  <c r="AK8" i="7"/>
  <c r="AH9" i="7"/>
  <c r="AI9" i="7"/>
  <c r="AJ9" i="7"/>
  <c r="AK9" i="7"/>
  <c r="AH10" i="7"/>
  <c r="AI10" i="7"/>
  <c r="AJ10" i="7"/>
  <c r="AK10" i="7"/>
  <c r="AH12" i="7"/>
  <c r="AI12" i="7"/>
  <c r="AJ12" i="7"/>
  <c r="AK12" i="7"/>
  <c r="AH13" i="7"/>
  <c r="AI13" i="7"/>
  <c r="AJ13" i="7"/>
  <c r="AK13" i="7"/>
  <c r="AH14" i="7"/>
  <c r="AI14" i="7"/>
  <c r="AJ14" i="7"/>
  <c r="AK14" i="7"/>
  <c r="AH15" i="7"/>
  <c r="AI15" i="7"/>
  <c r="AJ15" i="7"/>
  <c r="AK15" i="7"/>
  <c r="AH16" i="7"/>
  <c r="AI16" i="7"/>
  <c r="AJ16" i="7"/>
  <c r="AK16" i="7"/>
  <c r="AH17" i="7"/>
  <c r="AI17" i="7"/>
  <c r="AJ17" i="7"/>
  <c r="AK17" i="7"/>
  <c r="AH18" i="7"/>
  <c r="AI18" i="7"/>
  <c r="AJ18" i="7"/>
  <c r="AK18" i="7"/>
  <c r="AH19" i="7"/>
  <c r="AI19" i="7"/>
  <c r="AJ19" i="7"/>
  <c r="AK19" i="7"/>
  <c r="AH20" i="7"/>
  <c r="AI20" i="7"/>
  <c r="AJ20" i="7"/>
  <c r="AK20" i="7"/>
  <c r="AH21" i="7"/>
  <c r="AI21" i="7"/>
  <c r="AJ21" i="7"/>
  <c r="AK21" i="7"/>
  <c r="X2" i="7"/>
  <c r="Y2" i="7"/>
  <c r="Z2" i="7"/>
  <c r="AA2" i="7"/>
  <c r="X3" i="7"/>
  <c r="Y3" i="7"/>
  <c r="Z3" i="7"/>
  <c r="AA3" i="7"/>
  <c r="X4" i="7"/>
  <c r="Y4" i="7"/>
  <c r="Z4" i="7"/>
  <c r="AA4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2" i="7"/>
  <c r="Y12" i="7"/>
  <c r="Z12" i="7"/>
  <c r="AA12" i="7"/>
  <c r="X13" i="7"/>
  <c r="Y13" i="7"/>
  <c r="Z13" i="7"/>
  <c r="AA13" i="7"/>
  <c r="X14" i="7"/>
  <c r="Y14" i="7"/>
  <c r="Z14" i="7"/>
  <c r="AA14" i="7"/>
  <c r="X15" i="7"/>
  <c r="Y15" i="7"/>
  <c r="Z15" i="7"/>
  <c r="AA15" i="7"/>
  <c r="X16" i="7"/>
  <c r="Y16" i="7"/>
  <c r="Z16" i="7"/>
  <c r="AA16" i="7"/>
  <c r="X17" i="7"/>
  <c r="Y17" i="7"/>
  <c r="Z17" i="7"/>
  <c r="AA17" i="7"/>
  <c r="X18" i="7"/>
  <c r="Y18" i="7"/>
  <c r="Z18" i="7"/>
  <c r="AA18" i="7"/>
  <c r="X19" i="7"/>
  <c r="Y19" i="7"/>
  <c r="Z19" i="7"/>
  <c r="AA19" i="7"/>
  <c r="X20" i="7"/>
  <c r="Y20" i="7"/>
  <c r="Z20" i="7"/>
  <c r="AA20" i="7"/>
  <c r="X21" i="7"/>
  <c r="Y21" i="7"/>
  <c r="Z21" i="7"/>
  <c r="AA21" i="7"/>
  <c r="N2" i="7"/>
  <c r="O2" i="7"/>
  <c r="P2" i="7"/>
  <c r="Q2" i="7"/>
  <c r="N3" i="7"/>
  <c r="O3" i="7"/>
  <c r="P3" i="7"/>
  <c r="Q3" i="7"/>
  <c r="N4" i="7"/>
  <c r="O4" i="7"/>
  <c r="P4" i="7"/>
  <c r="Q4" i="7"/>
  <c r="N5" i="7"/>
  <c r="O5" i="7"/>
  <c r="P5" i="7"/>
  <c r="Q5" i="7"/>
  <c r="N6" i="7"/>
  <c r="O6" i="7"/>
  <c r="P6" i="7"/>
  <c r="Q6" i="7"/>
  <c r="N7" i="7"/>
  <c r="O7" i="7"/>
  <c r="P7" i="7"/>
  <c r="Q7" i="7"/>
  <c r="N8" i="7"/>
  <c r="O8" i="7"/>
  <c r="P8" i="7"/>
  <c r="Q8" i="7"/>
  <c r="N9" i="7"/>
  <c r="O9" i="7"/>
  <c r="P9" i="7"/>
  <c r="Q9" i="7"/>
  <c r="N10" i="7"/>
  <c r="O10" i="7"/>
  <c r="P10" i="7"/>
  <c r="Q10" i="7"/>
  <c r="N12" i="7"/>
  <c r="O12" i="7"/>
  <c r="P12" i="7"/>
  <c r="Q12" i="7"/>
  <c r="N13" i="7"/>
  <c r="O13" i="7"/>
  <c r="P13" i="7"/>
  <c r="Q13" i="7"/>
  <c r="N14" i="7"/>
  <c r="O14" i="7"/>
  <c r="P14" i="7"/>
  <c r="Q14" i="7"/>
  <c r="N15" i="7"/>
  <c r="O15" i="7"/>
  <c r="P15" i="7"/>
  <c r="Q15" i="7"/>
  <c r="N16" i="7"/>
  <c r="O16" i="7"/>
  <c r="P16" i="7"/>
  <c r="Q16" i="7"/>
  <c r="N17" i="7"/>
  <c r="O17" i="7"/>
  <c r="P17" i="7"/>
  <c r="Q17" i="7"/>
  <c r="N18" i="7"/>
  <c r="O18" i="7"/>
  <c r="P18" i="7"/>
  <c r="Q18" i="7"/>
  <c r="N19" i="7"/>
  <c r="O19" i="7"/>
  <c r="P19" i="7"/>
  <c r="Q19" i="7"/>
  <c r="N20" i="7"/>
  <c r="O20" i="7"/>
  <c r="P20" i="7"/>
  <c r="Q20" i="7"/>
  <c r="N21" i="7"/>
  <c r="O21" i="7"/>
  <c r="P21" i="7"/>
  <c r="Q21" i="7"/>
  <c r="D2" i="7"/>
  <c r="F2" i="7"/>
  <c r="G2" i="7"/>
  <c r="D3" i="7"/>
  <c r="E3" i="7"/>
  <c r="F3" i="7"/>
  <c r="G3" i="7"/>
  <c r="D4" i="7"/>
  <c r="E4" i="7"/>
  <c r="F4" i="7"/>
  <c r="G4" i="7"/>
  <c r="D5" i="7"/>
  <c r="E5" i="7"/>
  <c r="F5" i="7"/>
  <c r="G5" i="7"/>
  <c r="D6" i="7"/>
  <c r="E6" i="7"/>
  <c r="F6" i="7"/>
  <c r="G6" i="7"/>
  <c r="D7" i="7"/>
  <c r="E7" i="7"/>
  <c r="F7" i="7"/>
  <c r="G7" i="7"/>
  <c r="D8" i="7"/>
  <c r="E8" i="7"/>
  <c r="F8" i="7"/>
  <c r="G8" i="7"/>
  <c r="D9" i="7"/>
  <c r="E9" i="7"/>
  <c r="F9" i="7"/>
  <c r="G9" i="7"/>
  <c r="D10" i="7"/>
  <c r="E10" i="7"/>
  <c r="F10" i="7"/>
  <c r="G10" i="7"/>
  <c r="D12" i="7"/>
  <c r="E12" i="7"/>
  <c r="F12" i="7"/>
  <c r="G12" i="7"/>
  <c r="D13" i="7"/>
  <c r="E13" i="7"/>
  <c r="F13" i="7"/>
  <c r="G13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G18" i="7"/>
  <c r="D19" i="7"/>
  <c r="E19" i="7"/>
  <c r="F19" i="7"/>
  <c r="G19" i="7"/>
  <c r="D20" i="7"/>
  <c r="E20" i="7"/>
  <c r="F20" i="7"/>
  <c r="G20" i="7"/>
  <c r="D21" i="7"/>
  <c r="E21" i="7"/>
  <c r="F21" i="7"/>
  <c r="G21" i="7"/>
  <c r="AQ21" i="7"/>
  <c r="AP21" i="7"/>
  <c r="AO21" i="7"/>
  <c r="AN21" i="7"/>
  <c r="AM21" i="7"/>
  <c r="AL21" i="7"/>
  <c r="AG21" i="7"/>
  <c r="AF21" i="7"/>
  <c r="AE21" i="7"/>
  <c r="AD21" i="7"/>
  <c r="AC21" i="7"/>
  <c r="AB21" i="7"/>
  <c r="W21" i="7"/>
  <c r="V21" i="7"/>
  <c r="U21" i="7"/>
  <c r="T21" i="7"/>
  <c r="S21" i="7"/>
  <c r="R21" i="7"/>
  <c r="M21" i="7"/>
  <c r="L21" i="7"/>
  <c r="K21" i="7"/>
  <c r="J21" i="7"/>
  <c r="I21" i="7"/>
  <c r="H21" i="7"/>
  <c r="AQ20" i="7"/>
  <c r="AP20" i="7"/>
  <c r="AO20" i="7"/>
  <c r="AN20" i="7"/>
  <c r="AM20" i="7"/>
  <c r="AL20" i="7"/>
  <c r="AG20" i="7"/>
  <c r="AF20" i="7"/>
  <c r="AE20" i="7"/>
  <c r="AD20" i="7"/>
  <c r="AC20" i="7"/>
  <c r="AB20" i="7"/>
  <c r="W20" i="7"/>
  <c r="V20" i="7"/>
  <c r="U20" i="7"/>
  <c r="T20" i="7"/>
  <c r="S20" i="7"/>
  <c r="R20" i="7"/>
  <c r="M20" i="7"/>
  <c r="L20" i="7"/>
  <c r="K20" i="7"/>
  <c r="J20" i="7"/>
  <c r="I20" i="7"/>
  <c r="H20" i="7"/>
  <c r="AQ19" i="7"/>
  <c r="AP19" i="7"/>
  <c r="AO19" i="7"/>
  <c r="AN19" i="7"/>
  <c r="AM19" i="7"/>
  <c r="AL19" i="7"/>
  <c r="AG19" i="7"/>
  <c r="AF19" i="7"/>
  <c r="AE19" i="7"/>
  <c r="AD19" i="7"/>
  <c r="AC19" i="7"/>
  <c r="AB19" i="7"/>
  <c r="W19" i="7"/>
  <c r="V19" i="7"/>
  <c r="U19" i="7"/>
  <c r="T19" i="7"/>
  <c r="S19" i="7"/>
  <c r="R19" i="7"/>
  <c r="M19" i="7"/>
  <c r="L19" i="7"/>
  <c r="K19" i="7"/>
  <c r="J19" i="7"/>
  <c r="I19" i="7"/>
  <c r="H19" i="7"/>
  <c r="AQ18" i="7"/>
  <c r="AP18" i="7"/>
  <c r="AO18" i="7"/>
  <c r="AN18" i="7"/>
  <c r="AM18" i="7"/>
  <c r="AL18" i="7"/>
  <c r="AG18" i="7"/>
  <c r="AF18" i="7"/>
  <c r="AE18" i="7"/>
  <c r="AD18" i="7"/>
  <c r="AC18" i="7"/>
  <c r="AB18" i="7"/>
  <c r="W18" i="7"/>
  <c r="V18" i="7"/>
  <c r="U18" i="7"/>
  <c r="T18" i="7"/>
  <c r="S18" i="7"/>
  <c r="R18" i="7"/>
  <c r="M18" i="7"/>
  <c r="L18" i="7"/>
  <c r="K18" i="7"/>
  <c r="J18" i="7"/>
  <c r="I18" i="7"/>
  <c r="H18" i="7"/>
  <c r="AQ17" i="7"/>
  <c r="AP17" i="7"/>
  <c r="AO17" i="7"/>
  <c r="AN17" i="7"/>
  <c r="AM17" i="7"/>
  <c r="AL17" i="7"/>
  <c r="AG17" i="7"/>
  <c r="AF17" i="7"/>
  <c r="AE17" i="7"/>
  <c r="AD17" i="7"/>
  <c r="AC17" i="7"/>
  <c r="AB17" i="7"/>
  <c r="W17" i="7"/>
  <c r="V17" i="7"/>
  <c r="U17" i="7"/>
  <c r="T17" i="7"/>
  <c r="S17" i="7"/>
  <c r="R17" i="7"/>
  <c r="M17" i="7"/>
  <c r="L17" i="7"/>
  <c r="K17" i="7"/>
  <c r="J17" i="7"/>
  <c r="I17" i="7"/>
  <c r="H17" i="7"/>
  <c r="AQ16" i="7"/>
  <c r="AP16" i="7"/>
  <c r="AO16" i="7"/>
  <c r="AN16" i="7"/>
  <c r="AM16" i="7"/>
  <c r="AL16" i="7"/>
  <c r="AG16" i="7"/>
  <c r="AF16" i="7"/>
  <c r="AE16" i="7"/>
  <c r="AD16" i="7"/>
  <c r="AC16" i="7"/>
  <c r="AB16" i="7"/>
  <c r="W16" i="7"/>
  <c r="V16" i="7"/>
  <c r="U16" i="7"/>
  <c r="T16" i="7"/>
  <c r="S16" i="7"/>
  <c r="R16" i="7"/>
  <c r="M16" i="7"/>
  <c r="L16" i="7"/>
  <c r="K16" i="7"/>
  <c r="J16" i="7"/>
  <c r="I16" i="7"/>
  <c r="H16" i="7"/>
  <c r="AQ15" i="7"/>
  <c r="AP15" i="7"/>
  <c r="AO15" i="7"/>
  <c r="AN15" i="7"/>
  <c r="AM15" i="7"/>
  <c r="AL15" i="7"/>
  <c r="AG15" i="7"/>
  <c r="AF15" i="7"/>
  <c r="AE15" i="7"/>
  <c r="AD15" i="7"/>
  <c r="AC15" i="7"/>
  <c r="AB15" i="7"/>
  <c r="W15" i="7"/>
  <c r="V15" i="7"/>
  <c r="U15" i="7"/>
  <c r="T15" i="7"/>
  <c r="S15" i="7"/>
  <c r="R15" i="7"/>
  <c r="M15" i="7"/>
  <c r="L15" i="7"/>
  <c r="K15" i="7"/>
  <c r="J15" i="7"/>
  <c r="I15" i="7"/>
  <c r="H15" i="7"/>
  <c r="AQ14" i="7"/>
  <c r="AP14" i="7"/>
  <c r="AO14" i="7"/>
  <c r="AN14" i="7"/>
  <c r="AM14" i="7"/>
  <c r="AL14" i="7"/>
  <c r="AG14" i="7"/>
  <c r="AF14" i="7"/>
  <c r="AE14" i="7"/>
  <c r="AD14" i="7"/>
  <c r="AC14" i="7"/>
  <c r="AB14" i="7"/>
  <c r="W14" i="7"/>
  <c r="V14" i="7"/>
  <c r="U14" i="7"/>
  <c r="T14" i="7"/>
  <c r="S14" i="7"/>
  <c r="R14" i="7"/>
  <c r="M14" i="7"/>
  <c r="L14" i="7"/>
  <c r="K14" i="7"/>
  <c r="J14" i="7"/>
  <c r="I14" i="7"/>
  <c r="H14" i="7"/>
  <c r="AQ13" i="7"/>
  <c r="AP13" i="7"/>
  <c r="AO13" i="7"/>
  <c r="AN13" i="7"/>
  <c r="AM13" i="7"/>
  <c r="AL13" i="7"/>
  <c r="AG13" i="7"/>
  <c r="AF13" i="7"/>
  <c r="AE13" i="7"/>
  <c r="AD13" i="7"/>
  <c r="AC13" i="7"/>
  <c r="AB13" i="7"/>
  <c r="W13" i="7"/>
  <c r="V13" i="7"/>
  <c r="U13" i="7"/>
  <c r="T13" i="7"/>
  <c r="S13" i="7"/>
  <c r="R13" i="7"/>
  <c r="M13" i="7"/>
  <c r="L13" i="7"/>
  <c r="K13" i="7"/>
  <c r="J13" i="7"/>
  <c r="I13" i="7"/>
  <c r="H13" i="7"/>
  <c r="AQ12" i="7"/>
  <c r="AP12" i="7"/>
  <c r="AO12" i="7"/>
  <c r="AN12" i="7"/>
  <c r="AM12" i="7"/>
  <c r="AL12" i="7"/>
  <c r="AG12" i="7"/>
  <c r="AF12" i="7"/>
  <c r="AE12" i="7"/>
  <c r="AD12" i="7"/>
  <c r="AC12" i="7"/>
  <c r="AB12" i="7"/>
  <c r="W12" i="7"/>
  <c r="V12" i="7"/>
  <c r="U12" i="7"/>
  <c r="T12" i="7"/>
  <c r="S12" i="7"/>
  <c r="R12" i="7"/>
  <c r="M12" i="7"/>
  <c r="L12" i="7"/>
  <c r="K12" i="7"/>
  <c r="J12" i="7"/>
  <c r="I12" i="7"/>
  <c r="H12" i="7"/>
  <c r="AQ10" i="7"/>
  <c r="AP10" i="7"/>
  <c r="AO10" i="7"/>
  <c r="AN10" i="7"/>
  <c r="AM10" i="7"/>
  <c r="AL10" i="7"/>
  <c r="AG10" i="7"/>
  <c r="AF10" i="7"/>
  <c r="AE10" i="7"/>
  <c r="AD10" i="7"/>
  <c r="AC10" i="7"/>
  <c r="AB10" i="7"/>
  <c r="W10" i="7"/>
  <c r="V10" i="7"/>
  <c r="U10" i="7"/>
  <c r="T10" i="7"/>
  <c r="S10" i="7"/>
  <c r="R10" i="7"/>
  <c r="M10" i="7"/>
  <c r="L10" i="7"/>
  <c r="K10" i="7"/>
  <c r="J10" i="7"/>
  <c r="I10" i="7"/>
  <c r="H10" i="7"/>
  <c r="AQ9" i="7"/>
  <c r="AP9" i="7"/>
  <c r="AO9" i="7"/>
  <c r="AN9" i="7"/>
  <c r="AM9" i="7"/>
  <c r="AL9" i="7"/>
  <c r="AG9" i="7"/>
  <c r="AF9" i="7"/>
  <c r="AE9" i="7"/>
  <c r="AD9" i="7"/>
  <c r="AC9" i="7"/>
  <c r="AB9" i="7"/>
  <c r="W9" i="7"/>
  <c r="V9" i="7"/>
  <c r="U9" i="7"/>
  <c r="T9" i="7"/>
  <c r="S9" i="7"/>
  <c r="R9" i="7"/>
  <c r="M9" i="7"/>
  <c r="L9" i="7"/>
  <c r="K9" i="7"/>
  <c r="J9" i="7"/>
  <c r="I9" i="7"/>
  <c r="H9" i="7"/>
  <c r="AQ8" i="7"/>
  <c r="AP8" i="7"/>
  <c r="AO8" i="7"/>
  <c r="AN8" i="7"/>
  <c r="AM8" i="7"/>
  <c r="AL8" i="7"/>
  <c r="AG8" i="7"/>
  <c r="AF8" i="7"/>
  <c r="AE8" i="7"/>
  <c r="AD8" i="7"/>
  <c r="AC8" i="7"/>
  <c r="AB8" i="7"/>
  <c r="W8" i="7"/>
  <c r="V8" i="7"/>
  <c r="U8" i="7"/>
  <c r="T8" i="7"/>
  <c r="S8" i="7"/>
  <c r="R8" i="7"/>
  <c r="M8" i="7"/>
  <c r="L8" i="7"/>
  <c r="K8" i="7"/>
  <c r="J8" i="7"/>
  <c r="I8" i="7"/>
  <c r="H8" i="7"/>
  <c r="AQ7" i="7"/>
  <c r="AP7" i="7"/>
  <c r="AO7" i="7"/>
  <c r="AN7" i="7"/>
  <c r="AM7" i="7"/>
  <c r="AL7" i="7"/>
  <c r="AG7" i="7"/>
  <c r="AF7" i="7"/>
  <c r="AE7" i="7"/>
  <c r="AD7" i="7"/>
  <c r="AC7" i="7"/>
  <c r="AB7" i="7"/>
  <c r="W7" i="7"/>
  <c r="V7" i="7"/>
  <c r="U7" i="7"/>
  <c r="T7" i="7"/>
  <c r="S7" i="7"/>
  <c r="R7" i="7"/>
  <c r="M7" i="7"/>
  <c r="L7" i="7"/>
  <c r="K7" i="7"/>
  <c r="J7" i="7"/>
  <c r="I7" i="7"/>
  <c r="H7" i="7"/>
  <c r="AQ6" i="7"/>
  <c r="AP6" i="7"/>
  <c r="AO6" i="7"/>
  <c r="AN6" i="7"/>
  <c r="AM6" i="7"/>
  <c r="AL6" i="7"/>
  <c r="AG6" i="7"/>
  <c r="AF6" i="7"/>
  <c r="AE6" i="7"/>
  <c r="AD6" i="7"/>
  <c r="AC6" i="7"/>
  <c r="AB6" i="7"/>
  <c r="W6" i="7"/>
  <c r="V6" i="7"/>
  <c r="U6" i="7"/>
  <c r="T6" i="7"/>
  <c r="S6" i="7"/>
  <c r="R6" i="7"/>
  <c r="M6" i="7"/>
  <c r="L6" i="7"/>
  <c r="K6" i="7"/>
  <c r="J6" i="7"/>
  <c r="I6" i="7"/>
  <c r="H6" i="7"/>
  <c r="AQ5" i="7"/>
  <c r="AP5" i="7"/>
  <c r="AO5" i="7"/>
  <c r="AN5" i="7"/>
  <c r="AM5" i="7"/>
  <c r="AL5" i="7"/>
  <c r="AG5" i="7"/>
  <c r="AF5" i="7"/>
  <c r="AE5" i="7"/>
  <c r="AD5" i="7"/>
  <c r="AC5" i="7"/>
  <c r="AB5" i="7"/>
  <c r="W5" i="7"/>
  <c r="V5" i="7"/>
  <c r="U5" i="7"/>
  <c r="T5" i="7"/>
  <c r="S5" i="7"/>
  <c r="R5" i="7"/>
  <c r="M5" i="7"/>
  <c r="L5" i="7"/>
  <c r="K5" i="7"/>
  <c r="J5" i="7"/>
  <c r="I5" i="7"/>
  <c r="H5" i="7"/>
  <c r="AQ4" i="7"/>
  <c r="AP4" i="7"/>
  <c r="AO4" i="7"/>
  <c r="AN4" i="7"/>
  <c r="AM4" i="7"/>
  <c r="AL4" i="7"/>
  <c r="AG4" i="7"/>
  <c r="AF4" i="7"/>
  <c r="AE4" i="7"/>
  <c r="AD4" i="7"/>
  <c r="AC4" i="7"/>
  <c r="AB4" i="7"/>
  <c r="W4" i="7"/>
  <c r="V4" i="7"/>
  <c r="U4" i="7"/>
  <c r="T4" i="7"/>
  <c r="S4" i="7"/>
  <c r="R4" i="7"/>
  <c r="M4" i="7"/>
  <c r="L4" i="7"/>
  <c r="K4" i="7"/>
  <c r="J4" i="7"/>
  <c r="I4" i="7"/>
  <c r="H4" i="7"/>
  <c r="AQ3" i="7"/>
  <c r="AP3" i="7"/>
  <c r="AO3" i="7"/>
  <c r="AN3" i="7"/>
  <c r="AM3" i="7"/>
  <c r="AL3" i="7"/>
  <c r="AG3" i="7"/>
  <c r="AF3" i="7"/>
  <c r="AE3" i="7"/>
  <c r="AD3" i="7"/>
  <c r="AC3" i="7"/>
  <c r="AB3" i="7"/>
  <c r="W3" i="7"/>
  <c r="V3" i="7"/>
  <c r="U3" i="7"/>
  <c r="T3" i="7"/>
  <c r="S3" i="7"/>
  <c r="R3" i="7"/>
  <c r="M3" i="7"/>
  <c r="L3" i="7"/>
  <c r="K3" i="7"/>
  <c r="J3" i="7"/>
  <c r="I3" i="7"/>
  <c r="H3" i="7"/>
  <c r="AQ2" i="7"/>
  <c r="AP2" i="7"/>
  <c r="AO2" i="7"/>
  <c r="AN2" i="7"/>
  <c r="AM2" i="7"/>
  <c r="AL2" i="7"/>
  <c r="AG2" i="7"/>
  <c r="AF2" i="7"/>
  <c r="AE2" i="7"/>
  <c r="AD2" i="7"/>
  <c r="AC2" i="7"/>
  <c r="AB2" i="7"/>
  <c r="W2" i="7"/>
  <c r="V2" i="7"/>
  <c r="U2" i="7"/>
  <c r="T2" i="7"/>
  <c r="S2" i="7"/>
  <c r="R2" i="7"/>
  <c r="M2" i="7"/>
  <c r="L2" i="7"/>
  <c r="K2" i="7"/>
  <c r="J2" i="7"/>
  <c r="I2" i="7"/>
  <c r="H2" i="7"/>
  <c r="B115" i="13"/>
  <c r="B109" i="13"/>
  <c r="B103" i="13"/>
  <c r="B97" i="13"/>
  <c r="B91" i="13"/>
  <c r="B85" i="13"/>
  <c r="B79" i="13"/>
  <c r="B73" i="13"/>
  <c r="B67" i="13"/>
  <c r="B61" i="13"/>
  <c r="B55" i="13"/>
  <c r="B49" i="13"/>
  <c r="B43" i="13"/>
  <c r="B37" i="13"/>
  <c r="B31" i="13"/>
  <c r="B25" i="13"/>
  <c r="B19" i="13"/>
  <c r="B13" i="13"/>
  <c r="B7" i="13"/>
  <c r="B1" i="13"/>
  <c r="A21" i="7"/>
  <c r="C21" i="7" s="1"/>
  <c r="B21" i="7" s="1"/>
  <c r="A20" i="7"/>
  <c r="C20" i="7" s="1"/>
  <c r="B20" i="7" s="1"/>
  <c r="A19" i="7"/>
  <c r="C19" i="7" s="1"/>
  <c r="B19" i="7" s="1"/>
  <c r="A18" i="7"/>
  <c r="C18" i="7" s="1"/>
  <c r="B18" i="7" s="1"/>
  <c r="A17" i="7"/>
  <c r="C17" i="7" s="1"/>
  <c r="B17" i="7" s="1"/>
  <c r="A16" i="7"/>
  <c r="C16" i="7" s="1"/>
  <c r="B16" i="7" s="1"/>
  <c r="A15" i="7"/>
  <c r="C15" i="7" s="1"/>
  <c r="B15" i="7" s="1"/>
  <c r="A14" i="7"/>
  <c r="C14" i="7" s="1"/>
  <c r="B14" i="7" s="1"/>
  <c r="A13" i="7"/>
  <c r="C13" i="7" s="1"/>
  <c r="B13" i="7" s="1"/>
  <c r="A10" i="7"/>
  <c r="A9" i="7"/>
  <c r="A8" i="7"/>
  <c r="C8" i="7" s="1"/>
  <c r="B8" i="7" s="1"/>
  <c r="A7" i="7"/>
  <c r="A6" i="7"/>
  <c r="A5" i="7"/>
  <c r="A4" i="7"/>
  <c r="A3" i="7"/>
  <c r="A2" i="7"/>
  <c r="C2" i="7" s="1"/>
  <c r="B2" i="7" s="1"/>
  <c r="AT12" i="16" l="1"/>
  <c r="AU12" i="16"/>
  <c r="AU11" i="16"/>
  <c r="AT11" i="16"/>
  <c r="AS12" i="16"/>
  <c r="AR12" i="16"/>
  <c r="AR11" i="16"/>
  <c r="AS11" i="16"/>
  <c r="AS9" i="16"/>
  <c r="AR9" i="16"/>
  <c r="AT9" i="16"/>
  <c r="AU9" i="16"/>
  <c r="AT8" i="16"/>
  <c r="AU8" i="16"/>
  <c r="AS8" i="16"/>
  <c r="AR8" i="16"/>
  <c r="AU4" i="16"/>
  <c r="AT4" i="16"/>
  <c r="AR4" i="16"/>
  <c r="AS4" i="16"/>
  <c r="AS10" i="16"/>
  <c r="AR10" i="16"/>
  <c r="AU10" i="16"/>
  <c r="AT10" i="16"/>
  <c r="AS7" i="16"/>
  <c r="AR7" i="16"/>
  <c r="AT7" i="16"/>
  <c r="AU7" i="16"/>
  <c r="AU6" i="16"/>
  <c r="AT6" i="16"/>
  <c r="AS6" i="16"/>
  <c r="AR6" i="16"/>
  <c r="AS5" i="16"/>
  <c r="AR5" i="16"/>
  <c r="AU5" i="16"/>
  <c r="AT5" i="16"/>
  <c r="AS3" i="16"/>
  <c r="AR3" i="16"/>
  <c r="AT3" i="16"/>
  <c r="AU3" i="16"/>
  <c r="AS2" i="16"/>
  <c r="AR2" i="16"/>
  <c r="AU2" i="16"/>
  <c r="AT2" i="16"/>
  <c r="AA14" i="16"/>
  <c r="Z14" i="16"/>
  <c r="AW14" i="16" s="1"/>
  <c r="AA17" i="16"/>
  <c r="Z17" i="16"/>
  <c r="AA8" i="16"/>
  <c r="Z8" i="16"/>
  <c r="AE19" i="16"/>
  <c r="AD19" i="16"/>
  <c r="BA19" i="16" s="1"/>
  <c r="AE13" i="16"/>
  <c r="AD13" i="16"/>
  <c r="BA13" i="16" s="1"/>
  <c r="AE10" i="16"/>
  <c r="AD10" i="16"/>
  <c r="AB16" i="16"/>
  <c r="AY16" i="16" s="1"/>
  <c r="AC16" i="16"/>
  <c r="AC13" i="16"/>
  <c r="AB13" i="16"/>
  <c r="AY13" i="16" s="1"/>
  <c r="AC10" i="16"/>
  <c r="AB10" i="16"/>
  <c r="AA19" i="16"/>
  <c r="Z19" i="16"/>
  <c r="AA16" i="16"/>
  <c r="Z16" i="16"/>
  <c r="AA13" i="16"/>
  <c r="Z13" i="16"/>
  <c r="Z10" i="16"/>
  <c r="AA10" i="16"/>
  <c r="Z7" i="16"/>
  <c r="AA7" i="16"/>
  <c r="AA4" i="16"/>
  <c r="Z4" i="16"/>
  <c r="AC7" i="16"/>
  <c r="AB7" i="16"/>
  <c r="AF4" i="16"/>
  <c r="AG4" i="16"/>
  <c r="AG5" i="16"/>
  <c r="AF5" i="16"/>
  <c r="AG6" i="16"/>
  <c r="AF6" i="16"/>
  <c r="AG7" i="16"/>
  <c r="AF7" i="16"/>
  <c r="AG8" i="16"/>
  <c r="AF8" i="16"/>
  <c r="AG9" i="16"/>
  <c r="AF9" i="16"/>
  <c r="AG10" i="16"/>
  <c r="AF10" i="16"/>
  <c r="AG11" i="16"/>
  <c r="AF11" i="16"/>
  <c r="AF12" i="16"/>
  <c r="AG12" i="16"/>
  <c r="AG13" i="16"/>
  <c r="AF13" i="16"/>
  <c r="BC13" i="16" s="1"/>
  <c r="AG14" i="16"/>
  <c r="AF14" i="16"/>
  <c r="BC14" i="16" s="1"/>
  <c r="AF15" i="16"/>
  <c r="BC15" i="16" s="1"/>
  <c r="AG15" i="16"/>
  <c r="AG16" i="16"/>
  <c r="AF16" i="16"/>
  <c r="BC16" i="16" s="1"/>
  <c r="AF17" i="16"/>
  <c r="BC17" i="16" s="1"/>
  <c r="AG17" i="16"/>
  <c r="AF18" i="16"/>
  <c r="BC18" i="16" s="1"/>
  <c r="AG18" i="16"/>
  <c r="AF19" i="16"/>
  <c r="BC19" i="16" s="1"/>
  <c r="AG19" i="16"/>
  <c r="AG20" i="16"/>
  <c r="AF20" i="16"/>
  <c r="BC20" i="16" s="1"/>
  <c r="AG21" i="16"/>
  <c r="AF21" i="16"/>
  <c r="BC21" i="16" s="1"/>
  <c r="AE21" i="16"/>
  <c r="AD21" i="16"/>
  <c r="BA21" i="16" s="1"/>
  <c r="AE18" i="16"/>
  <c r="AD18" i="16"/>
  <c r="BA18" i="16" s="1"/>
  <c r="AE15" i="16"/>
  <c r="AD15" i="16"/>
  <c r="BA15" i="16" s="1"/>
  <c r="AE12" i="16"/>
  <c r="AD12" i="16"/>
  <c r="AE9" i="16"/>
  <c r="AD9" i="16"/>
  <c r="AE6" i="16"/>
  <c r="AD6" i="16"/>
  <c r="AA20" i="16"/>
  <c r="Z20" i="16"/>
  <c r="AC4" i="16"/>
  <c r="AB4" i="16"/>
  <c r="AH4" i="16"/>
  <c r="AI4" i="16"/>
  <c r="AI5" i="16"/>
  <c r="AH5" i="16"/>
  <c r="AH6" i="16"/>
  <c r="AI6" i="16"/>
  <c r="AI7" i="16"/>
  <c r="AH7" i="16"/>
  <c r="AI8" i="16"/>
  <c r="AH8" i="16"/>
  <c r="AI9" i="16"/>
  <c r="AH9" i="16"/>
  <c r="AI10" i="16"/>
  <c r="AH10" i="16"/>
  <c r="AI11" i="16"/>
  <c r="AH11" i="16"/>
  <c r="AI12" i="16"/>
  <c r="AH12" i="16"/>
  <c r="AH13" i="16"/>
  <c r="BE13" i="16" s="1"/>
  <c r="AI13" i="16"/>
  <c r="AI14" i="16"/>
  <c r="AH14" i="16"/>
  <c r="AH15" i="16"/>
  <c r="AI15" i="16"/>
  <c r="AH16" i="16"/>
  <c r="BE16" i="16" s="1"/>
  <c r="AI16" i="16"/>
  <c r="AH17" i="16"/>
  <c r="BE17" i="16" s="1"/>
  <c r="AI17" i="16"/>
  <c r="AI18" i="16"/>
  <c r="AH18" i="16"/>
  <c r="BE18" i="16" s="1"/>
  <c r="AI19" i="16"/>
  <c r="AH19" i="16"/>
  <c r="BE19" i="16" s="1"/>
  <c r="AI20" i="16"/>
  <c r="AH20" i="16"/>
  <c r="BE20" i="16" s="1"/>
  <c r="AI21" i="16"/>
  <c r="AH21" i="16"/>
  <c r="BE21" i="16" s="1"/>
  <c r="AC21" i="16"/>
  <c r="AB21" i="16"/>
  <c r="AY21" i="16" s="1"/>
  <c r="AC18" i="16"/>
  <c r="AB18" i="16"/>
  <c r="AY18" i="16" s="1"/>
  <c r="AC15" i="16"/>
  <c r="AB15" i="16"/>
  <c r="AY15" i="16" s="1"/>
  <c r="AB12" i="16"/>
  <c r="AC12" i="16"/>
  <c r="AB9" i="16"/>
  <c r="AC9" i="16"/>
  <c r="AC6" i="16"/>
  <c r="AB6" i="16"/>
  <c r="AE16" i="16"/>
  <c r="AD16" i="16"/>
  <c r="BA16" i="16" s="1"/>
  <c r="AJ4" i="16"/>
  <c r="AK4" i="16"/>
  <c r="AJ5" i="16"/>
  <c r="AK5" i="16"/>
  <c r="AK6" i="16"/>
  <c r="AJ6" i="16"/>
  <c r="AK7" i="16"/>
  <c r="AJ7" i="16"/>
  <c r="AJ8" i="16"/>
  <c r="AK8" i="16"/>
  <c r="AK9" i="16"/>
  <c r="AJ9" i="16"/>
  <c r="AK10" i="16"/>
  <c r="AJ10" i="16"/>
  <c r="AJ11" i="16"/>
  <c r="AK11" i="16"/>
  <c r="AK12" i="16"/>
  <c r="AJ12" i="16"/>
  <c r="AK13" i="16"/>
  <c r="AJ13" i="16"/>
  <c r="BG13" i="16" s="1"/>
  <c r="AJ14" i="16"/>
  <c r="BG14" i="16" s="1"/>
  <c r="AK14" i="16"/>
  <c r="AJ15" i="16"/>
  <c r="BG15" i="16" s="1"/>
  <c r="AK15" i="16"/>
  <c r="AK16" i="16"/>
  <c r="AJ16" i="16"/>
  <c r="BG16" i="16" s="1"/>
  <c r="AK17" i="16"/>
  <c r="AJ17" i="16"/>
  <c r="BG17" i="16" s="1"/>
  <c r="AK18" i="16"/>
  <c r="AJ18" i="16"/>
  <c r="BG18" i="16" s="1"/>
  <c r="AK19" i="16"/>
  <c r="AJ19" i="16"/>
  <c r="BG19" i="16" s="1"/>
  <c r="AK20" i="16"/>
  <c r="AJ20" i="16"/>
  <c r="BG20" i="16" s="1"/>
  <c r="AK21" i="16"/>
  <c r="AJ21" i="16"/>
  <c r="BG21" i="16" s="1"/>
  <c r="AA11" i="16"/>
  <c r="Z11" i="16"/>
  <c r="AB19" i="16"/>
  <c r="AY19" i="16" s="1"/>
  <c r="AC19" i="16"/>
  <c r="AM4" i="16"/>
  <c r="AL4" i="16"/>
  <c r="AM5" i="16"/>
  <c r="AL5" i="16"/>
  <c r="AL6" i="16"/>
  <c r="AM6" i="16"/>
  <c r="AL7" i="16"/>
  <c r="AM7" i="16"/>
  <c r="AL8" i="16"/>
  <c r="AM8" i="16"/>
  <c r="AM9" i="16"/>
  <c r="AL9" i="16"/>
  <c r="AL10" i="16"/>
  <c r="AM10" i="16"/>
  <c r="AM11" i="16"/>
  <c r="AL11" i="16"/>
  <c r="AM12" i="16"/>
  <c r="AL12" i="16"/>
  <c r="AL13" i="16"/>
  <c r="BI13" i="16" s="1"/>
  <c r="AM13" i="16"/>
  <c r="AM14" i="16"/>
  <c r="AL14" i="16"/>
  <c r="BI14" i="16" s="1"/>
  <c r="AM15" i="16"/>
  <c r="AL15" i="16"/>
  <c r="BI15" i="16" s="1"/>
  <c r="AM16" i="16"/>
  <c r="AL16" i="16"/>
  <c r="BI16" i="16" s="1"/>
  <c r="AM17" i="16"/>
  <c r="AL17" i="16"/>
  <c r="BI17" i="16" s="1"/>
  <c r="AL18" i="16"/>
  <c r="BI18" i="16" s="1"/>
  <c r="AM18" i="16"/>
  <c r="AM19" i="16"/>
  <c r="AL19" i="16"/>
  <c r="BI19" i="16" s="1"/>
  <c r="AM20" i="16"/>
  <c r="AL20" i="16"/>
  <c r="BI20" i="16" s="1"/>
  <c r="AL21" i="16"/>
  <c r="BI21" i="16" s="1"/>
  <c r="AM21" i="16"/>
  <c r="Z21" i="16"/>
  <c r="AA21" i="16"/>
  <c r="Z18" i="16"/>
  <c r="AA18" i="16"/>
  <c r="AA15" i="16"/>
  <c r="Z15" i="16"/>
  <c r="AW15" i="16" s="1"/>
  <c r="AA12" i="16"/>
  <c r="Z12" i="16"/>
  <c r="AA9" i="16"/>
  <c r="Z9" i="16"/>
  <c r="Z6" i="16"/>
  <c r="AA6" i="16"/>
  <c r="AA5" i="16"/>
  <c r="Z5" i="16"/>
  <c r="AE4" i="16"/>
  <c r="AD4" i="16"/>
  <c r="AN19" i="16"/>
  <c r="BK19" i="16" s="1"/>
  <c r="AO19" i="16"/>
  <c r="AO20" i="16"/>
  <c r="AN20" i="16"/>
  <c r="BK20" i="16" s="1"/>
  <c r="AO21" i="16"/>
  <c r="AN21" i="16"/>
  <c r="BK21" i="16" s="1"/>
  <c r="AD20" i="16"/>
  <c r="BA20" i="16" s="1"/>
  <c r="AE20" i="16"/>
  <c r="AD17" i="16"/>
  <c r="BA17" i="16" s="1"/>
  <c r="AE17" i="16"/>
  <c r="AD14" i="16"/>
  <c r="BA14" i="16" s="1"/>
  <c r="AE14" i="16"/>
  <c r="AD11" i="16"/>
  <c r="AE11" i="16"/>
  <c r="AE8" i="16"/>
  <c r="AD8" i="16"/>
  <c r="AE5" i="16"/>
  <c r="AD5" i="16"/>
  <c r="AE7" i="16"/>
  <c r="AD7" i="16"/>
  <c r="AO4" i="16"/>
  <c r="AN4" i="16"/>
  <c r="AO5" i="16"/>
  <c r="AN5" i="16"/>
  <c r="AO6" i="16"/>
  <c r="AN6" i="16"/>
  <c r="AO7" i="16"/>
  <c r="AN7" i="16"/>
  <c r="AN8" i="16"/>
  <c r="AO8" i="16"/>
  <c r="AN9" i="16"/>
  <c r="AO9" i="16"/>
  <c r="AN10" i="16"/>
  <c r="AO10" i="16"/>
  <c r="AO11" i="16"/>
  <c r="AN11" i="16"/>
  <c r="AN12" i="16"/>
  <c r="AO12" i="16"/>
  <c r="AO13" i="16"/>
  <c r="AN13" i="16"/>
  <c r="BK13" i="16" s="1"/>
  <c r="AO14" i="16"/>
  <c r="AN14" i="16"/>
  <c r="BK14" i="16" s="1"/>
  <c r="AO15" i="16"/>
  <c r="AN15" i="16"/>
  <c r="BK15" i="16" s="1"/>
  <c r="AN16" i="16"/>
  <c r="BK16" i="16" s="1"/>
  <c r="AO16" i="16"/>
  <c r="AO17" i="16"/>
  <c r="AN17" i="16"/>
  <c r="BK17" i="16" s="1"/>
  <c r="AO18" i="16"/>
  <c r="AN18" i="16"/>
  <c r="BK18" i="16" s="1"/>
  <c r="AQ4" i="16"/>
  <c r="AP4" i="16"/>
  <c r="AP5" i="16"/>
  <c r="AQ5" i="16"/>
  <c r="AQ6" i="16"/>
  <c r="AP6" i="16"/>
  <c r="AQ7" i="16"/>
  <c r="AP7" i="16"/>
  <c r="AQ8" i="16"/>
  <c r="AP8" i="16"/>
  <c r="AQ9" i="16"/>
  <c r="AP9" i="16"/>
  <c r="AP10" i="16"/>
  <c r="AQ10" i="16"/>
  <c r="AP11" i="16"/>
  <c r="AQ11" i="16"/>
  <c r="AQ12" i="16"/>
  <c r="AP12" i="16"/>
  <c r="AQ13" i="16"/>
  <c r="AP13" i="16"/>
  <c r="BM13" i="16" s="1"/>
  <c r="AQ14" i="16"/>
  <c r="AP14" i="16"/>
  <c r="BM14" i="16" s="1"/>
  <c r="AQ15" i="16"/>
  <c r="AP15" i="16"/>
  <c r="BM15" i="16" s="1"/>
  <c r="AQ16" i="16"/>
  <c r="AP16" i="16"/>
  <c r="BM16" i="16" s="1"/>
  <c r="AP17" i="16"/>
  <c r="BM17" i="16" s="1"/>
  <c r="AQ17" i="16"/>
  <c r="AQ18" i="16"/>
  <c r="AP18" i="16"/>
  <c r="BM18" i="16" s="1"/>
  <c r="AQ19" i="16"/>
  <c r="AP19" i="16"/>
  <c r="BM19" i="16" s="1"/>
  <c r="AP20" i="16"/>
  <c r="BM20" i="16" s="1"/>
  <c r="AQ20" i="16"/>
  <c r="AP21" i="16"/>
  <c r="BM21" i="16" s="1"/>
  <c r="AQ21" i="16"/>
  <c r="AC20" i="16"/>
  <c r="AB20" i="16"/>
  <c r="AY20" i="16" s="1"/>
  <c r="AC17" i="16"/>
  <c r="AB17" i="16"/>
  <c r="AY17" i="16" s="1"/>
  <c r="AC14" i="16"/>
  <c r="AB14" i="16"/>
  <c r="AY14" i="16" s="1"/>
  <c r="AC11" i="16"/>
  <c r="AB11" i="16"/>
  <c r="AB8" i="16"/>
  <c r="AC8" i="16"/>
  <c r="AC5" i="16"/>
  <c r="AB5" i="16"/>
  <c r="AG3" i="16"/>
  <c r="AF3" i="16"/>
  <c r="AK3" i="16"/>
  <c r="AJ3" i="16"/>
  <c r="AM3" i="16"/>
  <c r="AL3" i="16"/>
  <c r="BI3" i="16" s="1"/>
  <c r="AA3" i="16"/>
  <c r="Z3" i="16"/>
  <c r="AE3" i="16"/>
  <c r="AD3" i="16"/>
  <c r="AH3" i="16"/>
  <c r="AI3" i="16"/>
  <c r="AC3" i="16"/>
  <c r="AB3" i="16"/>
  <c r="AY3" i="16" s="1"/>
  <c r="AO3" i="16"/>
  <c r="AN3" i="16"/>
  <c r="BK3" i="16" s="1"/>
  <c r="AQ3" i="16"/>
  <c r="AP3" i="16"/>
  <c r="BM3" i="16" s="1"/>
  <c r="AG2" i="16"/>
  <c r="AF2" i="16"/>
  <c r="AJ2" i="16"/>
  <c r="AK2" i="16"/>
  <c r="AM2" i="16"/>
  <c r="AL2" i="16"/>
  <c r="BI2" i="16" s="1"/>
  <c r="AI2" i="16"/>
  <c r="AH2" i="16"/>
  <c r="BE2" i="16" s="1"/>
  <c r="AQ2" i="16"/>
  <c r="AP2" i="16"/>
  <c r="BM2" i="16" s="1"/>
  <c r="AC2" i="16"/>
  <c r="AB2" i="16"/>
  <c r="AY2" i="16" s="1"/>
  <c r="AO2" i="16"/>
  <c r="AN2" i="16"/>
  <c r="BK2" i="16" s="1"/>
  <c r="AE2" i="16"/>
  <c r="AD2" i="16"/>
  <c r="BA2" i="16" s="1"/>
  <c r="AA2" i="16"/>
  <c r="Z2" i="16"/>
  <c r="C9" i="7"/>
  <c r="B9" i="7" s="1"/>
  <c r="C10" i="14"/>
  <c r="B10" i="14" s="1"/>
  <c r="C6" i="7"/>
  <c r="B6" i="7" s="1"/>
  <c r="C11" i="14"/>
  <c r="B11" i="14" s="1"/>
  <c r="C12" i="7"/>
  <c r="B12" i="7" s="1"/>
  <c r="C10" i="7"/>
  <c r="B10" i="7" s="1"/>
  <c r="C12" i="14"/>
  <c r="B12" i="14" s="1"/>
  <c r="C6" i="14"/>
  <c r="B6" i="14" s="1"/>
  <c r="C3" i="14"/>
  <c r="B3" i="14" s="1"/>
  <c r="C4" i="14"/>
  <c r="B4" i="14" s="1"/>
  <c r="C7" i="14"/>
  <c r="B7" i="14" s="1"/>
  <c r="C5" i="14"/>
  <c r="B5" i="14" s="1"/>
  <c r="C4" i="7"/>
  <c r="B4" i="7" s="1"/>
  <c r="C5" i="7"/>
  <c r="B5" i="7" s="1"/>
  <c r="C7" i="7"/>
  <c r="B7" i="7" s="1"/>
  <c r="C3" i="7"/>
  <c r="B3" i="7" s="1"/>
  <c r="BR14" i="16" l="1"/>
  <c r="BE14" i="16"/>
  <c r="BR8" i="16"/>
  <c r="AW20" i="16"/>
  <c r="BR20" i="16"/>
  <c r="AW16" i="16"/>
  <c r="BR16" i="16"/>
  <c r="BR18" i="16"/>
  <c r="AW18" i="16"/>
  <c r="BR15" i="16"/>
  <c r="BE15" i="16"/>
  <c r="AW21" i="16"/>
  <c r="BR21" i="16"/>
  <c r="BR4" i="16"/>
  <c r="BR6" i="16"/>
  <c r="AW13" i="16"/>
  <c r="BR13" i="16"/>
  <c r="BR5" i="16"/>
  <c r="BR9" i="16"/>
  <c r="BR11" i="16"/>
  <c r="AW17" i="16"/>
  <c r="BR17" i="16"/>
  <c r="BR7" i="16"/>
  <c r="BR12" i="16"/>
  <c r="AW19" i="16"/>
  <c r="BR19" i="16"/>
  <c r="BR10" i="16"/>
  <c r="BR3" i="16"/>
  <c r="BR2" i="16"/>
  <c r="U18" i="16"/>
  <c r="T18" i="16"/>
  <c r="B115" i="11"/>
  <c r="B109" i="11"/>
  <c r="B103" i="11"/>
  <c r="B97" i="11"/>
  <c r="B91" i="11"/>
  <c r="B85" i="11"/>
  <c r="B79" i="11"/>
  <c r="B73" i="11"/>
  <c r="B67" i="11"/>
  <c r="B61" i="11"/>
  <c r="B55" i="11"/>
  <c r="U21" i="16"/>
  <c r="T21" i="16"/>
  <c r="U20" i="16"/>
  <c r="T20" i="16"/>
  <c r="U19" i="16"/>
  <c r="T19" i="16"/>
  <c r="U17" i="16"/>
  <c r="T17" i="16"/>
  <c r="U16" i="16"/>
  <c r="T16" i="16"/>
  <c r="U15" i="16"/>
  <c r="T15" i="16"/>
  <c r="U14" i="16"/>
  <c r="T14" i="16"/>
  <c r="U13" i="16"/>
  <c r="T13" i="16"/>
  <c r="T12" i="16"/>
  <c r="T11" i="16"/>
  <c r="U10" i="16"/>
  <c r="T10" i="16"/>
  <c r="T9" i="16"/>
  <c r="U8" i="16"/>
  <c r="T8" i="16"/>
  <c r="T7" i="16"/>
  <c r="U6" i="16"/>
  <c r="T6" i="16"/>
  <c r="T5" i="16"/>
  <c r="U4" i="16"/>
  <c r="T4" i="16"/>
  <c r="B49" i="11"/>
  <c r="B43" i="11"/>
  <c r="B37" i="11"/>
  <c r="B31" i="11"/>
  <c r="B25" i="11"/>
  <c r="B19" i="11"/>
  <c r="B13" i="11"/>
  <c r="B7" i="11"/>
  <c r="B1" i="11"/>
  <c r="A21" i="6"/>
  <c r="C21" i="6" s="1"/>
  <c r="B21" i="6" s="1"/>
  <c r="A20" i="6"/>
  <c r="C20" i="6" s="1"/>
  <c r="B20" i="6" s="1"/>
  <c r="A19" i="6"/>
  <c r="C19" i="6" s="1"/>
  <c r="B19" i="6" s="1"/>
  <c r="A18" i="6"/>
  <c r="C18" i="6" s="1"/>
  <c r="B18" i="6" s="1"/>
  <c r="A17" i="6"/>
  <c r="C17" i="6" s="1"/>
  <c r="B17" i="6" s="1"/>
  <c r="A16" i="6"/>
  <c r="C16" i="6" s="1"/>
  <c r="B16" i="6" s="1"/>
  <c r="A15" i="6"/>
  <c r="C15" i="6" s="1"/>
  <c r="B15" i="6" s="1"/>
  <c r="A14" i="6"/>
  <c r="C14" i="6" s="1"/>
  <c r="B14" i="6" s="1"/>
  <c r="A13" i="6"/>
  <c r="C13" i="6" s="1"/>
  <c r="B13" i="6" s="1"/>
  <c r="A12" i="6"/>
  <c r="A11" i="6"/>
  <c r="A10" i="6"/>
  <c r="A9" i="6"/>
  <c r="C9" i="6" s="1"/>
  <c r="A8" i="6"/>
  <c r="C8" i="6" s="1"/>
  <c r="A7" i="6"/>
  <c r="A6" i="6"/>
  <c r="A5" i="6"/>
  <c r="A4" i="6"/>
  <c r="A3" i="6"/>
  <c r="A2" i="6"/>
  <c r="C2" i="6" s="1"/>
  <c r="B2" i="6" s="1"/>
  <c r="A22" i="5"/>
  <c r="C22" i="5" s="1"/>
  <c r="B22" i="5" s="1"/>
  <c r="A21" i="5"/>
  <c r="C21" i="5" s="1"/>
  <c r="B21" i="5" s="1"/>
  <c r="A20" i="5"/>
  <c r="C20" i="5" s="1"/>
  <c r="B20" i="5" s="1"/>
  <c r="A19" i="5"/>
  <c r="C19" i="5" s="1"/>
  <c r="B19" i="5" s="1"/>
  <c r="A18" i="5"/>
  <c r="C18" i="5" s="1"/>
  <c r="B18" i="5" s="1"/>
  <c r="A17" i="5"/>
  <c r="C17" i="5" s="1"/>
  <c r="B17" i="5" s="1"/>
  <c r="A16" i="5"/>
  <c r="C16" i="5" s="1"/>
  <c r="B16" i="5" s="1"/>
  <c r="A15" i="5"/>
  <c r="C15" i="5" s="1"/>
  <c r="B15" i="5" s="1"/>
  <c r="A14" i="5"/>
  <c r="C14" i="5" s="1"/>
  <c r="B14" i="5" s="1"/>
  <c r="A13" i="5"/>
  <c r="A12" i="5"/>
  <c r="A11" i="5"/>
  <c r="A10" i="5"/>
  <c r="A9" i="5"/>
  <c r="D3" i="10"/>
  <c r="D4" i="10"/>
  <c r="I4" i="10"/>
  <c r="D2" i="10"/>
  <c r="A4" i="5"/>
  <c r="A5" i="5"/>
  <c r="A6" i="5"/>
  <c r="A7" i="5"/>
  <c r="A8" i="5"/>
  <c r="A3" i="5"/>
  <c r="C3" i="5" s="1"/>
  <c r="B3" i="5" s="1"/>
  <c r="A4" i="4"/>
  <c r="A5" i="4"/>
  <c r="A6" i="4"/>
  <c r="A7" i="4"/>
  <c r="A8" i="4"/>
  <c r="A9" i="4"/>
  <c r="A10" i="4"/>
  <c r="A11" i="4"/>
  <c r="A12" i="4"/>
  <c r="A13" i="4"/>
  <c r="A14" i="4"/>
  <c r="C14" i="4" s="1"/>
  <c r="B14" i="4" s="1"/>
  <c r="A15" i="4"/>
  <c r="C15" i="4" s="1"/>
  <c r="B15" i="4" s="1"/>
  <c r="A16" i="4"/>
  <c r="C16" i="4" s="1"/>
  <c r="B16" i="4" s="1"/>
  <c r="A17" i="4"/>
  <c r="C17" i="4" s="1"/>
  <c r="B17" i="4" s="1"/>
  <c r="A18" i="4"/>
  <c r="C18" i="4" s="1"/>
  <c r="B18" i="4" s="1"/>
  <c r="A19" i="4"/>
  <c r="C19" i="4" s="1"/>
  <c r="B19" i="4" s="1"/>
  <c r="A20" i="4"/>
  <c r="C20" i="4" s="1"/>
  <c r="B20" i="4" s="1"/>
  <c r="A21" i="4"/>
  <c r="C21" i="4" s="1"/>
  <c r="B21" i="4" s="1"/>
  <c r="A22" i="4"/>
  <c r="C22" i="4" s="1"/>
  <c r="B22" i="4" s="1"/>
  <c r="A3" i="4"/>
  <c r="C13" i="8"/>
  <c r="C13" i="16" s="1"/>
  <c r="C14" i="8"/>
  <c r="C14" i="16" s="1"/>
  <c r="C15" i="8"/>
  <c r="C15" i="16" s="1"/>
  <c r="C16" i="8"/>
  <c r="C16" i="16" s="1"/>
  <c r="C17" i="8"/>
  <c r="C17" i="16" s="1"/>
  <c r="C18" i="8"/>
  <c r="C18" i="16" s="1"/>
  <c r="C19" i="8"/>
  <c r="C19" i="16" s="1"/>
  <c r="C20" i="8"/>
  <c r="C20" i="16" s="1"/>
  <c r="C21" i="8"/>
  <c r="C21" i="16" s="1"/>
  <c r="U11" i="16" l="1"/>
  <c r="U12" i="16"/>
  <c r="U9" i="16"/>
  <c r="U7" i="16"/>
  <c r="U5" i="16"/>
  <c r="T3" i="16"/>
  <c r="T2" i="16"/>
  <c r="O8" i="16"/>
  <c r="N8" i="16"/>
  <c r="O18" i="16"/>
  <c r="N18" i="16"/>
  <c r="O4" i="16"/>
  <c r="N4" i="16"/>
  <c r="N6" i="16"/>
  <c r="O6" i="16"/>
  <c r="N11" i="16"/>
  <c r="O11" i="16"/>
  <c r="O13" i="16"/>
  <c r="N13" i="16"/>
  <c r="O15" i="16"/>
  <c r="N15" i="16"/>
  <c r="O17" i="16"/>
  <c r="N17" i="16"/>
  <c r="O19" i="16"/>
  <c r="N19" i="16"/>
  <c r="O21" i="16"/>
  <c r="N21" i="16"/>
  <c r="Y18" i="16"/>
  <c r="X18" i="16"/>
  <c r="Y9" i="16"/>
  <c r="X9" i="16"/>
  <c r="N5" i="16"/>
  <c r="O5" i="16"/>
  <c r="O7" i="16"/>
  <c r="N7" i="16"/>
  <c r="Y8" i="16"/>
  <c r="X8" i="16"/>
  <c r="V9" i="16"/>
  <c r="W9" i="16"/>
  <c r="N10" i="16"/>
  <c r="O10" i="16"/>
  <c r="N12" i="16"/>
  <c r="O12" i="16"/>
  <c r="N14" i="16"/>
  <c r="O14" i="16"/>
  <c r="O16" i="16"/>
  <c r="N16" i="16"/>
  <c r="N20" i="16"/>
  <c r="O20" i="16"/>
  <c r="W4" i="16"/>
  <c r="V4" i="16"/>
  <c r="Y5" i="16"/>
  <c r="X5" i="16"/>
  <c r="Y6" i="16"/>
  <c r="X6" i="16"/>
  <c r="X7" i="16"/>
  <c r="Y7" i="16"/>
  <c r="W8" i="16"/>
  <c r="V8" i="16"/>
  <c r="Q10" i="16"/>
  <c r="P10" i="16"/>
  <c r="Q11" i="16"/>
  <c r="P11" i="16"/>
  <c r="Q12" i="16"/>
  <c r="P12" i="16"/>
  <c r="P13" i="16"/>
  <c r="Q13" i="16"/>
  <c r="Q14" i="16"/>
  <c r="P14" i="16"/>
  <c r="Q15" i="16"/>
  <c r="P15" i="16"/>
  <c r="P16" i="16"/>
  <c r="Q16" i="16"/>
  <c r="Q17" i="16"/>
  <c r="P17" i="16"/>
  <c r="Q19" i="16"/>
  <c r="P19" i="16"/>
  <c r="Q20" i="16"/>
  <c r="P20" i="16"/>
  <c r="Q21" i="16"/>
  <c r="P21" i="16"/>
  <c r="W18" i="16"/>
  <c r="V18" i="16"/>
  <c r="S16" i="16"/>
  <c r="R16" i="16"/>
  <c r="S6" i="16"/>
  <c r="R6" i="16"/>
  <c r="W12" i="16"/>
  <c r="V12" i="16"/>
  <c r="W19" i="16"/>
  <c r="V19" i="16"/>
  <c r="Y4" i="16"/>
  <c r="X4" i="16"/>
  <c r="Y17" i="16"/>
  <c r="X17" i="16"/>
  <c r="S12" i="16"/>
  <c r="R12" i="16"/>
  <c r="S17" i="16"/>
  <c r="R17" i="16"/>
  <c r="Q4" i="16"/>
  <c r="P4" i="16"/>
  <c r="Q8" i="16"/>
  <c r="P8" i="16"/>
  <c r="W10" i="16"/>
  <c r="V10" i="16"/>
  <c r="V14" i="16"/>
  <c r="W14" i="16"/>
  <c r="W21" i="16"/>
  <c r="V21" i="16"/>
  <c r="Q6" i="16"/>
  <c r="P6" i="16"/>
  <c r="Y10" i="16"/>
  <c r="X10" i="16"/>
  <c r="Y12" i="16"/>
  <c r="X12" i="16"/>
  <c r="Y14" i="16"/>
  <c r="X14" i="16"/>
  <c r="X16" i="16"/>
  <c r="Y16" i="16"/>
  <c r="Y20" i="16"/>
  <c r="X20" i="16"/>
  <c r="V6" i="16"/>
  <c r="W6" i="16"/>
  <c r="S10" i="16"/>
  <c r="R10" i="16"/>
  <c r="S14" i="16"/>
  <c r="R14" i="16"/>
  <c r="S21" i="16"/>
  <c r="R21" i="16"/>
  <c r="S8" i="16"/>
  <c r="R8" i="16"/>
  <c r="S18" i="16"/>
  <c r="R18" i="16"/>
  <c r="W15" i="16"/>
  <c r="V15" i="16"/>
  <c r="Q5" i="16"/>
  <c r="P5" i="16"/>
  <c r="Q7" i="16"/>
  <c r="P7" i="16"/>
  <c r="Y11" i="16"/>
  <c r="X11" i="16"/>
  <c r="Y13" i="16"/>
  <c r="X13" i="16"/>
  <c r="Y15" i="16"/>
  <c r="X15" i="16"/>
  <c r="Y19" i="16"/>
  <c r="X19" i="16"/>
  <c r="X21" i="16"/>
  <c r="Y21" i="16"/>
  <c r="V5" i="16"/>
  <c r="W5" i="16"/>
  <c r="S4" i="16"/>
  <c r="R4" i="16"/>
  <c r="S13" i="16"/>
  <c r="R13" i="16"/>
  <c r="S19" i="16"/>
  <c r="R19" i="16"/>
  <c r="P9" i="16"/>
  <c r="Q9" i="16"/>
  <c r="W16" i="16"/>
  <c r="V16" i="16"/>
  <c r="Q18" i="16"/>
  <c r="P18" i="16"/>
  <c r="V7" i="16"/>
  <c r="W7" i="16"/>
  <c r="S9" i="16"/>
  <c r="R9" i="16"/>
  <c r="S11" i="16"/>
  <c r="R11" i="16"/>
  <c r="S15" i="16"/>
  <c r="R15" i="16"/>
  <c r="S20" i="16"/>
  <c r="R20" i="16"/>
  <c r="S5" i="16"/>
  <c r="R5" i="16"/>
  <c r="S7" i="16"/>
  <c r="R7" i="16"/>
  <c r="V11" i="16"/>
  <c r="W11" i="16"/>
  <c r="W13" i="16"/>
  <c r="V13" i="16"/>
  <c r="V17" i="16"/>
  <c r="W17" i="16"/>
  <c r="V20" i="16"/>
  <c r="W20" i="16"/>
  <c r="U2" i="16"/>
  <c r="N9" i="16"/>
  <c r="O9" i="16"/>
  <c r="U3" i="16"/>
  <c r="Y3" i="16"/>
  <c r="X3" i="16"/>
  <c r="V3" i="16"/>
  <c r="W3" i="16"/>
  <c r="S3" i="16"/>
  <c r="R3" i="16"/>
  <c r="O3" i="16"/>
  <c r="N3" i="16"/>
  <c r="Q3" i="16"/>
  <c r="P3" i="16"/>
  <c r="W2" i="16"/>
  <c r="V2" i="16"/>
  <c r="Y2" i="16"/>
  <c r="X2" i="16"/>
  <c r="S2" i="16"/>
  <c r="R2" i="16"/>
  <c r="Q2" i="16"/>
  <c r="P2" i="16"/>
  <c r="N2" i="16"/>
  <c r="O2" i="16"/>
  <c r="K2" i="10"/>
  <c r="J2" i="10"/>
  <c r="E2" i="10"/>
  <c r="F2" i="10"/>
  <c r="C9" i="5"/>
  <c r="B9" i="5" s="1"/>
  <c r="C10" i="5"/>
  <c r="B10" i="5" s="1"/>
  <c r="C11" i="6"/>
  <c r="B11" i="6" s="1"/>
  <c r="C8" i="5"/>
  <c r="B8" i="5" s="1"/>
  <c r="C12" i="5"/>
  <c r="B12" i="5" s="1"/>
  <c r="C7" i="5"/>
  <c r="B7" i="5" s="1"/>
  <c r="C13" i="5"/>
  <c r="B13" i="5" s="1"/>
  <c r="C5" i="5"/>
  <c r="B5" i="5" s="1"/>
  <c r="C13" i="4"/>
  <c r="B13" i="4" s="1"/>
  <c r="C5" i="6"/>
  <c r="B5" i="6" s="1"/>
  <c r="C7" i="6"/>
  <c r="B7" i="6" s="1"/>
  <c r="C9" i="4"/>
  <c r="B9" i="4" s="1"/>
  <c r="C6" i="6"/>
  <c r="B6" i="6" s="1"/>
  <c r="C7" i="4"/>
  <c r="B7" i="4" s="1"/>
  <c r="C6" i="4"/>
  <c r="B6" i="4" s="1"/>
  <c r="C5" i="4"/>
  <c r="B5" i="4" s="1"/>
  <c r="C10" i="6"/>
  <c r="B10" i="6" s="1"/>
  <c r="C11" i="5"/>
  <c r="B11" i="5" s="1"/>
  <c r="C12" i="6"/>
  <c r="B12" i="6" s="1"/>
  <c r="C11" i="4"/>
  <c r="B11" i="4" s="1"/>
  <c r="C10" i="4"/>
  <c r="B10" i="4" s="1"/>
  <c r="C12" i="4"/>
  <c r="B12" i="4" s="1"/>
  <c r="C3" i="4"/>
  <c r="B3" i="4" s="1"/>
  <c r="B18" i="8"/>
  <c r="B18" i="16" s="1"/>
  <c r="B19" i="8"/>
  <c r="B19" i="16" s="1"/>
  <c r="C4" i="4"/>
  <c r="B4" i="4" s="1"/>
  <c r="B8" i="6"/>
  <c r="B20" i="8"/>
  <c r="B20" i="16" s="1"/>
  <c r="B15" i="8"/>
  <c r="B15" i="16" s="1"/>
  <c r="C6" i="5"/>
  <c r="B6" i="5" s="1"/>
  <c r="C4" i="5"/>
  <c r="B4" i="5" s="1"/>
  <c r="C3" i="6"/>
  <c r="B3" i="6" s="1"/>
  <c r="C4" i="6"/>
  <c r="B4" i="6" s="1"/>
  <c r="B21" i="8"/>
  <c r="B21" i="16" s="1"/>
  <c r="B17" i="8"/>
  <c r="B17" i="16" s="1"/>
  <c r="B9" i="6"/>
  <c r="B16" i="8"/>
  <c r="B16" i="16" s="1"/>
  <c r="B14" i="8"/>
  <c r="B14" i="16" s="1"/>
  <c r="B13" i="8"/>
  <c r="B13" i="16" s="1"/>
  <c r="C8" i="4"/>
  <c r="B8" i="4" s="1"/>
  <c r="BQ2" i="16" l="1"/>
  <c r="BC2" i="16"/>
  <c r="BO2" i="16"/>
  <c r="AW2" i="16"/>
  <c r="BG2" i="16"/>
  <c r="BM7" i="16"/>
  <c r="BQ7" i="16"/>
  <c r="BG7" i="16"/>
  <c r="BA7" i="16"/>
  <c r="BE7" i="16"/>
  <c r="BO7" i="16"/>
  <c r="BC7" i="16"/>
  <c r="BK7" i="16"/>
  <c r="AY7" i="16"/>
  <c r="BI7" i="16"/>
  <c r="AW7" i="16"/>
  <c r="BQ3" i="16"/>
  <c r="BO3" i="16"/>
  <c r="BG3" i="16"/>
  <c r="AW3" i="16"/>
  <c r="BC3" i="16"/>
  <c r="BE3" i="16"/>
  <c r="BA3" i="16"/>
  <c r="BK11" i="16"/>
  <c r="AY11" i="16"/>
  <c r="AW11" i="16"/>
  <c r="BE11" i="16"/>
  <c r="BI11" i="16"/>
  <c r="BA11" i="16"/>
  <c r="BG11" i="16"/>
  <c r="BQ11" i="16"/>
  <c r="BO11" i="16"/>
  <c r="BM11" i="16"/>
  <c r="BC11" i="16"/>
  <c r="BG12" i="16"/>
  <c r="BM12" i="16"/>
  <c r="BI12" i="16"/>
  <c r="BE12" i="16"/>
  <c r="AY12" i="16"/>
  <c r="BA12" i="16"/>
  <c r="BK12" i="16"/>
  <c r="AW12" i="16"/>
  <c r="BC12" i="16"/>
  <c r="BQ12" i="16"/>
  <c r="BO12" i="16"/>
  <c r="AY6" i="16"/>
  <c r="BQ6" i="16"/>
  <c r="BG6" i="16"/>
  <c r="BM6" i="16"/>
  <c r="BA6" i="16"/>
  <c r="BC6" i="16"/>
  <c r="BE6" i="16"/>
  <c r="AW6" i="16"/>
  <c r="BO6" i="16"/>
  <c r="BI6" i="16"/>
  <c r="BK6" i="16"/>
  <c r="AW9" i="16"/>
  <c r="AY9" i="16"/>
  <c r="BI9" i="16"/>
  <c r="BK9" i="16"/>
  <c r="BM9" i="16"/>
  <c r="BC9" i="16"/>
  <c r="BA9" i="16"/>
  <c r="BG9" i="16"/>
  <c r="BO9" i="16"/>
  <c r="BE9" i="16"/>
  <c r="BQ9" i="16"/>
  <c r="BI8" i="16"/>
  <c r="BO8" i="16"/>
  <c r="AW8" i="16"/>
  <c r="BE8" i="16"/>
  <c r="BA8" i="16"/>
  <c r="AY8" i="16"/>
  <c r="BC8" i="16"/>
  <c r="BK8" i="16"/>
  <c r="BQ8" i="16"/>
  <c r="BM8" i="16"/>
  <c r="BG8" i="16"/>
  <c r="BI5" i="16"/>
  <c r="BK5" i="16"/>
  <c r="BA5" i="16"/>
  <c r="AY5" i="16"/>
  <c r="BE5" i="16"/>
  <c r="BC5" i="16"/>
  <c r="AW5" i="16"/>
  <c r="BQ5" i="16"/>
  <c r="BG5" i="16"/>
  <c r="BO5" i="16"/>
  <c r="BM5" i="16"/>
  <c r="BI4" i="16"/>
  <c r="BM4" i="16"/>
  <c r="BQ4" i="16"/>
  <c r="AY4" i="16"/>
  <c r="AW4" i="16"/>
  <c r="BK4" i="16"/>
  <c r="BG4" i="16"/>
  <c r="BC4" i="16"/>
  <c r="BA4" i="16"/>
  <c r="BE4" i="16"/>
  <c r="BO4" i="16"/>
  <c r="BQ10" i="16"/>
  <c r="BO10" i="16"/>
  <c r="BC10" i="16"/>
  <c r="AY10" i="16"/>
  <c r="AW10" i="16"/>
  <c r="BG10" i="16"/>
  <c r="BI10" i="16"/>
  <c r="BK10" i="16"/>
  <c r="BA10" i="16"/>
  <c r="BM10" i="16"/>
  <c r="BE10" i="16"/>
  <c r="AZ12" i="16"/>
  <c r="AV12" i="16"/>
  <c r="BD12" i="16"/>
  <c r="BP12" i="16"/>
  <c r="BF12" i="16"/>
  <c r="AX12" i="16"/>
  <c r="BJ12" i="16"/>
  <c r="BH12" i="16"/>
  <c r="BN12" i="16"/>
  <c r="BB12" i="16"/>
  <c r="BL12" i="16"/>
  <c r="BN6" i="16"/>
  <c r="BJ6" i="16"/>
  <c r="BF6" i="16"/>
  <c r="BD6" i="16"/>
  <c r="BP6" i="16"/>
  <c r="BB6" i="16"/>
  <c r="BH6" i="16"/>
  <c r="AX6" i="16"/>
  <c r="BL6" i="16"/>
  <c r="AV6" i="16"/>
  <c r="AZ6" i="16"/>
  <c r="BD10" i="16"/>
  <c r="BF10" i="16"/>
  <c r="BB10" i="16"/>
  <c r="AX10" i="16"/>
  <c r="AZ10" i="16"/>
  <c r="BL10" i="16"/>
  <c r="BP10" i="16"/>
  <c r="BJ10" i="16"/>
  <c r="AV10" i="16"/>
  <c r="BN10" i="16"/>
  <c r="BH10" i="16"/>
  <c r="BB21" i="16"/>
  <c r="BN21" i="16"/>
  <c r="AX21" i="16"/>
  <c r="BJ21" i="16"/>
  <c r="AZ21" i="16"/>
  <c r="BH21" i="16"/>
  <c r="BL21" i="16"/>
  <c r="BD21" i="16"/>
  <c r="BF21" i="16"/>
  <c r="BP21" i="16"/>
  <c r="AV21" i="16"/>
  <c r="AX15" i="16"/>
  <c r="BF15" i="16"/>
  <c r="BN15" i="16"/>
  <c r="BJ15" i="16"/>
  <c r="AZ15" i="16"/>
  <c r="AV15" i="16"/>
  <c r="BL15" i="16"/>
  <c r="BH15" i="16"/>
  <c r="BD15" i="16"/>
  <c r="BP15" i="16"/>
  <c r="BB15" i="16"/>
  <c r="BB20" i="16"/>
  <c r="BN20" i="16"/>
  <c r="BF20" i="16"/>
  <c r="BD20" i="16"/>
  <c r="AV20" i="16"/>
  <c r="BJ20" i="16"/>
  <c r="AZ20" i="16"/>
  <c r="BH20" i="16"/>
  <c r="BL20" i="16"/>
  <c r="BP20" i="16"/>
  <c r="AX20" i="16"/>
  <c r="BB8" i="16"/>
  <c r="BF8" i="16"/>
  <c r="BN8" i="16"/>
  <c r="BH8" i="16"/>
  <c r="AV8" i="16"/>
  <c r="AX8" i="16"/>
  <c r="BJ8" i="16"/>
  <c r="AZ8" i="16"/>
  <c r="BL8" i="16"/>
  <c r="BD8" i="16"/>
  <c r="BP8" i="16"/>
  <c r="BL17" i="16"/>
  <c r="BD17" i="16"/>
  <c r="BH17" i="16"/>
  <c r="AV17" i="16"/>
  <c r="AX17" i="16"/>
  <c r="BN17" i="16"/>
  <c r="BB17" i="16"/>
  <c r="BP17" i="16"/>
  <c r="BF17" i="16"/>
  <c r="BJ17" i="16"/>
  <c r="AZ17" i="16"/>
  <c r="BF18" i="16"/>
  <c r="BD18" i="16"/>
  <c r="BP18" i="16"/>
  <c r="AV18" i="16"/>
  <c r="AZ18" i="16"/>
  <c r="BL18" i="16"/>
  <c r="AX18" i="16"/>
  <c r="BN18" i="16"/>
  <c r="BH18" i="16"/>
  <c r="BB18" i="16"/>
  <c r="BJ18" i="16"/>
  <c r="BP16" i="16"/>
  <c r="AX16" i="16"/>
  <c r="AZ16" i="16"/>
  <c r="BL16" i="16"/>
  <c r="BF16" i="16"/>
  <c r="BD16" i="16"/>
  <c r="BJ16" i="16"/>
  <c r="BN16" i="16"/>
  <c r="AV16" i="16"/>
  <c r="BH16" i="16"/>
  <c r="BB16" i="16"/>
  <c r="BN19" i="16"/>
  <c r="BB19" i="16"/>
  <c r="BJ19" i="16"/>
  <c r="AX19" i="16"/>
  <c r="BF19" i="16"/>
  <c r="AV19" i="16"/>
  <c r="BD19" i="16"/>
  <c r="BH19" i="16"/>
  <c r="AZ19" i="16"/>
  <c r="BL19" i="16"/>
  <c r="BP19" i="16"/>
  <c r="AX11" i="16"/>
  <c r="BF11" i="16"/>
  <c r="BB11" i="16"/>
  <c r="BN11" i="16"/>
  <c r="BL11" i="16"/>
  <c r="BH11" i="16"/>
  <c r="BD11" i="16"/>
  <c r="BJ11" i="16"/>
  <c r="BP11" i="16"/>
  <c r="AV11" i="16"/>
  <c r="AZ11" i="16"/>
  <c r="BP14" i="16"/>
  <c r="BF14" i="16"/>
  <c r="BN14" i="16"/>
  <c r="BD14" i="16"/>
  <c r="BH14" i="16"/>
  <c r="AV14" i="16"/>
  <c r="AX14" i="16"/>
  <c r="BJ14" i="16"/>
  <c r="BL14" i="16"/>
  <c r="AZ14" i="16"/>
  <c r="BB14" i="16"/>
  <c r="BF4" i="16"/>
  <c r="BD4" i="16"/>
  <c r="BP4" i="16"/>
  <c r="BJ4" i="16"/>
  <c r="BN4" i="16"/>
  <c r="AZ4" i="16"/>
  <c r="BL4" i="16"/>
  <c r="BB4" i="16"/>
  <c r="AX4" i="16"/>
  <c r="AV4" i="16"/>
  <c r="BH4" i="16"/>
  <c r="AZ9" i="16"/>
  <c r="BJ9" i="16"/>
  <c r="BH9" i="16"/>
  <c r="BF9" i="16"/>
  <c r="AV9" i="16"/>
  <c r="BN9" i="16"/>
  <c r="AX9" i="16"/>
  <c r="BD9" i="16"/>
  <c r="BP9" i="16"/>
  <c r="BB9" i="16"/>
  <c r="BL9" i="16"/>
  <c r="BB5" i="16"/>
  <c r="BD5" i="16"/>
  <c r="BN5" i="16"/>
  <c r="BL5" i="16"/>
  <c r="BF5" i="16"/>
  <c r="AZ5" i="16"/>
  <c r="AX5" i="16"/>
  <c r="BJ5" i="16"/>
  <c r="AV5" i="16"/>
  <c r="BH5" i="16"/>
  <c r="BP5" i="16"/>
  <c r="BD13" i="16"/>
  <c r="BN13" i="16"/>
  <c r="AZ13" i="16"/>
  <c r="BB13" i="16"/>
  <c r="BL13" i="16"/>
  <c r="BF13" i="16"/>
  <c r="AV13" i="16"/>
  <c r="BH13" i="16"/>
  <c r="AX13" i="16"/>
  <c r="BJ13" i="16"/>
  <c r="BP13" i="16"/>
  <c r="AX7" i="16"/>
  <c r="BF7" i="16"/>
  <c r="BJ7" i="16"/>
  <c r="BN7" i="16"/>
  <c r="AZ7" i="16"/>
  <c r="BL7" i="16"/>
  <c r="AV7" i="16"/>
  <c r="BH7" i="16"/>
  <c r="BB7" i="16"/>
  <c r="BD7" i="16"/>
  <c r="BP7" i="16"/>
  <c r="BJ3" i="16"/>
  <c r="AX3" i="16"/>
  <c r="BF3" i="16"/>
  <c r="AZ3" i="16"/>
  <c r="BD3" i="16"/>
  <c r="BL3" i="16"/>
  <c r="BP3" i="16"/>
  <c r="BN3" i="16"/>
  <c r="BB3" i="16"/>
  <c r="AV3" i="16"/>
  <c r="BH3" i="16"/>
  <c r="BB2" i="16"/>
  <c r="BP2" i="16"/>
  <c r="BN2" i="16"/>
  <c r="BF2" i="16"/>
  <c r="BD2" i="16"/>
  <c r="AZ2" i="16"/>
  <c r="BL2" i="16"/>
  <c r="BJ2" i="16"/>
  <c r="BH2" i="16"/>
  <c r="AX2" i="16"/>
  <c r="AV2" i="16"/>
  <c r="I2" i="16"/>
  <c r="H2" i="16"/>
  <c r="C3" i="8"/>
  <c r="C3" i="16" s="1"/>
  <c r="C4" i="8"/>
  <c r="C4" i="16" s="1"/>
  <c r="C5" i="8"/>
  <c r="C5" i="16" s="1"/>
  <c r="C6" i="8"/>
  <c r="C6" i="16" s="1"/>
  <c r="C7" i="8"/>
  <c r="C7" i="16" s="1"/>
  <c r="C8" i="8"/>
  <c r="C8" i="16" s="1"/>
  <c r="C9" i="8"/>
  <c r="C9" i="16" s="1"/>
  <c r="C10" i="8"/>
  <c r="C10" i="16" s="1"/>
  <c r="C11" i="8"/>
  <c r="C11" i="16" s="1"/>
  <c r="C12" i="8"/>
  <c r="C12" i="16" s="1"/>
  <c r="C2" i="8"/>
  <c r="C2" i="16" s="1"/>
  <c r="B4" i="8" l="1"/>
  <c r="B4" i="16" s="1"/>
  <c r="B3" i="8"/>
  <c r="B3" i="16" s="1"/>
  <c r="B2" i="8"/>
  <c r="B2" i="16" s="1"/>
  <c r="B12" i="8"/>
  <c r="B12" i="16" s="1"/>
  <c r="B11" i="8"/>
  <c r="B11" i="16" s="1"/>
  <c r="B10" i="8"/>
  <c r="B10" i="16" s="1"/>
  <c r="B9" i="8"/>
  <c r="B9" i="16" s="1"/>
  <c r="B8" i="8"/>
  <c r="B8" i="16" s="1"/>
  <c r="B7" i="8"/>
  <c r="B7" i="16" s="1"/>
  <c r="B6" i="8"/>
  <c r="B6" i="16" s="1"/>
  <c r="B5" i="8"/>
  <c r="B5" i="16" s="1"/>
  <c r="F13" i="8"/>
  <c r="F14" i="8"/>
  <c r="F15" i="8"/>
  <c r="F16" i="8"/>
  <c r="F17" i="8"/>
  <c r="F18" i="8"/>
  <c r="F19" i="8"/>
  <c r="F20" i="8"/>
  <c r="F21" i="8"/>
  <c r="I13" i="8"/>
  <c r="F13" i="16" s="1"/>
  <c r="I14" i="8"/>
  <c r="I15" i="8"/>
  <c r="I16" i="8"/>
  <c r="I17" i="8"/>
  <c r="I18" i="8"/>
  <c r="I19" i="8"/>
  <c r="I20" i="8"/>
  <c r="I21" i="8"/>
  <c r="I29" i="3"/>
  <c r="E30" i="3"/>
  <c r="E31" i="3" s="1"/>
  <c r="J30" i="3" s="1"/>
  <c r="J31" i="3" s="1"/>
  <c r="E24" i="3"/>
  <c r="E25" i="3" s="1"/>
  <c r="D12" i="3"/>
  <c r="G11" i="3"/>
  <c r="G6" i="16" l="1"/>
  <c r="F6" i="16"/>
  <c r="G11" i="16"/>
  <c r="F11" i="16"/>
  <c r="G10" i="16"/>
  <c r="F10" i="16"/>
  <c r="G9" i="16"/>
  <c r="F9" i="16"/>
  <c r="F8" i="16"/>
  <c r="G8" i="16"/>
  <c r="G7" i="16"/>
  <c r="F7" i="16"/>
  <c r="F12" i="16" l="1"/>
  <c r="G1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EFF5BE31-13A9-4723-A437-3EA7B02AD190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Explain the goals, strains used and other experimental details in a short sentence, only write in cell 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F2891A32-FC64-4CAD-ADFD-BB4ED07D9895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1 through 16 for lab B0.670, 1-u through 8-u for lab B1.230</t>
        </r>
      </text>
    </comment>
    <comment ref="C1" authorId="0" shapeId="0" xr:uid="{40D2CE29-FB54-464C-BB63-BFCFFA39D58B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strain name, don't use special characters, write CBS strains with space (CBS 1483)</t>
        </r>
      </text>
    </comment>
    <comment ref="D1" authorId="0" shapeId="0" xr:uid="{63992D9E-5797-4BEF-9B23-994A9529E1B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Choose closest starting gravity, not the measured value but the intended gravity</t>
        </r>
      </text>
    </comment>
    <comment ref="E1" authorId="0" shapeId="0" xr:uid="{9B602102-B6F6-4751-B1F4-61570E57B115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For data visualization, choose closest density, not the measured value but the intended value</t>
        </r>
      </text>
    </comment>
    <comment ref="F1" authorId="0" shapeId="0" xr:uid="{F0F150F5-89B9-476A-B53C-7D0C6A5BC05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Temperature, 12 or 20 degrees</t>
        </r>
      </text>
    </comment>
    <comment ref="G1" authorId="0" shapeId="0" xr:uid="{CF91F6C7-6E31-4310-B184-D1F2F7720379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number to designate experiment, should be unique so follow count from previous experiment</t>
        </r>
      </text>
    </comment>
    <comment ref="H1" authorId="0" shapeId="0" xr:uid="{A1242628-9CEA-4E33-950E-FDBAE1816DDF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dd-mm-yyyy format (excel date)</t>
        </r>
      </text>
    </comment>
    <comment ref="I1" authorId="0" shapeId="0" xr:uid="{5E7E0240-DDBE-44CD-A74A-225031D14FBC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Either 1 or 2, if more than that, split over multiple experiments and excel files</t>
        </r>
      </text>
    </comment>
    <comment ref="J1" authorId="0" shapeId="0" xr:uid="{14896609-4313-479C-90A2-AE486999B23D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Usually 1 for normally inoculated fermentations from shake flask cultures, higher number if cells were transferred from a previous tall tube experiment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74479594-8DED-45CB-A061-48DD6856F8A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Insert CO2 data with TT1 and TT2 as headers</t>
        </r>
      </text>
    </comment>
  </commentList>
</comments>
</file>

<file path=xl/sharedStrings.xml><?xml version="1.0" encoding="utf-8"?>
<sst xmlns="http://schemas.openxmlformats.org/spreadsheetml/2006/main" count="1485" uniqueCount="327">
  <si>
    <t>Date</t>
  </si>
  <si>
    <t>Time (h)</t>
  </si>
  <si>
    <t>Time (days)</t>
  </si>
  <si>
    <t>Tall tubes</t>
  </si>
  <si>
    <t>Strain</t>
  </si>
  <si>
    <t>PROCEDURE</t>
  </si>
  <si>
    <t>Inoculate wake-up cultures: Stock in 100mL YPD.</t>
  </si>
  <si>
    <t>Incubate at 12°C and 200rpm.</t>
  </si>
  <si>
    <t>Transfer wake-up culture to YPM6% preculture at an OD of 0.8 in 4x100mL Shake Flasks.</t>
  </si>
  <si>
    <t>Details wake-up culture:</t>
  </si>
  <si>
    <t>Dilution</t>
  </si>
  <si>
    <t>Volume to transfer to preculture:</t>
  </si>
  <si>
    <t>OD1</t>
  </si>
  <si>
    <t>OD2</t>
  </si>
  <si>
    <t>mL</t>
  </si>
  <si>
    <t>OD660</t>
  </si>
  <si>
    <t>Start Tall Tube experiment</t>
  </si>
  <si>
    <t>1.</t>
  </si>
  <si>
    <t>Inoculum preparation.</t>
  </si>
  <si>
    <t>Details preculture:</t>
  </si>
  <si>
    <t>Resuspension volume for OD660 = ~20</t>
  </si>
  <si>
    <t>mL →→</t>
  </si>
  <si>
    <t>Spin down and resuspend in</t>
  </si>
  <si>
    <t>Cell count resuspension:</t>
  </si>
  <si>
    <t>Inoculum</t>
  </si>
  <si>
    <t>Total count</t>
  </si>
  <si>
    <t>Dead count</t>
  </si>
  <si>
    <t>Resuspension:</t>
  </si>
  <si>
    <t>Viability</t>
  </si>
  <si>
    <t>Water:</t>
  </si>
  <si>
    <t>Viable count</t>
  </si>
  <si>
    <t>cells/mL</t>
  </si>
  <si>
    <t>2.</t>
  </si>
  <si>
    <r>
      <t>Fill each Tall Tube with 2395g of inoculated 21</t>
    </r>
    <r>
      <rPr>
        <sz val="11"/>
        <color theme="1"/>
        <rFont val="Calibri"/>
        <family val="2"/>
      </rPr>
      <t>°P wort</t>
    </r>
  </si>
  <si>
    <t>3.</t>
  </si>
  <si>
    <t>Start logging of MFM</t>
  </si>
  <si>
    <t>First sample</t>
  </si>
  <si>
    <t>Last sample</t>
  </si>
  <si>
    <t>Diacetyl &lt; threshold</t>
  </si>
  <si>
    <t>°P End?</t>
  </si>
  <si>
    <t>Viability at the cone</t>
  </si>
  <si>
    <t>Volume</t>
  </si>
  <si>
    <t>ml</t>
  </si>
  <si>
    <t>Cell count</t>
  </si>
  <si>
    <t>Cell/ml</t>
  </si>
  <si>
    <t>1 Dead cells</t>
  </si>
  <si>
    <t>1 Total cells</t>
  </si>
  <si>
    <t>1 Viability (%)</t>
  </si>
  <si>
    <t>2 Dead cells</t>
  </si>
  <si>
    <t>2 Total cells</t>
  </si>
  <si>
    <t>2 Viability (%)</t>
  </si>
  <si>
    <t>Cone viability</t>
  </si>
  <si>
    <t>Date start experiment</t>
  </si>
  <si>
    <t>Experiment number</t>
  </si>
  <si>
    <t>T1</t>
  </si>
  <si>
    <t>Maltohexaose</t>
  </si>
  <si>
    <t>Maltopentao
se</t>
  </si>
  <si>
    <t>Maltotetraose</t>
  </si>
  <si>
    <t>Maltotriose</t>
  </si>
  <si>
    <t>Maltose</t>
  </si>
  <si>
    <t>Glucose</t>
  </si>
  <si>
    <t>Fructose</t>
  </si>
  <si>
    <t>Glycerol</t>
  </si>
  <si>
    <t>Ethanol</t>
  </si>
  <si>
    <t>MT01-MTT-260_CBS1483_17P-s10a</t>
  </si>
  <si>
    <t>D2F-A3</t>
  </si>
  <si>
    <t>1</t>
  </si>
  <si>
    <t>MT01-MTT-260_CBS1483_17P-s10b</t>
  </si>
  <si>
    <t>D2F-B3</t>
  </si>
  <si>
    <t>MT02-MTT-260_CBS1483_17P-s10a</t>
  </si>
  <si>
    <t>D2F-C3</t>
  </si>
  <si>
    <t>MT02-MTT-260_CBS1483_17P-s10b</t>
  </si>
  <si>
    <t>D2F-D3</t>
  </si>
  <si>
    <t>Maltoheptaose</t>
  </si>
  <si>
    <t>T2</t>
  </si>
  <si>
    <t>T3</t>
  </si>
  <si>
    <t>T4</t>
  </si>
  <si>
    <t>T5</t>
  </si>
  <si>
    <t>T6</t>
  </si>
  <si>
    <t>T7</t>
  </si>
  <si>
    <t>T8</t>
  </si>
  <si>
    <t>T9</t>
  </si>
  <si>
    <t>MT01-MTT-260_CBS1483_17P-S2a</t>
  </si>
  <si>
    <t>D2F-A4</t>
  </si>
  <si>
    <t>MT01-MTT-260_CBS1483_17P-S2b</t>
  </si>
  <si>
    <t>D2F-B4</t>
  </si>
  <si>
    <t>MT02-MTT-260_CBS1483_17P-S2a</t>
  </si>
  <si>
    <t>D2F-C4</t>
  </si>
  <si>
    <t>MT02-MTT-260_CBS1483_17P-S2b</t>
  </si>
  <si>
    <t>D2F-D4</t>
  </si>
  <si>
    <t>MT01-MTT-260_CBS1483_17P-S3a</t>
  </si>
  <si>
    <t>D2F-A6</t>
  </si>
  <si>
    <t>MT01-MTT-260_CBS1483_17P-S3b</t>
  </si>
  <si>
    <t>D2F-B6</t>
  </si>
  <si>
    <t>MT02-MTT-260_CBS1483_17P-S3a</t>
  </si>
  <si>
    <t>D2F-C6</t>
  </si>
  <si>
    <t>MT02-MTT-260_CBS1483_17P-S3b</t>
  </si>
  <si>
    <t>D2F-D6</t>
  </si>
  <si>
    <t>MT01-MTT-260_CBS1483_17P-S4a</t>
  </si>
  <si>
    <t>D2B-A1</t>
  </si>
  <si>
    <t>MT01-MTT-260_CBS1483_17P-S4b</t>
  </si>
  <si>
    <t>D2B-B1</t>
  </si>
  <si>
    <t>MT02-MTT-260_CBS1483_17P-S4a</t>
  </si>
  <si>
    <t>D2B-C1</t>
  </si>
  <si>
    <t>MT02-MTT-260_CBS1483_17P-S4b</t>
  </si>
  <si>
    <t>D2B-D1</t>
  </si>
  <si>
    <t>MT01-MTT-260_CBS1483_17P-S5a</t>
  </si>
  <si>
    <t>D2F-A1</t>
  </si>
  <si>
    <t>MT01-MTT-260_CBS1483_17P-S5b</t>
  </si>
  <si>
    <t>D2F-B1</t>
  </si>
  <si>
    <t>MT02-MTT-260_CBS1483_17P-S5a</t>
  </si>
  <si>
    <t>D2F-C1</t>
  </si>
  <si>
    <t>MT02-MTT-260_CBS1483_17P-S5b</t>
  </si>
  <si>
    <t>D2F-D1</t>
  </si>
  <si>
    <t>MT01-MTT-260_CBS1483_17P-S6a</t>
  </si>
  <si>
    <t>D2F-A2</t>
  </si>
  <si>
    <t>MT01-MTT-260_CBS1483_17P-S6b</t>
  </si>
  <si>
    <t>D2F-B2</t>
  </si>
  <si>
    <t>MT02-MTT-260_CBS1483_17P-S6a</t>
  </si>
  <si>
    <t>D2F-C2</t>
  </si>
  <si>
    <t>MT02-MTT-260_CBS1483_17P-S6b</t>
  </si>
  <si>
    <t>D2F-D2</t>
  </si>
  <si>
    <t>Species</t>
  </si>
  <si>
    <t>Temperature</t>
  </si>
  <si>
    <t>Saccharomyces pastorianus</t>
  </si>
  <si>
    <t>Saccharomyces cerevisiae</t>
  </si>
  <si>
    <t>Saccharomyces eubayanus</t>
  </si>
  <si>
    <t>Starting gravity</t>
  </si>
  <si>
    <t>Inoculum density</t>
  </si>
  <si>
    <t>4-u</t>
  </si>
  <si>
    <t>1-u</t>
  </si>
  <si>
    <t>2-u</t>
  </si>
  <si>
    <t>3-u</t>
  </si>
  <si>
    <t>5-u</t>
  </si>
  <si>
    <t>6-u</t>
  </si>
  <si>
    <t>7-u</t>
  </si>
  <si>
    <t>8-u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</si>
  <si>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</si>
  <si>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</si>
  <si>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</si>
  <si>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</si>
  <si>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</si>
  <si>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</si>
  <si>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</si>
  <si>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</si>
  <si>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</si>
  <si>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</si>
  <si>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</si>
  <si>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Ethyl acetate</t>
  </si>
  <si>
    <t>Isobutyl
acetate</t>
  </si>
  <si>
    <t>Ethyl butyrate</t>
  </si>
  <si>
    <t>Isobutanol</t>
  </si>
  <si>
    <t>Isoamyl
acetate</t>
  </si>
  <si>
    <t>Isoamyl
alcohol</t>
  </si>
  <si>
    <t>Ethyl
hexanoate</t>
  </si>
  <si>
    <t>Ethyl
octanoate</t>
  </si>
  <si>
    <t>Ethyl
decanoate</t>
  </si>
  <si>
    <t>201</t>
  </si>
  <si>
    <t>202</t>
  </si>
  <si>
    <t>203</t>
  </si>
  <si>
    <t>204</t>
  </si>
  <si>
    <t>1 Ethyl acetate</t>
  </si>
  <si>
    <t>1 Ethanol</t>
  </si>
  <si>
    <t>1 Ethyl butyrate</t>
  </si>
  <si>
    <t>1 Isobutanol</t>
  </si>
  <si>
    <t>2 Ethyl acetate</t>
  </si>
  <si>
    <t>2 Ethanol</t>
  </si>
  <si>
    <t>2 Ethyl butyrate</t>
  </si>
  <si>
    <t>2 Isobutanol</t>
  </si>
  <si>
    <t>1 Isobutyl acetate</t>
  </si>
  <si>
    <t>1 Isoamyl acetate</t>
  </si>
  <si>
    <t>1 Isoamyl alcohol</t>
  </si>
  <si>
    <t>1 Ethyl hexanoate</t>
  </si>
  <si>
    <t>1 Ethyl octanoate</t>
  </si>
  <si>
    <t>1 Ethyl decanoate</t>
  </si>
  <si>
    <t>2 Isobutyl acetate</t>
  </si>
  <si>
    <t>2 Isoamyl acetate</t>
  </si>
  <si>
    <t>2 Isoamyl alcohol</t>
  </si>
  <si>
    <t>2 Ethyl hexanoate</t>
  </si>
  <si>
    <t>2 Ethyl octanoate</t>
  </si>
  <si>
    <t>2 Ethyl decanoate</t>
  </si>
  <si>
    <t>209</t>
  </si>
  <si>
    <t>210</t>
  </si>
  <si>
    <t>211</t>
  </si>
  <si>
    <t>212</t>
  </si>
  <si>
    <t>2,3-diacetyl</t>
  </si>
  <si>
    <t>2,3-
pentadione</t>
  </si>
  <si>
    <t>1 Diacetyl</t>
  </si>
  <si>
    <t>2 Diacetyl</t>
  </si>
  <si>
    <t>2 2,3-Pentanedione</t>
  </si>
  <si>
    <t>1 2,3-Pentanedione</t>
  </si>
  <si>
    <t>Starting gravity (Plato)</t>
  </si>
  <si>
    <t>Inoculum density (cells/mL)</t>
  </si>
  <si>
    <r>
      <t>Temperature (</t>
    </r>
    <r>
      <rPr>
        <sz val="12"/>
        <color theme="1"/>
        <rFont val="Arial"/>
        <family val="2"/>
      </rPr>
      <t>°</t>
    </r>
    <r>
      <rPr>
        <sz val="12"/>
        <color theme="1"/>
        <rFont val="Aptos Narrow"/>
        <family val="2"/>
      </rPr>
      <t>C)</t>
    </r>
  </si>
  <si>
    <t>StDev 1 Ethyl acetate</t>
  </si>
  <si>
    <t>StDev 1 Ethanol</t>
  </si>
  <si>
    <t>StDev 1 Ethyl butyrate</t>
  </si>
  <si>
    <t>StDev 1 Isobutanol</t>
  </si>
  <si>
    <t>StDev 2 Ethyl acetate</t>
  </si>
  <si>
    <t>StDev 2 Ethanol</t>
  </si>
  <si>
    <t>StDev 2 Ethyl butyrate</t>
  </si>
  <si>
    <t>StDev 2 Isobutanol</t>
  </si>
  <si>
    <t>StDev 1 Diacetyl</t>
  </si>
  <si>
    <t>StDev 1 2,3-Pentanedione</t>
  </si>
  <si>
    <t>StDev 2 Diacetyl</t>
  </si>
  <si>
    <t>StDev 2 2,3-Pentanedione</t>
  </si>
  <si>
    <t>StDev 1 Isobutyl acetate</t>
  </si>
  <si>
    <t>StDev 1 Isoamyl acetate</t>
  </si>
  <si>
    <t>StDev 1 Isoamyl alcohol</t>
  </si>
  <si>
    <t>StDev 1 Ethyl hexanoate</t>
  </si>
  <si>
    <t>StDev 1 Ethyl octanoate</t>
  </si>
  <si>
    <t>StDev 1 Ethyl decanoate</t>
  </si>
  <si>
    <t>StDev 2 Isobutyl acetate</t>
  </si>
  <si>
    <t>StDev 2 Isoamyl acetate</t>
  </si>
  <si>
    <t>StDev 2 Isoamyl alcohol</t>
  </si>
  <si>
    <t>StDev 2 Ethyl hexanoate</t>
  </si>
  <si>
    <t>StDev 2 Ethyl octanoate</t>
  </si>
  <si>
    <t>StDev 2 Ethyl decanoate</t>
  </si>
  <si>
    <t>CellCount_average</t>
  </si>
  <si>
    <t>CellCount_stdev</t>
  </si>
  <si>
    <t>Viability_average</t>
  </si>
  <si>
    <t>Viability_stdev</t>
  </si>
  <si>
    <t>Cone_viability_average</t>
  </si>
  <si>
    <t>Stdev_cone_viability</t>
  </si>
  <si>
    <t>Attenuation_average</t>
  </si>
  <si>
    <t>Attenuation_stdev</t>
  </si>
  <si>
    <t>pH_average</t>
  </si>
  <si>
    <t>pH_stdev</t>
  </si>
  <si>
    <t>Maltotriose_avg</t>
  </si>
  <si>
    <t>Maltotriose_stdev</t>
  </si>
  <si>
    <t>Maltose_avg</t>
  </si>
  <si>
    <t>Maltose_stdev</t>
  </si>
  <si>
    <t>Glucose_avg</t>
  </si>
  <si>
    <t>Glucose_stdev</t>
  </si>
  <si>
    <t>Fructose_avg</t>
  </si>
  <si>
    <t>Glycerol_avg</t>
  </si>
  <si>
    <t>Fructose_stdev</t>
  </si>
  <si>
    <t>Glycerol_stdev</t>
  </si>
  <si>
    <t>Ethanol_avg</t>
  </si>
  <si>
    <t>Ethanol_stdev</t>
  </si>
  <si>
    <t>Ethyl_acetate_avg</t>
  </si>
  <si>
    <t>Ethyl_acetate_stdev</t>
  </si>
  <si>
    <t>Isobutyl_acetate_avg</t>
  </si>
  <si>
    <t>Isobutyl_acetate_stdev</t>
  </si>
  <si>
    <t>Ethyl_butyrate_avg</t>
  </si>
  <si>
    <t>Ethyl_butyrate_stdev</t>
  </si>
  <si>
    <t>Isobutanol_avg</t>
  </si>
  <si>
    <t>Isobutanol_stdev</t>
  </si>
  <si>
    <t>Isoamyl_acetate_avg</t>
  </si>
  <si>
    <t>Isoamyl_acetate_stdev</t>
  </si>
  <si>
    <t>Isoamyl_alcohol_avg</t>
  </si>
  <si>
    <t>Isoamyl_alcohol_stdev</t>
  </si>
  <si>
    <t>Ethyl_hexanoate_avg</t>
  </si>
  <si>
    <t>Ethyl_hexanoate_stdev</t>
  </si>
  <si>
    <t>Ethyl_octanoate_avg</t>
  </si>
  <si>
    <t>Ethyl_octanoate_stdev</t>
  </si>
  <si>
    <t>Ethyl_decanoate_avg</t>
  </si>
  <si>
    <t>Ethyl_decanoate_stdev</t>
  </si>
  <si>
    <t>Diacetyl_avg</t>
  </si>
  <si>
    <t>Diacetyl_stdev</t>
  </si>
  <si>
    <t>2,3-pentanedione_avg</t>
  </si>
  <si>
    <t>2,3-pentanedione_stdev</t>
  </si>
  <si>
    <t>Ethyl_acetate_avg_normalized</t>
  </si>
  <si>
    <t>Ethyl_acetate_stdev_normalized</t>
  </si>
  <si>
    <t>Isobutyl_acetate_avg_normalized</t>
  </si>
  <si>
    <t>Isobutyl_acetate_stdev_normalized</t>
  </si>
  <si>
    <t>Ethyl_butyrate_avg_normalized</t>
  </si>
  <si>
    <t>Ethyl_butyrate_stdev_normalized</t>
  </si>
  <si>
    <t>Isobutanol_avg_normalized</t>
  </si>
  <si>
    <t>Isobutanol_stdev_normalized</t>
  </si>
  <si>
    <t>Isoamyl_acetate_avg_normalized</t>
  </si>
  <si>
    <t>Isoamyl_acetate_stdev_normalized</t>
  </si>
  <si>
    <t>Isoamyl_alcohol_avg_normalized</t>
  </si>
  <si>
    <t>Isoamyl_alcohol_stdev_normalized</t>
  </si>
  <si>
    <t>Ethyl_hexanoate_avg_normalized</t>
  </si>
  <si>
    <t>Ethyl_hexanoate_stdev_normalized</t>
  </si>
  <si>
    <t>Ethyl_octanoate_avg_normalized</t>
  </si>
  <si>
    <t>Ethyl_octanoate_stdev_normalized</t>
  </si>
  <si>
    <t>Ethyl_decanoate_avg_normalized</t>
  </si>
  <si>
    <t>Ethyl_decanoate_stdev_normalized</t>
  </si>
  <si>
    <t>Diacetyl_avg_normalized</t>
  </si>
  <si>
    <t>Diacetyl_stdev_normalized</t>
  </si>
  <si>
    <t>2,3-pentanedione_avg_normalized</t>
  </si>
  <si>
    <t>2,3-pentanedione_stdev_normalized</t>
  </si>
  <si>
    <t>Ratio_Ethylacetate_isoamyl_acetate</t>
  </si>
  <si>
    <t>TT1 average</t>
  </si>
  <si>
    <t>TT1 stdev</t>
  </si>
  <si>
    <t>TT2 average</t>
  </si>
  <si>
    <t>TT2 stdev</t>
  </si>
  <si>
    <t>c</t>
  </si>
  <si>
    <t>TT1</t>
  </si>
  <si>
    <t>TT2</t>
  </si>
  <si>
    <t>other</t>
  </si>
  <si>
    <t>1 Maltotriose</t>
  </si>
  <si>
    <t>1 Maltose</t>
  </si>
  <si>
    <t>1 Glucose</t>
  </si>
  <si>
    <t>1 Fructose</t>
  </si>
  <si>
    <t>1 Glycerol</t>
  </si>
  <si>
    <t>2 Maltotriose</t>
  </si>
  <si>
    <t>2 Maltose</t>
  </si>
  <si>
    <t>2 Glucose</t>
  </si>
  <si>
    <t>2 Fructose</t>
  </si>
  <si>
    <t>2 Glycerol</t>
  </si>
  <si>
    <t>StDev 1 Maltotriose</t>
  </si>
  <si>
    <t>StDev 1 Maltose</t>
  </si>
  <si>
    <t>StDev 1 Glucose</t>
  </si>
  <si>
    <t>StDev 1 Fructose</t>
  </si>
  <si>
    <t>StDev 1 Glycerol</t>
  </si>
  <si>
    <t>StDev 2 Maltotriose</t>
  </si>
  <si>
    <t>StDev 2 Maltose</t>
  </si>
  <si>
    <t>StDev 2 Glucose</t>
  </si>
  <si>
    <t>StDev 2 Fructose</t>
  </si>
  <si>
    <t>StDev 2 Glycerol</t>
  </si>
  <si>
    <t>Pitch</t>
  </si>
  <si>
    <t># of replicates</t>
  </si>
  <si>
    <t>This is an example sheet with made-up data to showcase visualization</t>
  </si>
  <si>
    <t>109</t>
  </si>
  <si>
    <t>110</t>
  </si>
  <si>
    <t>111</t>
  </si>
  <si>
    <t>112</t>
  </si>
  <si>
    <t>309</t>
  </si>
  <si>
    <t>310</t>
  </si>
  <si>
    <t>311</t>
  </si>
  <si>
    <t>312</t>
  </si>
  <si>
    <t xml:space="preserve"> CBS1513_a</t>
  </si>
  <si>
    <t xml:space="preserve"> CBS1513_b</t>
  </si>
  <si>
    <t>strain-2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</si>
</sst>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\ h:mm;@"/>
    <numFmt numFmtId="165" formatCode="0.0%"/>
    <numFmt numFmtId="166" formatCode="0.0"/>
    <numFmt numFmtId="167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rial"/>
      <family val="2"/>
    </font>
    <font>
      <b/>
      <sz val="8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3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0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2" fontId="0" fillId="0" borderId="10" xfId="0" applyNumberFormat="1" applyBorder="1"/>
    <xf numFmtId="11" fontId="0" fillId="0" borderId="9" xfId="0" applyNumberFormat="1" applyBorder="1"/>
    <xf numFmtId="11" fontId="0" fillId="0" borderId="0" xfId="0" applyNumberFormat="1"/>
    <xf numFmtId="165" fontId="3" fillId="0" borderId="11" xfId="1" applyNumberFormat="1" applyFont="1" applyBorder="1"/>
    <xf numFmtId="165" fontId="3" fillId="0" borderId="10" xfId="1" applyNumberFormat="1" applyFont="1" applyBorder="1"/>
    <xf numFmtId="11" fontId="0" fillId="0" borderId="12" xfId="0" applyNumberFormat="1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0" xfId="0" applyAlignment="1">
      <alignment horizontal="center"/>
    </xf>
    <xf numFmtId="0" fontId="4" fillId="0" borderId="16" xfId="3" applyFont="1" applyBorder="1" applyAlignment="1">
      <alignment horizontal="left" vertical="top"/>
    </xf>
    <xf numFmtId="0" fontId="4" fillId="0" borderId="17" xfId="3" applyFont="1" applyBorder="1" applyAlignment="1">
      <alignment vertical="top"/>
    </xf>
    <xf numFmtId="0" fontId="4" fillId="0" borderId="17" xfId="3" applyFont="1" applyBorder="1"/>
    <xf numFmtId="0" fontId="4" fillId="0" borderId="0" xfId="3" applyFont="1" applyAlignment="1">
      <alignment horizontal="right" vertical="top"/>
    </xf>
    <xf numFmtId="0" fontId="1" fillId="0" borderId="0" xfId="3" applyAlignment="1">
      <alignment vertical="top"/>
    </xf>
    <xf numFmtId="0" fontId="5" fillId="0" borderId="0" xfId="3" applyFont="1"/>
    <xf numFmtId="0" fontId="1" fillId="0" borderId="0" xfId="3"/>
    <xf numFmtId="14" fontId="1" fillId="0" borderId="0" xfId="3" applyNumberFormat="1" applyAlignment="1">
      <alignment horizontal="right" vertical="top"/>
    </xf>
    <xf numFmtId="0" fontId="0" fillId="0" borderId="0" xfId="3" applyFont="1" applyAlignment="1">
      <alignment vertical="top"/>
    </xf>
    <xf numFmtId="0" fontId="0" fillId="0" borderId="0" xfId="3" applyFont="1" applyAlignment="1">
      <alignment horizontal="right"/>
    </xf>
    <xf numFmtId="0" fontId="0" fillId="0" borderId="0" xfId="3" applyFont="1"/>
    <xf numFmtId="0" fontId="1" fillId="3" borderId="21" xfId="3" applyFill="1" applyBorder="1"/>
    <xf numFmtId="0" fontId="1" fillId="3" borderId="0" xfId="3" applyFill="1"/>
    <xf numFmtId="0" fontId="1" fillId="3" borderId="22" xfId="3" applyFill="1" applyBorder="1"/>
    <xf numFmtId="0" fontId="1" fillId="3" borderId="23" xfId="3" applyFill="1" applyBorder="1"/>
    <xf numFmtId="166" fontId="1" fillId="3" borderId="24" xfId="3" applyNumberFormat="1" applyFill="1" applyBorder="1"/>
    <xf numFmtId="0" fontId="0" fillId="3" borderId="24" xfId="3" applyFont="1" applyFill="1" applyBorder="1"/>
    <xf numFmtId="0" fontId="1" fillId="3" borderId="25" xfId="3" applyFill="1" applyBorder="1"/>
    <xf numFmtId="0" fontId="1" fillId="0" borderId="0" xfId="3" applyAlignment="1">
      <alignment horizontal="right" vertical="top"/>
    </xf>
    <xf numFmtId="0" fontId="4" fillId="0" borderId="0" xfId="3" quotePrefix="1" applyFont="1" applyAlignment="1">
      <alignment horizontal="right" vertical="top"/>
    </xf>
    <xf numFmtId="0" fontId="6" fillId="0" borderId="0" xfId="3" applyFont="1"/>
    <xf numFmtId="11" fontId="1" fillId="0" borderId="0" xfId="3" applyNumberFormat="1"/>
    <xf numFmtId="165" fontId="1" fillId="0" borderId="0" xfId="1" applyNumberFormat="1"/>
    <xf numFmtId="0" fontId="0" fillId="0" borderId="0" xfId="3" applyFont="1" applyAlignment="1">
      <alignment horizontal="left"/>
    </xf>
    <xf numFmtId="0" fontId="6" fillId="3" borderId="26" xfId="3" applyFont="1" applyFill="1" applyBorder="1" applyAlignment="1">
      <alignment vertical="top"/>
    </xf>
    <xf numFmtId="0" fontId="0" fillId="3" borderId="27" xfId="3" applyFont="1" applyFill="1" applyBorder="1" applyAlignment="1">
      <alignment vertical="top"/>
    </xf>
    <xf numFmtId="14" fontId="0" fillId="3" borderId="21" xfId="0" applyNumberFormat="1" applyFill="1" applyBorder="1"/>
    <xf numFmtId="2" fontId="0" fillId="3" borderId="22" xfId="0" applyNumberFormat="1" applyFill="1" applyBorder="1"/>
    <xf numFmtId="14" fontId="0" fillId="3" borderId="23" xfId="0" applyNumberFormat="1" applyFill="1" applyBorder="1"/>
    <xf numFmtId="2" fontId="0" fillId="3" borderId="25" xfId="0" applyNumberFormat="1" applyFill="1" applyBorder="1"/>
    <xf numFmtId="165" fontId="0" fillId="3" borderId="22" xfId="0" applyNumberFormat="1" applyFill="1" applyBorder="1"/>
    <xf numFmtId="165" fontId="0" fillId="3" borderId="25" xfId="0" applyNumberFormat="1" applyFill="1" applyBorder="1"/>
    <xf numFmtId="0" fontId="2" fillId="2" borderId="1" xfId="2"/>
    <xf numFmtId="0" fontId="2" fillId="2" borderId="1" xfId="2" applyAlignment="1">
      <alignment horizontal="right"/>
    </xf>
    <xf numFmtId="1" fontId="2" fillId="2" borderId="1" xfId="2" applyNumberFormat="1"/>
    <xf numFmtId="0" fontId="2" fillId="2" borderId="1" xfId="2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2" fontId="0" fillId="0" borderId="0" xfId="0" applyNumberFormat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" fontId="0" fillId="0" borderId="0" xfId="0" applyNumberFormat="1"/>
    <xf numFmtId="0" fontId="11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11" fontId="11" fillId="0" borderId="0" xfId="0" applyNumberFormat="1" applyFont="1" applyProtection="1">
      <protection locked="0"/>
    </xf>
    <xf numFmtId="14" fontId="11" fillId="0" borderId="0" xfId="0" applyNumberFormat="1" applyFont="1" applyProtection="1">
      <protection locked="0"/>
    </xf>
    <xf numFmtId="0" fontId="10" fillId="0" borderId="0" xfId="0" applyFont="1"/>
    <xf numFmtId="0" fontId="13" fillId="0" borderId="0" xfId="0" applyFont="1"/>
    <xf numFmtId="0" fontId="16" fillId="0" borderId="35" xfId="0" applyFont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37" xfId="0" applyBorder="1" applyAlignment="1">
      <alignment wrapText="1"/>
    </xf>
    <xf numFmtId="0" fontId="1" fillId="4" borderId="0" xfId="4"/>
    <xf numFmtId="0" fontId="1" fillId="4" borderId="35" xfId="4" applyBorder="1" applyAlignment="1">
      <alignment horizontal="center"/>
    </xf>
    <xf numFmtId="0" fontId="1" fillId="5" borderId="35" xfId="5" applyBorder="1" applyAlignment="1">
      <alignment horizontal="center"/>
    </xf>
    <xf numFmtId="0" fontId="1" fillId="5" borderId="0" xfId="5"/>
    <xf numFmtId="0" fontId="17" fillId="0" borderId="0" xfId="0" applyFont="1" applyAlignment="1">
      <alignment horizontal="left" vertical="top" wrapText="1"/>
    </xf>
    <xf numFmtId="0" fontId="0" fillId="4" borderId="0" xfId="4" applyFont="1"/>
    <xf numFmtId="0" fontId="0" fillId="5" borderId="35" xfId="5" applyFont="1" applyBorder="1" applyAlignment="1">
      <alignment horizontal="center"/>
    </xf>
    <xf numFmtId="0" fontId="1" fillId="4" borderId="0" xfId="4" applyAlignment="1">
      <alignment wrapText="1"/>
    </xf>
    <xf numFmtId="0" fontId="1" fillId="4" borderId="35" xfId="4" applyBorder="1" applyAlignment="1">
      <alignment horizontal="center" wrapText="1"/>
    </xf>
    <xf numFmtId="9" fontId="0" fillId="0" borderId="0" xfId="1" applyFont="1"/>
    <xf numFmtId="0" fontId="7" fillId="0" borderId="0" xfId="0" applyFont="1"/>
    <xf numFmtId="167" fontId="0" fillId="0" borderId="0" xfId="0" applyNumberFormat="1"/>
    <xf numFmtId="14" fontId="0" fillId="0" borderId="0" xfId="3" applyNumberFormat="1" applyFont="1" applyAlignment="1">
      <alignment horizontal="right" vertical="top"/>
    </xf>
    <xf numFmtId="0" fontId="0" fillId="0" borderId="0" xfId="1" applyNumberFormat="1" applyFont="1"/>
    <xf numFmtId="167" fontId="9" fillId="0" borderId="0" xfId="0" applyNumberFormat="1" applyFont="1" applyAlignment="1">
      <alignment horizontal="left" vertical="top" wrapText="1"/>
    </xf>
    <xf numFmtId="3" fontId="0" fillId="0" borderId="0" xfId="0" applyNumberFormat="1"/>
    <xf numFmtId="0" fontId="0" fillId="3" borderId="18" xfId="3" applyFont="1" applyFill="1" applyBorder="1" applyAlignment="1">
      <alignment horizontal="center"/>
    </xf>
    <xf numFmtId="0" fontId="0" fillId="3" borderId="19" xfId="3" applyFont="1" applyFill="1" applyBorder="1" applyAlignment="1">
      <alignment horizontal="center"/>
    </xf>
    <xf numFmtId="0" fontId="0" fillId="3" borderId="20" xfId="3" applyFont="1" applyFill="1" applyBorder="1" applyAlignment="1">
      <alignment horizontal="center"/>
    </xf>
    <xf numFmtId="0" fontId="0" fillId="3" borderId="18" xfId="3" applyFont="1" applyFill="1" applyBorder="1" applyAlignment="1">
      <alignment horizontal="center" vertical="top"/>
    </xf>
    <xf numFmtId="0" fontId="0" fillId="3" borderId="20" xfId="3" applyFont="1" applyFill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horizontal="left" vertical="top" wrapText="1"/>
    </xf>
  </cellXfs>
  <cellStyles count="6">
    <cellStyle name="20% - Accent1" xfId="4" builtinId="30"/>
    <cellStyle name="40% - Accent1" xfId="5" builtinId="31"/>
    <cellStyle name="Check Cell" xfId="2" builtinId="23"/>
    <cellStyle name="Normal" xfId="0" builtinId="0"/>
    <cellStyle name="Normal 2 2" xfId="3" xr:uid="{0B60E7A2-CA3F-4132-932E-A9EE041BD7F9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count and viability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85787401574803"/>
          <c:y val="0.12729310024854826"/>
          <c:w val="0.76222165354330706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CellCount_Viability!$E$1</c:f>
              <c:strCache>
                <c:ptCount val="1"/>
                <c:pt idx="0">
                  <c:v>1 Total cells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CellCount_Viability!$E$2:$E$21</c:f>
              <c:numCache>
                <c:formatCode>0.00E+00</c:formatCode>
                <c:ptCount val="20"/>
                <c:pt idx="0">
                  <c:v>5100000</c:v>
                </c:pt>
                <c:pt idx="1">
                  <c:v>13200000</c:v>
                </c:pt>
                <c:pt idx="2">
                  <c:v>31720000</c:v>
                </c:pt>
                <c:pt idx="3">
                  <c:v>38120000</c:v>
                </c:pt>
                <c:pt idx="4">
                  <c:v>36940000</c:v>
                </c:pt>
                <c:pt idx="5">
                  <c:v>41580000</c:v>
                </c:pt>
                <c:pt idx="6">
                  <c:v>45580000</c:v>
                </c:pt>
                <c:pt idx="7">
                  <c:v>47460000</c:v>
                </c:pt>
                <c:pt idx="8">
                  <c:v>47180000</c:v>
                </c:pt>
                <c:pt idx="9">
                  <c:v>48160000</c:v>
                </c:pt>
                <c:pt idx="10">
                  <c:v>39780000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 formatCode="General">
                  <c:v>#N/A</c:v>
                </c:pt>
                <c:pt idx="16" formatCode="General">
                  <c:v>#N/A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B-43DA-92AA-0543BD8E43DB}"/>
            </c:ext>
          </c:extLst>
        </c:ser>
        <c:ser>
          <c:idx val="2"/>
          <c:order val="1"/>
          <c:tx>
            <c:strRef>
              <c:f>CellCount_Viability!$H$1</c:f>
              <c:strCache>
                <c:ptCount val="1"/>
                <c:pt idx="0">
                  <c:v>2 Total cells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CellCount_Viability!$H$2:$H$21</c:f>
              <c:numCache>
                <c:formatCode>0.00E+00</c:formatCode>
                <c:ptCount val="20"/>
                <c:pt idx="0">
                  <c:v>4560000</c:v>
                </c:pt>
                <c:pt idx="1">
                  <c:v>14200000</c:v>
                </c:pt>
                <c:pt idx="2">
                  <c:v>26660000</c:v>
                </c:pt>
                <c:pt idx="3">
                  <c:v>34860000</c:v>
                </c:pt>
                <c:pt idx="4">
                  <c:v>39160000</c:v>
                </c:pt>
                <c:pt idx="5">
                  <c:v>37100000</c:v>
                </c:pt>
                <c:pt idx="6">
                  <c:v>43140000</c:v>
                </c:pt>
                <c:pt idx="7">
                  <c:v>48560000</c:v>
                </c:pt>
                <c:pt idx="8">
                  <c:v>45060000</c:v>
                </c:pt>
                <c:pt idx="9">
                  <c:v>47520000</c:v>
                </c:pt>
                <c:pt idx="10">
                  <c:v>38660000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 formatCode="General">
                  <c:v>#N/A</c:v>
                </c:pt>
                <c:pt idx="16" formatCode="General">
                  <c:v>#N/A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3B-43DA-92AA-0543BD8E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scatterChart>
        <c:scatterStyle val="lineMarker"/>
        <c:varyColors val="0"/>
        <c:ser>
          <c:idx val="1"/>
          <c:order val="2"/>
          <c:tx>
            <c:strRef>
              <c:f>CellCount_Viability!$F$1</c:f>
              <c:strCache>
                <c:ptCount val="1"/>
                <c:pt idx="0">
                  <c:v>1 Viability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CellCount_Viability!$F$2:$F$21</c:f>
              <c:numCache>
                <c:formatCode>0.0%</c:formatCode>
                <c:ptCount val="20"/>
                <c:pt idx="0">
                  <c:v>0.99215686274509807</c:v>
                </c:pt>
                <c:pt idx="1">
                  <c:v>0.99590909090909085</c:v>
                </c:pt>
                <c:pt idx="2">
                  <c:v>0.99268600252206807</c:v>
                </c:pt>
                <c:pt idx="3">
                  <c:v>0.98934942287513117</c:v>
                </c:pt>
                <c:pt idx="4">
                  <c:v>0.99220357336220899</c:v>
                </c:pt>
                <c:pt idx="5">
                  <c:v>0.99086099086099089</c:v>
                </c:pt>
                <c:pt idx="6">
                  <c:v>0.99539271610355418</c:v>
                </c:pt>
                <c:pt idx="7">
                  <c:v>0.9811630847029077</c:v>
                </c:pt>
                <c:pt idx="8">
                  <c:v>0.97668503603221701</c:v>
                </c:pt>
                <c:pt idx="9">
                  <c:v>0.98592192691029901</c:v>
                </c:pt>
                <c:pt idx="10">
                  <c:v>0.98335847159376566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B-43DA-92AA-0543BD8E43DB}"/>
            </c:ext>
          </c:extLst>
        </c:ser>
        <c:ser>
          <c:idx val="3"/>
          <c:order val="3"/>
          <c:tx>
            <c:strRef>
              <c:f>CellCount_Viability!$I$1</c:f>
              <c:strCache>
                <c:ptCount val="1"/>
                <c:pt idx="0">
                  <c:v>2 Viability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CellCount_Viability!$I$2:$I$21</c:f>
              <c:numCache>
                <c:formatCode>0.0%</c:formatCode>
                <c:ptCount val="20"/>
                <c:pt idx="0">
                  <c:v>0.99298245614035086</c:v>
                </c:pt>
                <c:pt idx="1">
                  <c:v>0.99563380281690139</c:v>
                </c:pt>
                <c:pt idx="2">
                  <c:v>0.99699924981245314</c:v>
                </c:pt>
                <c:pt idx="3">
                  <c:v>0.99454962707974759</c:v>
                </c:pt>
                <c:pt idx="4">
                  <c:v>0.99269662921348312</c:v>
                </c:pt>
                <c:pt idx="5">
                  <c:v>0.99401617250673857</c:v>
                </c:pt>
                <c:pt idx="6">
                  <c:v>0.99582753824756609</c:v>
                </c:pt>
                <c:pt idx="7">
                  <c:v>0.98789126853377263</c:v>
                </c:pt>
                <c:pt idx="8">
                  <c:v>0.98761651131824235</c:v>
                </c:pt>
                <c:pt idx="9">
                  <c:v>0.98417508417508415</c:v>
                </c:pt>
                <c:pt idx="10">
                  <c:v>0.97594412829798238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B-43DA-92AA-0543BD8E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160159"/>
        <c:axId val="186515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Cell count (cells/mL)</a:t>
                </a:r>
              </a:p>
            </c:rich>
          </c:tx>
          <c:layout>
            <c:manualLayout>
              <c:xMode val="edge"/>
              <c:yMode val="edge"/>
              <c:x val="1.3692519685039367E-2"/>
              <c:y val="0.33601890497744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  <c:valAx>
        <c:axId val="186515727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65160159"/>
        <c:crosses val="max"/>
        <c:crossBetween val="midCat"/>
      </c:valAx>
      <c:valAx>
        <c:axId val="1865160159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65157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58356250344371"/>
          <c:y val="0.3321889501051985"/>
          <c:w val="0.1478012096079051"/>
          <c:h val="0.23225946196818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Attenuation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900264550264572E-2"/>
          <c:y val="0.12729310024854826"/>
          <c:w val="0.79917936507936504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Attenuation!$D$1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Attenuation!$B$3:$B$22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 formatCode="0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Attenuation!$D$3:$D$22</c:f>
              <c:numCache>
                <c:formatCode>General</c:formatCode>
                <c:ptCount val="20"/>
                <c:pt idx="0">
                  <c:v>18.14</c:v>
                </c:pt>
                <c:pt idx="1">
                  <c:v>16.600000000000001</c:v>
                </c:pt>
                <c:pt idx="2">
                  <c:v>13.562999999999999</c:v>
                </c:pt>
                <c:pt idx="3">
                  <c:v>11.933999999999999</c:v>
                </c:pt>
                <c:pt idx="4">
                  <c:v>8.6449999999999996</c:v>
                </c:pt>
                <c:pt idx="5">
                  <c:v>6.9579999999999993</c:v>
                </c:pt>
                <c:pt idx="6">
                  <c:v>5.9159999999999995</c:v>
                </c:pt>
                <c:pt idx="7">
                  <c:v>5.096000000000001</c:v>
                </c:pt>
                <c:pt idx="8">
                  <c:v>4.0589999999999993</c:v>
                </c:pt>
                <c:pt idx="9">
                  <c:v>4.0330000000000004</c:v>
                </c:pt>
                <c:pt idx="10">
                  <c:v>3.1349999999999998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35-4968-92CB-52DF8AF0A87A}"/>
            </c:ext>
          </c:extLst>
        </c:ser>
        <c:ser>
          <c:idx val="2"/>
          <c:order val="1"/>
          <c:tx>
            <c:strRef>
              <c:f>Attenuation!$E$1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Attenuation!$B$3:$B$22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 formatCode="0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Attenuation!$E$3:$E$22</c:f>
              <c:numCache>
                <c:formatCode>General</c:formatCode>
                <c:ptCount val="20"/>
                <c:pt idx="0">
                  <c:v>17.225999999999999</c:v>
                </c:pt>
                <c:pt idx="1">
                  <c:v>16.932000000000002</c:v>
                </c:pt>
                <c:pt idx="2">
                  <c:v>15.400000000000002</c:v>
                </c:pt>
                <c:pt idx="3">
                  <c:v>12.167999999999999</c:v>
                </c:pt>
                <c:pt idx="4">
                  <c:v>9.0090000000000003</c:v>
                </c:pt>
                <c:pt idx="5">
                  <c:v>6.9579999999999993</c:v>
                </c:pt>
                <c:pt idx="6">
                  <c:v>5.51</c:v>
                </c:pt>
                <c:pt idx="7">
                  <c:v>5.3410000000000011</c:v>
                </c:pt>
                <c:pt idx="8">
                  <c:v>4.1819999999999995</c:v>
                </c:pt>
                <c:pt idx="9">
                  <c:v>3.7800000000000002</c:v>
                </c:pt>
                <c:pt idx="10">
                  <c:v>3.1349999999999998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35-4968-92CB-52DF8AF0A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Attenuation</a:t>
                </a:r>
                <a:r>
                  <a:rPr lang="nl-NL" sz="1200" baseline="0"/>
                  <a:t> (</a:t>
                </a:r>
                <a:r>
                  <a:rPr lang="nl-NL" sz="1200" baseline="0">
                    <a:latin typeface="Arial" panose="020B0604020202020204" pitchFamily="34" charset="0"/>
                    <a:cs typeface="Arial" panose="020B0604020202020204" pitchFamily="34" charset="0"/>
                  </a:rPr>
                  <a:t>°P)</a:t>
                </a:r>
                <a:endParaRPr lang="nl-NL" sz="1200"/>
              </a:p>
            </c:rich>
          </c:tx>
          <c:layout>
            <c:manualLayout>
              <c:xMode val="edge"/>
              <c:yMode val="edge"/>
              <c:x val="1.7052211436161424E-2"/>
              <c:y val="0.310596337142572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165436438969913"/>
          <c:y val="0.11344112568321607"/>
          <c:w val="8.5781651655025215E-2"/>
          <c:h val="0.21776033564996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</a:p>
        </c:rich>
      </c:tx>
      <c:layout>
        <c:manualLayout>
          <c:xMode val="edge"/>
          <c:yMode val="edge"/>
          <c:x val="0.44326986050546491"/>
          <c:y val="2.11480152920687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900264550264572E-2"/>
          <c:y val="0.12729310024854826"/>
          <c:w val="0.79917936507936504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pH!$D$3:$D$22</c:f>
              <c:numCache>
                <c:formatCode>General</c:formatCode>
                <c:ptCount val="20"/>
                <c:pt idx="0">
                  <c:v>5.5440000000000005</c:v>
                </c:pt>
                <c:pt idx="1">
                  <c:v>4.79</c:v>
                </c:pt>
                <c:pt idx="2">
                  <c:v>4.5738000000000003</c:v>
                </c:pt>
                <c:pt idx="3">
                  <c:v>4.6002000000000001</c:v>
                </c:pt>
                <c:pt idx="4">
                  <c:v>4.1704999999999997</c:v>
                </c:pt>
                <c:pt idx="5">
                  <c:v>4.3022</c:v>
                </c:pt>
                <c:pt idx="6">
                  <c:v>4.4573999999999998</c:v>
                </c:pt>
                <c:pt idx="7">
                  <c:v>4.5448000000000004</c:v>
                </c:pt>
                <c:pt idx="8">
                  <c:v>4.3559999999999999</c:v>
                </c:pt>
                <c:pt idx="9">
                  <c:v>4.8069000000000006</c:v>
                </c:pt>
                <c:pt idx="10">
                  <c:v>4.2084999999999999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B7-40EA-9E86-D7304B6916CA}"/>
            </c:ext>
          </c:extLst>
        </c:ser>
        <c:ser>
          <c:idx val="2"/>
          <c:order val="1"/>
          <c:tx>
            <c:strRef>
              <c:f>pH!$E$1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pH!$E$3:$E$22</c:f>
              <c:numCache>
                <c:formatCode>General</c:formatCode>
                <c:ptCount val="20"/>
                <c:pt idx="0">
                  <c:v>4.9598999999999993</c:v>
                </c:pt>
                <c:pt idx="1">
                  <c:v>4.8857999999999997</c:v>
                </c:pt>
                <c:pt idx="2">
                  <c:v>5.0599999999999996</c:v>
                </c:pt>
                <c:pt idx="3">
                  <c:v>4.68</c:v>
                </c:pt>
                <c:pt idx="4">
                  <c:v>4.3559999999999999</c:v>
                </c:pt>
                <c:pt idx="5">
                  <c:v>4.2923999999999998</c:v>
                </c:pt>
                <c:pt idx="6">
                  <c:v>4.1514999999999995</c:v>
                </c:pt>
                <c:pt idx="7">
                  <c:v>4.7850999999999999</c:v>
                </c:pt>
                <c:pt idx="8">
                  <c:v>4.4982000000000006</c:v>
                </c:pt>
                <c:pt idx="9">
                  <c:v>4.6514999999999995</c:v>
                </c:pt>
                <c:pt idx="10">
                  <c:v>4.218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B7-40EA-9E86-D7304B691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pH</a:t>
                </a:r>
              </a:p>
            </c:rich>
          </c:tx>
          <c:layout>
            <c:manualLayout>
              <c:xMode val="edge"/>
              <c:yMode val="edge"/>
              <c:x val="2.0413467296119734E-2"/>
              <c:y val="0.462157125313091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165436438969913"/>
          <c:y val="0.11344112568321607"/>
          <c:w val="0.11269383714269632"/>
          <c:h val="0.21776033564996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Cone viability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7057866790510984"/>
          <c:y val="0.15782407407407409"/>
          <c:w val="0.7222604986876640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Cone_viability!$D$1</c:f>
              <c:strCache>
                <c:ptCount val="1"/>
                <c:pt idx="0">
                  <c:v>1 Viability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Cone_viability!$F$2</c:f>
                <c:numCache>
                  <c:formatCode>General</c:formatCode>
                  <c:ptCount val="1"/>
                  <c:pt idx="0">
                    <c:v>4.8546825328814776E-2</c:v>
                  </c:pt>
                </c:numCache>
              </c:numRef>
            </c:plus>
            <c:minus>
              <c:numRef>
                <c:f>Cone_viability!$F$2</c:f>
                <c:numCache>
                  <c:formatCode>General</c:formatCode>
                  <c:ptCount val="1"/>
                  <c:pt idx="0">
                    <c:v>4.8546825328814776E-2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Cone_viability!$E$2</c:f>
              <c:numCache>
                <c:formatCode>0.0%</c:formatCode>
                <c:ptCount val="1"/>
                <c:pt idx="0">
                  <c:v>0.87485252359553467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2-4D27-AAE1-DB7E340A5B15}"/>
            </c:ext>
          </c:extLst>
        </c:ser>
        <c:ser>
          <c:idx val="1"/>
          <c:order val="1"/>
          <c:tx>
            <c:strRef>
              <c:f>Cone_viability!$I$1</c:f>
              <c:strCache>
                <c:ptCount val="1"/>
                <c:pt idx="0">
                  <c:v>2 Viability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Cone_viability!$K$2</c:f>
                <c:numCache>
                  <c:formatCode>General</c:formatCode>
                  <c:ptCount val="1"/>
                  <c:pt idx="0">
                    <c:v>9.4592239613835675E-3</c:v>
                  </c:pt>
                </c:numCache>
              </c:numRef>
            </c:plus>
            <c:minus>
              <c:numRef>
                <c:f>Cone_viability!$K$2</c:f>
                <c:numCache>
                  <c:formatCode>General</c:formatCode>
                  <c:ptCount val="1"/>
                  <c:pt idx="0">
                    <c:v>9.4592239613835675E-3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Cone_viability!$J$2</c:f>
              <c:numCache>
                <c:formatCode>0.0%</c:formatCode>
                <c:ptCount val="1"/>
                <c:pt idx="0">
                  <c:v>0.88226120857699808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2-4D27-AAE1-DB7E340A5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850703"/>
        <c:axId val="1324851183"/>
      </c:barChart>
      <c:catAx>
        <c:axId val="132485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851183"/>
        <c:crosses val="autoZero"/>
        <c:auto val="1"/>
        <c:lblAlgn val="ctr"/>
        <c:lblOffset val="100"/>
        <c:noMultiLvlLbl val="0"/>
      </c:catAx>
      <c:valAx>
        <c:axId val="1324851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81386701662285"/>
          <c:y val="1.0045567220764046E-2"/>
          <c:w val="0.1784566787887759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Metabolites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7200008100839248"/>
          <c:h val="0.7278177385367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HPLC!$D$1</c:f>
              <c:strCache>
                <c:ptCount val="1"/>
                <c:pt idx="0">
                  <c:v>1 Maltotriose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HPLC!$P$2:$P$15</c:f>
                <c:numCache>
                  <c:formatCode>General</c:formatCode>
                  <c:ptCount val="14"/>
                  <c:pt idx="0">
                    <c:v>1.0641096889600579</c:v>
                  </c:pt>
                  <c:pt idx="1">
                    <c:v>0.33988551842266818</c:v>
                  </c:pt>
                  <c:pt idx="2">
                    <c:v>0.44199435780983182</c:v>
                  </c:pt>
                  <c:pt idx="3">
                    <c:v>1.2046561102075533</c:v>
                  </c:pt>
                  <c:pt idx="4">
                    <c:v>0.482917986564941</c:v>
                  </c:pt>
                  <c:pt idx="5">
                    <c:v>2.8693837292548437E-2</c:v>
                  </c:pt>
                  <c:pt idx="6">
                    <c:v>6.9411191327173702E-2</c:v>
                  </c:pt>
                  <c:pt idx="7">
                    <c:v>6.1816119233256361E-2</c:v>
                  </c:pt>
                  <c:pt idx="8">
                    <c:v>7.9760341425881929E-3</c:v>
                  </c:pt>
                  <c:pt idx="9">
                    <c:v>0.13291376164355032</c:v>
                  </c:pt>
                  <c:pt idx="10">
                    <c:v>0.2675139743702209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HPLC!$P$2:$P$15</c:f>
                <c:numCache>
                  <c:formatCode>General</c:formatCode>
                  <c:ptCount val="14"/>
                  <c:pt idx="0">
                    <c:v>1.0641096889600579</c:v>
                  </c:pt>
                  <c:pt idx="1">
                    <c:v>0.33988551842266818</c:v>
                  </c:pt>
                  <c:pt idx="2">
                    <c:v>0.44199435780983182</c:v>
                  </c:pt>
                  <c:pt idx="3">
                    <c:v>1.2046561102075533</c:v>
                  </c:pt>
                  <c:pt idx="4">
                    <c:v>0.482917986564941</c:v>
                  </c:pt>
                  <c:pt idx="5">
                    <c:v>2.8693837292548437E-2</c:v>
                  </c:pt>
                  <c:pt idx="6">
                    <c:v>6.9411191327173702E-2</c:v>
                  </c:pt>
                  <c:pt idx="7">
                    <c:v>6.1816119233256361E-2</c:v>
                  </c:pt>
                  <c:pt idx="8">
                    <c:v>7.9760341425881929E-3</c:v>
                  </c:pt>
                  <c:pt idx="9">
                    <c:v>0.13291376164355032</c:v>
                  </c:pt>
                  <c:pt idx="10">
                    <c:v>0.2675139743702209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HPLC!$D$2:$D$21</c:f>
              <c:numCache>
                <c:formatCode>General</c:formatCode>
                <c:ptCount val="20"/>
                <c:pt idx="0">
                  <c:v>26.395318363345332</c:v>
                </c:pt>
                <c:pt idx="1">
                  <c:v>24.795929932294332</c:v>
                </c:pt>
                <c:pt idx="2">
                  <c:v>20.29964907297142</c:v>
                </c:pt>
                <c:pt idx="3">
                  <c:v>13.224794516389029</c:v>
                </c:pt>
                <c:pt idx="4">
                  <c:v>7.0990219279978355</c:v>
                </c:pt>
                <c:pt idx="5">
                  <c:v>4.3032421494959445</c:v>
                </c:pt>
                <c:pt idx="6">
                  <c:v>3.5706198813003587</c:v>
                </c:pt>
                <c:pt idx="7">
                  <c:v>3.3748959079827876</c:v>
                </c:pt>
                <c:pt idx="8">
                  <c:v>3.41296659725006</c:v>
                </c:pt>
                <c:pt idx="9">
                  <c:v>3.425169533057483</c:v>
                </c:pt>
                <c:pt idx="10">
                  <c:v>3.3299928098893021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A-4FEB-823E-BDC8E60082F8}"/>
            </c:ext>
          </c:extLst>
        </c:ser>
        <c:ser>
          <c:idx val="1"/>
          <c:order val="1"/>
          <c:tx>
            <c:strRef>
              <c:f>HPLC!$E$1</c:f>
              <c:strCache>
                <c:ptCount val="1"/>
                <c:pt idx="0">
                  <c:v>1 Maltose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HPLC!$Q$2:$Q$15</c:f>
                <c:numCache>
                  <c:formatCode>General</c:formatCode>
                  <c:ptCount val="14"/>
                  <c:pt idx="0">
                    <c:v>0.22421941138702314</c:v>
                  </c:pt>
                  <c:pt idx="1">
                    <c:v>2.1213203435596424</c:v>
                  </c:pt>
                  <c:pt idx="2">
                    <c:v>2.1213203435596424</c:v>
                  </c:pt>
                  <c:pt idx="3">
                    <c:v>0.70710678118654757</c:v>
                  </c:pt>
                  <c:pt idx="4">
                    <c:v>0.70710678118654757</c:v>
                  </c:pt>
                  <c:pt idx="5">
                    <c:v>2.8284271247461903</c:v>
                  </c:pt>
                  <c:pt idx="6">
                    <c:v>0.21213203435596412</c:v>
                  </c:pt>
                  <c:pt idx="7">
                    <c:v>7.0710678118654821E-2</c:v>
                  </c:pt>
                  <c:pt idx="8">
                    <c:v>8.9335186896145821E-3</c:v>
                  </c:pt>
                  <c:pt idx="9">
                    <c:v>8.5771960068381659E-3</c:v>
                  </c:pt>
                  <c:pt idx="10">
                    <c:v>8.3099539947555402E-3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HPLC!$Q$2:$Q$15</c:f>
                <c:numCache>
                  <c:formatCode>General</c:formatCode>
                  <c:ptCount val="14"/>
                  <c:pt idx="0">
                    <c:v>0.22421941138702314</c:v>
                  </c:pt>
                  <c:pt idx="1">
                    <c:v>2.1213203435596424</c:v>
                  </c:pt>
                  <c:pt idx="2">
                    <c:v>2.1213203435596424</c:v>
                  </c:pt>
                  <c:pt idx="3">
                    <c:v>0.70710678118654757</c:v>
                  </c:pt>
                  <c:pt idx="4">
                    <c:v>0.70710678118654757</c:v>
                  </c:pt>
                  <c:pt idx="5">
                    <c:v>2.8284271247461903</c:v>
                  </c:pt>
                  <c:pt idx="6">
                    <c:v>0.21213203435596412</c:v>
                  </c:pt>
                  <c:pt idx="7">
                    <c:v>7.0710678118654821E-2</c:v>
                  </c:pt>
                  <c:pt idx="8">
                    <c:v>8.9335186896145821E-3</c:v>
                  </c:pt>
                  <c:pt idx="9">
                    <c:v>8.5771960068381659E-3</c:v>
                  </c:pt>
                  <c:pt idx="10">
                    <c:v>8.3099539947555402E-3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HPLC!$E$2:$E$21</c:f>
              <c:numCache>
                <c:formatCode>General</c:formatCode>
                <c:ptCount val="20"/>
                <c:pt idx="0">
                  <c:v>87.112841742761532</c:v>
                </c:pt>
                <c:pt idx="1">
                  <c:v>76.5</c:v>
                </c:pt>
                <c:pt idx="2">
                  <c:v>66.5</c:v>
                </c:pt>
                <c:pt idx="3">
                  <c:v>47.5</c:v>
                </c:pt>
                <c:pt idx="4">
                  <c:v>30.5</c:v>
                </c:pt>
                <c:pt idx="5">
                  <c:v>17</c:v>
                </c:pt>
                <c:pt idx="6">
                  <c:v>4.3499999999999996</c:v>
                </c:pt>
                <c:pt idx="7">
                  <c:v>3.45</c:v>
                </c:pt>
                <c:pt idx="8">
                  <c:v>3.4708154615174065</c:v>
                </c:pt>
                <c:pt idx="9">
                  <c:v>3.3323783775822395</c:v>
                </c:pt>
                <c:pt idx="10">
                  <c:v>3.2285505646308641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2A-4FEB-823E-BDC8E60082F8}"/>
            </c:ext>
          </c:extLst>
        </c:ser>
        <c:ser>
          <c:idx val="2"/>
          <c:order val="2"/>
          <c:tx>
            <c:strRef>
              <c:f>HPLC!$F$1</c:f>
              <c:strCache>
                <c:ptCount val="1"/>
                <c:pt idx="0">
                  <c:v>1 Glucose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HPLC!$R$2:$R$9</c:f>
                <c:numCache>
                  <c:formatCode>General</c:formatCode>
                  <c:ptCount val="8"/>
                  <c:pt idx="0">
                    <c:v>1.024272397978268</c:v>
                  </c:pt>
                  <c:pt idx="1">
                    <c:v>0.76189464498325654</c:v>
                  </c:pt>
                  <c:pt idx="2">
                    <c:v>0.72379991273409505</c:v>
                  </c:pt>
                  <c:pt idx="3">
                    <c:v>7.0710678118654821E-2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HPLC!$R$2:$R$9</c:f>
                <c:numCache>
                  <c:formatCode>General</c:formatCode>
                  <c:ptCount val="8"/>
                  <c:pt idx="0">
                    <c:v>1.024272397978268</c:v>
                  </c:pt>
                  <c:pt idx="1">
                    <c:v>0.76189464498325654</c:v>
                  </c:pt>
                  <c:pt idx="2">
                    <c:v>0.72379991273409505</c:v>
                  </c:pt>
                  <c:pt idx="3">
                    <c:v>7.0710678118654821E-2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HPLC!$F$2:$F$21</c:f>
              <c:numCache>
                <c:formatCode>General</c:formatCode>
                <c:ptCount val="20"/>
                <c:pt idx="0">
                  <c:v>20.024022787837112</c:v>
                </c:pt>
                <c:pt idx="1">
                  <c:v>14.894666460981304</c:v>
                </c:pt>
                <c:pt idx="2">
                  <c:v>14.149933137932237</c:v>
                </c:pt>
                <c:pt idx="3">
                  <c:v>2.1500000000000004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2A-4FEB-823E-BDC8E60082F8}"/>
            </c:ext>
          </c:extLst>
        </c:ser>
        <c:ser>
          <c:idx val="3"/>
          <c:order val="3"/>
          <c:tx>
            <c:strRef>
              <c:f>HPLC!$G$1</c:f>
              <c:strCache>
                <c:ptCount val="1"/>
                <c:pt idx="0">
                  <c:v>1 Fructose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HPLC!$G$2:$G$21</c:f>
              <c:numCache>
                <c:formatCode>General</c:formatCode>
                <c:ptCount val="20"/>
                <c:pt idx="0">
                  <c:v>7.6354279387186708</c:v>
                </c:pt>
                <c:pt idx="1">
                  <c:v>6.186113410695893</c:v>
                </c:pt>
                <c:pt idx="2">
                  <c:v>5.8768077401610981</c:v>
                </c:pt>
                <c:pt idx="3">
                  <c:v>2.2999999999999998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2A-4FEB-823E-BDC8E60082F8}"/>
            </c:ext>
          </c:extLst>
        </c:ser>
        <c:ser>
          <c:idx val="4"/>
          <c:order val="4"/>
          <c:tx>
            <c:strRef>
              <c:f>HPLC!$H$1</c:f>
              <c:strCache>
                <c:ptCount val="1"/>
                <c:pt idx="0">
                  <c:v>1 Glycerol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HPLC!$T$2:$T$15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2.7697418705936151E-2</c:v>
                  </c:pt>
                  <c:pt idx="2">
                    <c:v>2.6312547770639374E-2</c:v>
                  </c:pt>
                  <c:pt idx="3">
                    <c:v>9.3598173557991146E-2</c:v>
                  </c:pt>
                  <c:pt idx="4">
                    <c:v>0.12225067566758029</c:v>
                  </c:pt>
                  <c:pt idx="5">
                    <c:v>0.14007889920243599</c:v>
                  </c:pt>
                  <c:pt idx="6">
                    <c:v>0.15536023366088306</c:v>
                  </c:pt>
                  <c:pt idx="7">
                    <c:v>0.15536023366088336</c:v>
                  </c:pt>
                  <c:pt idx="8">
                    <c:v>0.15918056727549521</c:v>
                  </c:pt>
                  <c:pt idx="9">
                    <c:v>0.15854384500639329</c:v>
                  </c:pt>
                  <c:pt idx="10">
                    <c:v>0.15663367819908719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HPLC!$T$2:$T$15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2.7697418705936151E-2</c:v>
                  </c:pt>
                  <c:pt idx="2">
                    <c:v>2.6312547770639374E-2</c:v>
                  </c:pt>
                  <c:pt idx="3">
                    <c:v>9.3598173557991146E-2</c:v>
                  </c:pt>
                  <c:pt idx="4">
                    <c:v>0.12225067566758029</c:v>
                  </c:pt>
                  <c:pt idx="5">
                    <c:v>0.14007889920243599</c:v>
                  </c:pt>
                  <c:pt idx="6">
                    <c:v>0.15536023366088306</c:v>
                  </c:pt>
                  <c:pt idx="7">
                    <c:v>0.15536023366088336</c:v>
                  </c:pt>
                  <c:pt idx="8">
                    <c:v>0.15918056727549521</c:v>
                  </c:pt>
                  <c:pt idx="9">
                    <c:v>0.15854384500639329</c:v>
                  </c:pt>
                  <c:pt idx="10">
                    <c:v>0.15663367819908719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HPLC!$H$2:$H$21</c:f>
              <c:numCache>
                <c:formatCode>General</c:formatCode>
                <c:ptCount val="20"/>
                <c:pt idx="0">
                  <c:v>0</c:v>
                </c:pt>
                <c:pt idx="1">
                  <c:v>0.44634277382437937</c:v>
                </c:pt>
                <c:pt idx="2">
                  <c:v>0.42402563513316044</c:v>
                </c:pt>
                <c:pt idx="3">
                  <c:v>1.5083307529237651</c:v>
                </c:pt>
                <c:pt idx="4">
                  <c:v>1.9700646568800195</c:v>
                </c:pt>
                <c:pt idx="5">
                  <c:v>2.2573657526750228</c:v>
                </c:pt>
                <c:pt idx="6">
                  <c:v>2.5036238347850244</c:v>
                </c:pt>
                <c:pt idx="7">
                  <c:v>2.5036238347850248</c:v>
                </c:pt>
                <c:pt idx="8">
                  <c:v>2.5651883553125252</c:v>
                </c:pt>
                <c:pt idx="9">
                  <c:v>2.5549276018912752</c:v>
                </c:pt>
                <c:pt idx="10">
                  <c:v>2.5241453416275248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2A-4FEB-823E-BDC8E60082F8}"/>
            </c:ext>
          </c:extLst>
        </c:ser>
        <c:ser>
          <c:idx val="5"/>
          <c:order val="5"/>
          <c:tx>
            <c:strRef>
              <c:f>HPLC!$I$1</c:f>
              <c:strCache>
                <c:ptCount val="1"/>
                <c:pt idx="0">
                  <c:v>1 Ethanol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HPLC!$U$2:$U$15</c:f>
                <c:numCache>
                  <c:formatCode>General</c:formatCode>
                  <c:ptCount val="14"/>
                  <c:pt idx="0">
                    <c:v>0.1847571560467553</c:v>
                  </c:pt>
                  <c:pt idx="1">
                    <c:v>0.21213203435596412</c:v>
                  </c:pt>
                  <c:pt idx="2">
                    <c:v>7.0710678118655765E-2</c:v>
                  </c:pt>
                  <c:pt idx="3">
                    <c:v>0.70710678118654757</c:v>
                  </c:pt>
                  <c:pt idx="4">
                    <c:v>7.0710678118655765E-2</c:v>
                  </c:pt>
                  <c:pt idx="5">
                    <c:v>0.56568542494923602</c:v>
                  </c:pt>
                  <c:pt idx="6">
                    <c:v>0.42426406871192951</c:v>
                  </c:pt>
                  <c:pt idx="7">
                    <c:v>0.35355339059327379</c:v>
                  </c:pt>
                  <c:pt idx="8">
                    <c:v>0.42426406871192951</c:v>
                  </c:pt>
                  <c:pt idx="9">
                    <c:v>0.70710678118654757</c:v>
                  </c:pt>
                  <c:pt idx="10">
                    <c:v>7.0710678118650741E-2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HPLC!$U$2:$U$15</c:f>
                <c:numCache>
                  <c:formatCode>General</c:formatCode>
                  <c:ptCount val="14"/>
                  <c:pt idx="0">
                    <c:v>0.1847571560467553</c:v>
                  </c:pt>
                  <c:pt idx="1">
                    <c:v>0.21213203435596412</c:v>
                  </c:pt>
                  <c:pt idx="2">
                    <c:v>7.0710678118655765E-2</c:v>
                  </c:pt>
                  <c:pt idx="3">
                    <c:v>0.70710678118654757</c:v>
                  </c:pt>
                  <c:pt idx="4">
                    <c:v>7.0710678118655765E-2</c:v>
                  </c:pt>
                  <c:pt idx="5">
                    <c:v>0.56568542494923602</c:v>
                  </c:pt>
                  <c:pt idx="6">
                    <c:v>0.42426406871192951</c:v>
                  </c:pt>
                  <c:pt idx="7">
                    <c:v>0.35355339059327379</c:v>
                  </c:pt>
                  <c:pt idx="8">
                    <c:v>0.42426406871192951</c:v>
                  </c:pt>
                  <c:pt idx="9">
                    <c:v>0.70710678118654757</c:v>
                  </c:pt>
                  <c:pt idx="10">
                    <c:v>7.0710678118650741E-2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HPLC!$I$2:$I$21</c:f>
              <c:numCache>
                <c:formatCode>General</c:formatCode>
                <c:ptCount val="20"/>
                <c:pt idx="0">
                  <c:v>0.63064303791340182</c:v>
                </c:pt>
                <c:pt idx="1">
                  <c:v>4.6500000000000004</c:v>
                </c:pt>
                <c:pt idx="2">
                  <c:v>22.05</c:v>
                </c:pt>
                <c:pt idx="3">
                  <c:v>28.5</c:v>
                </c:pt>
                <c:pt idx="4">
                  <c:v>34.950000000000003</c:v>
                </c:pt>
                <c:pt idx="5">
                  <c:v>51.4</c:v>
                </c:pt>
                <c:pt idx="6">
                  <c:v>55.3</c:v>
                </c:pt>
                <c:pt idx="7">
                  <c:v>61.75</c:v>
                </c:pt>
                <c:pt idx="8">
                  <c:v>63.2</c:v>
                </c:pt>
                <c:pt idx="9">
                  <c:v>65.5</c:v>
                </c:pt>
                <c:pt idx="10">
                  <c:v>66.75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2A-4FEB-823E-BDC8E6008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48462460710934"/>
          <c:y val="0.24383545333111359"/>
          <c:w val="0.19551537917677464"/>
          <c:h val="0.41666971798377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2 Metabolites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7200008100839248"/>
          <c:h val="0.7278177385367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HPLC!$J$1</c:f>
              <c:strCache>
                <c:ptCount val="1"/>
                <c:pt idx="0">
                  <c:v>2 Maltotriose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HPLC!$V$2:$V$15</c:f>
                <c:numCache>
                  <c:formatCode>General</c:formatCode>
                  <c:ptCount val="14"/>
                  <c:pt idx="0">
                    <c:v>2.4883572798522727E-2</c:v>
                  </c:pt>
                  <c:pt idx="1">
                    <c:v>9.2670899029716047E-3</c:v>
                  </c:pt>
                  <c:pt idx="2">
                    <c:v>1.6529704636877767</c:v>
                  </c:pt>
                  <c:pt idx="3">
                    <c:v>4.5957806543681097E-2</c:v>
                  </c:pt>
                  <c:pt idx="4">
                    <c:v>0.2837716185488427</c:v>
                  </c:pt>
                  <c:pt idx="5">
                    <c:v>0.17904932148455788</c:v>
                  </c:pt>
                  <c:pt idx="6">
                    <c:v>0.10745117248908781</c:v>
                  </c:pt>
                  <c:pt idx="7">
                    <c:v>0.1799949126234138</c:v>
                  </c:pt>
                  <c:pt idx="8">
                    <c:v>0.10561393920725834</c:v>
                  </c:pt>
                  <c:pt idx="9">
                    <c:v>0.24886418619408118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HPLC!$V$2:$V$15</c:f>
                <c:numCache>
                  <c:formatCode>General</c:formatCode>
                  <c:ptCount val="14"/>
                  <c:pt idx="0">
                    <c:v>2.4883572798522727E-2</c:v>
                  </c:pt>
                  <c:pt idx="1">
                    <c:v>9.2670899029716047E-3</c:v>
                  </c:pt>
                  <c:pt idx="2">
                    <c:v>1.6529704636877767</c:v>
                  </c:pt>
                  <c:pt idx="3">
                    <c:v>4.5957806543681097E-2</c:v>
                  </c:pt>
                  <c:pt idx="4">
                    <c:v>0.2837716185488427</c:v>
                  </c:pt>
                  <c:pt idx="5">
                    <c:v>0.17904932148455788</c:v>
                  </c:pt>
                  <c:pt idx="6">
                    <c:v>0.10745117248908781</c:v>
                  </c:pt>
                  <c:pt idx="7">
                    <c:v>0.1799949126234138</c:v>
                  </c:pt>
                  <c:pt idx="8">
                    <c:v>0.10561393920725834</c:v>
                  </c:pt>
                  <c:pt idx="9">
                    <c:v>0.24886418619408118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HPLC!$J$2:$J$21</c:f>
              <c:numCache>
                <c:formatCode>General</c:formatCode>
                <c:ptCount val="20"/>
                <c:pt idx="0">
                  <c:v>27.409750433649336</c:v>
                </c:pt>
                <c:pt idx="1">
                  <c:v>25.654638112920637</c:v>
                </c:pt>
                <c:pt idx="2">
                  <c:v>21.687294856621403</c:v>
                </c:pt>
                <c:pt idx="3">
                  <c:v>13.369501427875853</c:v>
                </c:pt>
                <c:pt idx="4">
                  <c:v>7.2795283760472831</c:v>
                </c:pt>
                <c:pt idx="5">
                  <c:v>4.4900483629569283</c:v>
                </c:pt>
                <c:pt idx="6">
                  <c:v>3.8718960757531198</c:v>
                </c:pt>
                <c:pt idx="7">
                  <c:v>3.8205999051715032</c:v>
                </c:pt>
                <c:pt idx="8">
                  <c:v>3.6654122733144496</c:v>
                </c:pt>
                <c:pt idx="9">
                  <c:v>3.3563361297125454</c:v>
                </c:pt>
                <c:pt idx="10">
                  <c:v>3.1803625760602392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C-46BC-B177-48DC7EE2FC65}"/>
            </c:ext>
          </c:extLst>
        </c:ser>
        <c:ser>
          <c:idx val="1"/>
          <c:order val="1"/>
          <c:tx>
            <c:strRef>
              <c:f>HPLC!$K$1</c:f>
              <c:strCache>
                <c:ptCount val="1"/>
                <c:pt idx="0">
                  <c:v>2 Maltose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HPLC!$W$2:$W$15</c:f>
                <c:numCache>
                  <c:formatCode>General</c:formatCode>
                  <c:ptCount val="14"/>
                  <c:pt idx="0">
                    <c:v>2.9344499145842287</c:v>
                  </c:pt>
                  <c:pt idx="1">
                    <c:v>0.70710678118654757</c:v>
                  </c:pt>
                  <c:pt idx="2">
                    <c:v>1.4142135623730951</c:v>
                  </c:pt>
                  <c:pt idx="3">
                    <c:v>1.4142135623730951</c:v>
                  </c:pt>
                  <c:pt idx="4">
                    <c:v>0.70710678118654757</c:v>
                  </c:pt>
                  <c:pt idx="5">
                    <c:v>2.1213203435596424</c:v>
                  </c:pt>
                  <c:pt idx="6">
                    <c:v>0</c:v>
                  </c:pt>
                  <c:pt idx="7">
                    <c:v>0.28284271247461895</c:v>
                  </c:pt>
                  <c:pt idx="8">
                    <c:v>0.11691656397414803</c:v>
                  </c:pt>
                  <c:pt idx="9">
                    <c:v>0.11225322524013624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HPLC!$W$2:$W$15</c:f>
                <c:numCache>
                  <c:formatCode>General</c:formatCode>
                  <c:ptCount val="14"/>
                  <c:pt idx="0">
                    <c:v>2.9344499145842287</c:v>
                  </c:pt>
                  <c:pt idx="1">
                    <c:v>0.70710678118654757</c:v>
                  </c:pt>
                  <c:pt idx="2">
                    <c:v>1.4142135623730951</c:v>
                  </c:pt>
                  <c:pt idx="3">
                    <c:v>1.4142135623730951</c:v>
                  </c:pt>
                  <c:pt idx="4">
                    <c:v>0.70710678118654757</c:v>
                  </c:pt>
                  <c:pt idx="5">
                    <c:v>2.1213203435596424</c:v>
                  </c:pt>
                  <c:pt idx="6">
                    <c:v>0</c:v>
                  </c:pt>
                  <c:pt idx="7">
                    <c:v>0.28284271247461895</c:v>
                  </c:pt>
                  <c:pt idx="8">
                    <c:v>0.11691656397414803</c:v>
                  </c:pt>
                  <c:pt idx="9">
                    <c:v>0.11225322524013624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HPLC!$K$2:$K$21</c:f>
              <c:numCache>
                <c:formatCode>General</c:formatCode>
                <c:ptCount val="20"/>
                <c:pt idx="0">
                  <c:v>85.490495820688153</c:v>
                </c:pt>
                <c:pt idx="1">
                  <c:v>69.5</c:v>
                </c:pt>
                <c:pt idx="2">
                  <c:v>63</c:v>
                </c:pt>
                <c:pt idx="3">
                  <c:v>46</c:v>
                </c:pt>
                <c:pt idx="4">
                  <c:v>31.5</c:v>
                </c:pt>
                <c:pt idx="5">
                  <c:v>16.5</c:v>
                </c:pt>
                <c:pt idx="6">
                  <c:v>4.0999999999999996</c:v>
                </c:pt>
                <c:pt idx="7">
                  <c:v>3.3</c:v>
                </c:pt>
                <c:pt idx="8">
                  <c:v>3.4061767332012121</c:v>
                </c:pt>
                <c:pt idx="9">
                  <c:v>3.2703178321618473</c:v>
                </c:pt>
                <c:pt idx="10">
                  <c:v>3.3496928489392088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C-46BC-B177-48DC7EE2FC65}"/>
            </c:ext>
          </c:extLst>
        </c:ser>
        <c:ser>
          <c:idx val="2"/>
          <c:order val="2"/>
          <c:tx>
            <c:strRef>
              <c:f>HPLC!$L$1</c:f>
              <c:strCache>
                <c:ptCount val="1"/>
                <c:pt idx="0">
                  <c:v>2 Glucose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HPLC!$X$2:$X$15</c:f>
                <c:numCache>
                  <c:formatCode>General</c:formatCode>
                  <c:ptCount val="14"/>
                  <c:pt idx="0">
                    <c:v>0.72084691779713583</c:v>
                  </c:pt>
                  <c:pt idx="1">
                    <c:v>0.5361946759537477</c:v>
                  </c:pt>
                  <c:pt idx="2">
                    <c:v>0.50938494215605967</c:v>
                  </c:pt>
                  <c:pt idx="3">
                    <c:v>0.35355339059327379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HPLC!$X$2:$X$15</c:f>
                <c:numCache>
                  <c:formatCode>General</c:formatCode>
                  <c:ptCount val="14"/>
                  <c:pt idx="0">
                    <c:v>0.72084691779713583</c:v>
                  </c:pt>
                  <c:pt idx="1">
                    <c:v>0.5361946759537477</c:v>
                  </c:pt>
                  <c:pt idx="2">
                    <c:v>0.50938494215605967</c:v>
                  </c:pt>
                  <c:pt idx="3">
                    <c:v>0.35355339059327379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HPLC!$L$2:$L$21</c:f>
              <c:numCache>
                <c:formatCode>General</c:formatCode>
                <c:ptCount val="20"/>
                <c:pt idx="0">
                  <c:v>20.163631642326322</c:v>
                </c:pt>
                <c:pt idx="1">
                  <c:v>14.998513092831903</c:v>
                </c:pt>
                <c:pt idx="2">
                  <c:v>14.248587438190306</c:v>
                </c:pt>
                <c:pt idx="3">
                  <c:v>2.25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EC-46BC-B177-48DC7EE2FC65}"/>
            </c:ext>
          </c:extLst>
        </c:ser>
        <c:ser>
          <c:idx val="3"/>
          <c:order val="3"/>
          <c:tx>
            <c:strRef>
              <c:f>HPLC!$M$1</c:f>
              <c:strCache>
                <c:ptCount val="1"/>
                <c:pt idx="0">
                  <c:v>2 Fructose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HPLC!$Y$2:$Y$15</c:f>
                <c:numCache>
                  <c:formatCode>General</c:formatCode>
                  <c:ptCount val="14"/>
                  <c:pt idx="0">
                    <c:v>2.7284247568509081E-2</c:v>
                  </c:pt>
                  <c:pt idx="1">
                    <c:v>2.2105303217964792E-2</c:v>
                  </c:pt>
                  <c:pt idx="2">
                    <c:v>2.1000038057066458E-2</c:v>
                  </c:pt>
                  <c:pt idx="3">
                    <c:v>0.14142135623730964</c:v>
                  </c:pt>
                  <c:pt idx="4">
                    <c:v>0.35355339059327379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HPLC!$Y$2:$Y$15</c:f>
                <c:numCache>
                  <c:formatCode>General</c:formatCode>
                  <c:ptCount val="14"/>
                  <c:pt idx="0">
                    <c:v>2.7284247568509081E-2</c:v>
                  </c:pt>
                  <c:pt idx="1">
                    <c:v>2.2105303217964792E-2</c:v>
                  </c:pt>
                  <c:pt idx="2">
                    <c:v>2.1000038057066458E-2</c:v>
                  </c:pt>
                  <c:pt idx="3">
                    <c:v>0.14142135623730964</c:v>
                  </c:pt>
                  <c:pt idx="4">
                    <c:v>0.35355339059327379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HPLC!$M$2:$M$21</c:f>
              <c:numCache>
                <c:formatCode>General</c:formatCode>
                <c:ptCount val="20"/>
                <c:pt idx="0">
                  <c:v>7.8494338021462404</c:v>
                </c:pt>
                <c:pt idx="1">
                  <c:v>6.3594978696079636</c:v>
                </c:pt>
                <c:pt idx="2">
                  <c:v>6.0415229761275659</c:v>
                </c:pt>
                <c:pt idx="3">
                  <c:v>2.4</c:v>
                </c:pt>
                <c:pt idx="4">
                  <c:v>1.25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C-46BC-B177-48DC7EE2FC65}"/>
            </c:ext>
          </c:extLst>
        </c:ser>
        <c:ser>
          <c:idx val="4"/>
          <c:order val="4"/>
          <c:tx>
            <c:strRef>
              <c:f>HPLC!$N$1</c:f>
              <c:strCache>
                <c:ptCount val="1"/>
                <c:pt idx="0">
                  <c:v>2 Glycerol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HPLC!$Z$2:$Z$15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1.2221704399322372E-2</c:v>
                  </c:pt>
                  <c:pt idx="2">
                    <c:v>1.1610619179356253E-2</c:v>
                  </c:pt>
                  <c:pt idx="3">
                    <c:v>4.1300932108054828E-2</c:v>
                  </c:pt>
                  <c:pt idx="4">
                    <c:v>5.3944074590112488E-2</c:v>
                  </c:pt>
                  <c:pt idx="5">
                    <c:v>6.1810918801170546E-2</c:v>
                  </c:pt>
                  <c:pt idx="6">
                    <c:v>6.8553928124934549E-2</c:v>
                  </c:pt>
                  <c:pt idx="7">
                    <c:v>6.8553928124934549E-2</c:v>
                  </c:pt>
                  <c:pt idx="8">
                    <c:v>7.0239680455875558E-2</c:v>
                  </c:pt>
                  <c:pt idx="9">
                    <c:v>6.9958721734051849E-2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HPLC!$Z$2:$Z$15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1.2221704399322372E-2</c:v>
                  </c:pt>
                  <c:pt idx="2">
                    <c:v>1.1610619179356253E-2</c:v>
                  </c:pt>
                  <c:pt idx="3">
                    <c:v>4.1300932108054828E-2</c:v>
                  </c:pt>
                  <c:pt idx="4">
                    <c:v>5.3944074590112488E-2</c:v>
                  </c:pt>
                  <c:pt idx="5">
                    <c:v>6.1810918801170546E-2</c:v>
                  </c:pt>
                  <c:pt idx="6">
                    <c:v>6.8553928124934549E-2</c:v>
                  </c:pt>
                  <c:pt idx="7">
                    <c:v>6.8553928124934549E-2</c:v>
                  </c:pt>
                  <c:pt idx="8">
                    <c:v>7.0239680455875558E-2</c:v>
                  </c:pt>
                  <c:pt idx="9">
                    <c:v>6.9958721734051849E-2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HPLC!$N$2:$N$21</c:f>
              <c:numCache>
                <c:formatCode>General</c:formatCode>
                <c:ptCount val="20"/>
                <c:pt idx="0">
                  <c:v>0</c:v>
                </c:pt>
                <c:pt idx="1">
                  <c:v>0.44948997628449561</c:v>
                </c:pt>
                <c:pt idx="2">
                  <c:v>0.4270154774702708</c:v>
                </c:pt>
                <c:pt idx="3">
                  <c:v>1.5189661267545023</c:v>
                </c:pt>
                <c:pt idx="4">
                  <c:v>1.9839557573936357</c:v>
                </c:pt>
                <c:pt idx="5">
                  <c:v>2.2732826386802083</c:v>
                </c:pt>
                <c:pt idx="6">
                  <c:v>2.5212771083544121</c:v>
                </c:pt>
                <c:pt idx="7">
                  <c:v>2.5212771083544121</c:v>
                </c:pt>
                <c:pt idx="8">
                  <c:v>2.583275725772963</c:v>
                </c:pt>
                <c:pt idx="9">
                  <c:v>2.5729426228698715</c:v>
                </c:pt>
                <c:pt idx="10">
                  <c:v>2.5234743363285808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EC-46BC-B177-48DC7EE2FC65}"/>
            </c:ext>
          </c:extLst>
        </c:ser>
        <c:ser>
          <c:idx val="5"/>
          <c:order val="5"/>
          <c:tx>
            <c:strRef>
              <c:f>HPLC!$O$1</c:f>
              <c:strCache>
                <c:ptCount val="1"/>
                <c:pt idx="0">
                  <c:v>2 Ethanol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HPLC!$AA$2:$AA$15</c:f>
                <c:numCache>
                  <c:formatCode>General</c:formatCode>
                  <c:ptCount val="14"/>
                  <c:pt idx="0">
                    <c:v>0.28284271247461906</c:v>
                  </c:pt>
                  <c:pt idx="1">
                    <c:v>7.0710678118655126E-2</c:v>
                  </c:pt>
                  <c:pt idx="2">
                    <c:v>0.35355339059327379</c:v>
                  </c:pt>
                  <c:pt idx="3">
                    <c:v>0.28284271247461801</c:v>
                  </c:pt>
                  <c:pt idx="4">
                    <c:v>0.63639610306789174</c:v>
                  </c:pt>
                  <c:pt idx="5">
                    <c:v>1.0606601717798212</c:v>
                  </c:pt>
                  <c:pt idx="6">
                    <c:v>7.0710678118655765E-2</c:v>
                  </c:pt>
                  <c:pt idx="7">
                    <c:v>0</c:v>
                  </c:pt>
                  <c:pt idx="8">
                    <c:v>0.35355339059327379</c:v>
                  </c:pt>
                  <c:pt idx="9">
                    <c:v>0.21213203435596226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HPLC!$AA$2:$AA$15</c:f>
                <c:numCache>
                  <c:formatCode>General</c:formatCode>
                  <c:ptCount val="14"/>
                  <c:pt idx="0">
                    <c:v>0.28284271247461906</c:v>
                  </c:pt>
                  <c:pt idx="1">
                    <c:v>7.0710678118655126E-2</c:v>
                  </c:pt>
                  <c:pt idx="2">
                    <c:v>0.35355339059327379</c:v>
                  </c:pt>
                  <c:pt idx="3">
                    <c:v>0.28284271247461801</c:v>
                  </c:pt>
                  <c:pt idx="4">
                    <c:v>0.63639610306789174</c:v>
                  </c:pt>
                  <c:pt idx="5">
                    <c:v>1.0606601717798212</c:v>
                  </c:pt>
                  <c:pt idx="6">
                    <c:v>7.0710678118655765E-2</c:v>
                  </c:pt>
                  <c:pt idx="7">
                    <c:v>0</c:v>
                  </c:pt>
                  <c:pt idx="8">
                    <c:v>0.35355339059327379</c:v>
                  </c:pt>
                  <c:pt idx="9">
                    <c:v>0.21213203435596226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HPLC!$O$2:$O$21</c:f>
              <c:numCache>
                <c:formatCode>General</c:formatCode>
                <c:ptCount val="20"/>
                <c:pt idx="0">
                  <c:v>0.3</c:v>
                </c:pt>
                <c:pt idx="1">
                  <c:v>4.8499999999999996</c:v>
                </c:pt>
                <c:pt idx="2">
                  <c:v>21.25</c:v>
                </c:pt>
                <c:pt idx="3">
                  <c:v>27.7</c:v>
                </c:pt>
                <c:pt idx="4">
                  <c:v>33.950000000000003</c:v>
                </c:pt>
                <c:pt idx="5">
                  <c:v>51.25</c:v>
                </c:pt>
                <c:pt idx="6">
                  <c:v>54.95</c:v>
                </c:pt>
                <c:pt idx="7">
                  <c:v>60.5</c:v>
                </c:pt>
                <c:pt idx="8">
                  <c:v>61.75</c:v>
                </c:pt>
                <c:pt idx="9">
                  <c:v>64.650000000000006</c:v>
                </c:pt>
                <c:pt idx="10">
                  <c:v>64.8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EC-46BC-B177-48DC7EE2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48462460710934"/>
          <c:y val="0.24383545333111359"/>
          <c:w val="0.19551531426513385"/>
          <c:h val="0.41666971798377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Esters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67653336875318648"/>
          <c:h val="0.76391296019135524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GC_esters!$D$1</c:f>
              <c:strCache>
                <c:ptCount val="1"/>
                <c:pt idx="0">
                  <c:v>1 Ethyl acetate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GC_esters!$D$2:$D$21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0.505</c:v>
                </c:pt>
                <c:pt idx="2">
                  <c:v>6.5112500000000004</c:v>
                </c:pt>
                <c:pt idx="3">
                  <c:v>12.129999999999999</c:v>
                </c:pt>
                <c:pt idx="4">
                  <c:v>19.88</c:v>
                </c:pt>
                <c:pt idx="5">
                  <c:v>27.494999999999997</c:v>
                </c:pt>
                <c:pt idx="6">
                  <c:v>32.33775</c:v>
                </c:pt>
                <c:pt idx="7">
                  <c:v>36.299999999999997</c:v>
                </c:pt>
                <c:pt idx="8">
                  <c:v>37.516249999999999</c:v>
                </c:pt>
                <c:pt idx="9">
                  <c:v>38.732500000000002</c:v>
                </c:pt>
                <c:pt idx="10">
                  <c:v>39.774999999999999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6-42CF-8C50-780E9E833878}"/>
            </c:ext>
          </c:extLst>
        </c:ser>
        <c:ser>
          <c:idx val="1"/>
          <c:order val="1"/>
          <c:tx>
            <c:strRef>
              <c:f>GC_esters!$E$1</c:f>
              <c:strCache>
                <c:ptCount val="1"/>
                <c:pt idx="0">
                  <c:v>1 Ethanol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GC_esters!$E$2:$E$21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C6-42CF-8C50-780E9E833878}"/>
            </c:ext>
          </c:extLst>
        </c:ser>
        <c:ser>
          <c:idx val="2"/>
          <c:order val="2"/>
          <c:tx>
            <c:strRef>
              <c:f>GC_esters!$F$1</c:f>
              <c:strCache>
                <c:ptCount val="1"/>
                <c:pt idx="0">
                  <c:v>1 Isobutyl acetate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4.4950000000000004E-2</c:v>
                </c:pt>
                <c:pt idx="3">
                  <c:v>8.6999999999999994E-2</c:v>
                </c:pt>
                <c:pt idx="4">
                  <c:v>0.14500000000000002</c:v>
                </c:pt>
                <c:pt idx="5">
                  <c:v>0.18</c:v>
                </c:pt>
                <c:pt idx="6">
                  <c:v>0.20200000000000001</c:v>
                </c:pt>
                <c:pt idx="7">
                  <c:v>0.22</c:v>
                </c:pt>
                <c:pt idx="8">
                  <c:v>0.22175</c:v>
                </c:pt>
                <c:pt idx="9">
                  <c:v>0.2235</c:v>
                </c:pt>
                <c:pt idx="10">
                  <c:v>0.22500000000000001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DC6-42CF-8C50-780E9E833878}"/>
            </c:ext>
          </c:extLst>
        </c:ser>
        <c:ser>
          <c:idx val="3"/>
          <c:order val="3"/>
          <c:tx>
            <c:strRef>
              <c:f>GC_esters!$G$1</c:f>
              <c:strCache>
                <c:ptCount val="1"/>
                <c:pt idx="0">
                  <c:v>1 Ethyl butyrate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GC_esters!$G$2:$G$21</c:f>
              <c:numCache>
                <c:formatCode>General</c:formatCode>
                <c:ptCount val="20"/>
                <c:pt idx="0">
                  <c:v>0</c:v>
                </c:pt>
                <c:pt idx="1">
                  <c:v>0.13500000000000001</c:v>
                </c:pt>
                <c:pt idx="2">
                  <c:v>0.24970000000000001</c:v>
                </c:pt>
                <c:pt idx="3">
                  <c:v>0.35699999999999998</c:v>
                </c:pt>
                <c:pt idx="4">
                  <c:v>0.505</c:v>
                </c:pt>
                <c:pt idx="5">
                  <c:v>0.59</c:v>
                </c:pt>
                <c:pt idx="6">
                  <c:v>0.65049999999999997</c:v>
                </c:pt>
                <c:pt idx="7">
                  <c:v>0.7</c:v>
                </c:pt>
                <c:pt idx="8">
                  <c:v>0.70524999999999993</c:v>
                </c:pt>
                <c:pt idx="9">
                  <c:v>0.71049999999999991</c:v>
                </c:pt>
                <c:pt idx="10">
                  <c:v>0.71499999999999997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DC6-42CF-8C50-780E9E833878}"/>
            </c:ext>
          </c:extLst>
        </c:ser>
        <c:ser>
          <c:idx val="4"/>
          <c:order val="4"/>
          <c:tx>
            <c:strRef>
              <c:f>GC_esters!$H$1</c:f>
              <c:strCache>
                <c:ptCount val="1"/>
                <c:pt idx="0">
                  <c:v>1 Isobutanol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GC_esters!$H$2:$H$21</c:f>
              <c:numCache>
                <c:formatCode>General</c:formatCode>
                <c:ptCount val="20"/>
                <c:pt idx="0">
                  <c:v>0.48499999999999999</c:v>
                </c:pt>
                <c:pt idx="1">
                  <c:v>2.165</c:v>
                </c:pt>
                <c:pt idx="2">
                  <c:v>4.4326500000000006</c:v>
                </c:pt>
                <c:pt idx="3">
                  <c:v>6.5540000000000003</c:v>
                </c:pt>
                <c:pt idx="4">
                  <c:v>9.48</c:v>
                </c:pt>
                <c:pt idx="5">
                  <c:v>11.17</c:v>
                </c:pt>
                <c:pt idx="6">
                  <c:v>12.083</c:v>
                </c:pt>
                <c:pt idx="7">
                  <c:v>12.83</c:v>
                </c:pt>
                <c:pt idx="8">
                  <c:v>12.935</c:v>
                </c:pt>
                <c:pt idx="9">
                  <c:v>13.04</c:v>
                </c:pt>
                <c:pt idx="10">
                  <c:v>13.129999999999999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C6-42CF-8C50-780E9E833878}"/>
            </c:ext>
          </c:extLst>
        </c:ser>
        <c:ser>
          <c:idx val="5"/>
          <c:order val="5"/>
          <c:tx>
            <c:strRef>
              <c:f>GC_esters!$I$1</c:f>
              <c:strCache>
                <c:ptCount val="1"/>
                <c:pt idx="0">
                  <c:v>1 Isoamyl acetate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GC_esters!$I$2:$I$21</c:f>
              <c:numCache>
                <c:formatCode>General</c:formatCode>
                <c:ptCount val="20"/>
                <c:pt idx="0">
                  <c:v>0</c:v>
                </c:pt>
                <c:pt idx="1">
                  <c:v>7.0000000000000007E-2</c:v>
                </c:pt>
                <c:pt idx="2">
                  <c:v>1.3270500000000003</c:v>
                </c:pt>
                <c:pt idx="3">
                  <c:v>2.5030000000000001</c:v>
                </c:pt>
                <c:pt idx="4">
                  <c:v>4.125</c:v>
                </c:pt>
                <c:pt idx="5">
                  <c:v>5.3149999999999995</c:v>
                </c:pt>
                <c:pt idx="6">
                  <c:v>5.9887499999999996</c:v>
                </c:pt>
                <c:pt idx="7">
                  <c:v>6.54</c:v>
                </c:pt>
                <c:pt idx="8">
                  <c:v>6.5960000000000001</c:v>
                </c:pt>
                <c:pt idx="9">
                  <c:v>6.6519999999999992</c:v>
                </c:pt>
                <c:pt idx="10">
                  <c:v>6.6999999999999993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DC6-42CF-8C50-780E9E833878}"/>
            </c:ext>
          </c:extLst>
        </c:ser>
        <c:ser>
          <c:idx val="6"/>
          <c:order val="6"/>
          <c:tx>
            <c:strRef>
              <c:f>GC_esters!$J$1</c:f>
              <c:strCache>
                <c:ptCount val="1"/>
                <c:pt idx="0">
                  <c:v>1 Isoamyl alcohol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GC_esters!$J$2:$J$21</c:f>
              <c:numCache>
                <c:formatCode>General</c:formatCode>
                <c:ptCount val="20"/>
                <c:pt idx="0">
                  <c:v>3.52</c:v>
                </c:pt>
                <c:pt idx="1">
                  <c:v>20.990000000000002</c:v>
                </c:pt>
                <c:pt idx="2">
                  <c:v>34.605199999999996</c:v>
                </c:pt>
                <c:pt idx="3">
                  <c:v>47.341999999999999</c:v>
                </c:pt>
                <c:pt idx="4">
                  <c:v>64.91</c:v>
                </c:pt>
                <c:pt idx="5">
                  <c:v>69.784999999999997</c:v>
                </c:pt>
                <c:pt idx="6">
                  <c:v>72.045500000000004</c:v>
                </c:pt>
                <c:pt idx="7">
                  <c:v>73.894999999999996</c:v>
                </c:pt>
                <c:pt idx="8">
                  <c:v>74.122500000000002</c:v>
                </c:pt>
                <c:pt idx="9">
                  <c:v>74.349999999999994</c:v>
                </c:pt>
                <c:pt idx="10">
                  <c:v>74.545000000000002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DC6-42CF-8C50-780E9E833878}"/>
            </c:ext>
          </c:extLst>
        </c:ser>
        <c:ser>
          <c:idx val="7"/>
          <c:order val="7"/>
          <c:tx>
            <c:strRef>
              <c:f>GC_esters!$K$1</c:f>
              <c:strCache>
                <c:ptCount val="1"/>
                <c:pt idx="0">
                  <c:v>1 Ethyl hexanoate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GC_esters!$K$2:$K$21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0.17515</c:v>
                </c:pt>
                <c:pt idx="3">
                  <c:v>0.33899999999999997</c:v>
                </c:pt>
                <c:pt idx="4">
                  <c:v>0.56499999999999995</c:v>
                </c:pt>
                <c:pt idx="5">
                  <c:v>0.75</c:v>
                </c:pt>
                <c:pt idx="6">
                  <c:v>0.79125000000000001</c:v>
                </c:pt>
                <c:pt idx="7">
                  <c:v>0.82499999999999996</c:v>
                </c:pt>
                <c:pt idx="8">
                  <c:v>0.80749999999999988</c:v>
                </c:pt>
                <c:pt idx="9">
                  <c:v>0.79</c:v>
                </c:pt>
                <c:pt idx="10">
                  <c:v>0.77500000000000002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DC6-42CF-8C50-780E9E833878}"/>
            </c:ext>
          </c:extLst>
        </c:ser>
        <c:ser>
          <c:idx val="8"/>
          <c:order val="8"/>
          <c:tx>
            <c:strRef>
              <c:f>GC_esters!$L$1</c:f>
              <c:strCache>
                <c:ptCount val="1"/>
                <c:pt idx="0">
                  <c:v>1 Ethyl octanoate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GC_esters!$L$2:$L$21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1.1438999999999999</c:v>
                </c:pt>
                <c:pt idx="3">
                  <c:v>2.214</c:v>
                </c:pt>
                <c:pt idx="4">
                  <c:v>3.69</c:v>
                </c:pt>
                <c:pt idx="5">
                  <c:v>5.27</c:v>
                </c:pt>
                <c:pt idx="6">
                  <c:v>6.3122499999999997</c:v>
                </c:pt>
                <c:pt idx="7">
                  <c:v>7.165</c:v>
                </c:pt>
                <c:pt idx="8">
                  <c:v>7.2402499999999996</c:v>
                </c:pt>
                <c:pt idx="9">
                  <c:v>7.3155000000000001</c:v>
                </c:pt>
                <c:pt idx="10">
                  <c:v>7.38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DC6-42CF-8C50-780E9E833878}"/>
            </c:ext>
          </c:extLst>
        </c:ser>
        <c:ser>
          <c:idx val="9"/>
          <c:order val="9"/>
          <c:tx>
            <c:strRef>
              <c:f>GC_esters!$M$1</c:f>
              <c:strCache>
                <c:ptCount val="1"/>
                <c:pt idx="0">
                  <c:v>1 Ethyl decanoate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GC_esters!$M$2:$M$21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2.0212000000000003</c:v>
                </c:pt>
                <c:pt idx="3">
                  <c:v>3.9119999999999999</c:v>
                </c:pt>
                <c:pt idx="4">
                  <c:v>6.52</c:v>
                </c:pt>
                <c:pt idx="5">
                  <c:v>10.664999999999999</c:v>
                </c:pt>
                <c:pt idx="6">
                  <c:v>12.85675</c:v>
                </c:pt>
                <c:pt idx="7">
                  <c:v>14.65</c:v>
                </c:pt>
                <c:pt idx="8">
                  <c:v>15.021000000000001</c:v>
                </c:pt>
                <c:pt idx="9">
                  <c:v>15.391999999999999</c:v>
                </c:pt>
                <c:pt idx="10">
                  <c:v>15.71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DC6-42CF-8C50-780E9E83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70346957884909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Esters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67653336875318648"/>
          <c:h val="0.76391296019135524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GC_esters!$N$1</c:f>
              <c:strCache>
                <c:ptCount val="1"/>
                <c:pt idx="0">
                  <c:v>2 Ethyl acetate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GC_esters!$N$2:$N$21</c:f>
              <c:numCache>
                <c:formatCode>General</c:formatCode>
                <c:ptCount val="20"/>
                <c:pt idx="0">
                  <c:v>0</c:v>
                </c:pt>
                <c:pt idx="1">
                  <c:v>0.47</c:v>
                </c:pt>
                <c:pt idx="2">
                  <c:v>5.7647999999999993</c:v>
                </c:pt>
                <c:pt idx="3">
                  <c:v>10.718</c:v>
                </c:pt>
                <c:pt idx="4">
                  <c:v>17.549999999999997</c:v>
                </c:pt>
                <c:pt idx="5">
                  <c:v>24.41</c:v>
                </c:pt>
                <c:pt idx="6">
                  <c:v>29.305</c:v>
                </c:pt>
                <c:pt idx="7">
                  <c:v>33.31</c:v>
                </c:pt>
                <c:pt idx="8">
                  <c:v>34.554249999999996</c:v>
                </c:pt>
                <c:pt idx="9">
                  <c:v>35.798499999999997</c:v>
                </c:pt>
                <c:pt idx="10">
                  <c:v>35.464999999999996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2-4308-88F1-1F13385FE72E}"/>
            </c:ext>
          </c:extLst>
        </c:ser>
        <c:ser>
          <c:idx val="1"/>
          <c:order val="1"/>
          <c:tx>
            <c:strRef>
              <c:f>GC_esters!$O$1</c:f>
              <c:strCache>
                <c:ptCount val="1"/>
                <c:pt idx="0">
                  <c:v>2 Ethanol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GC_esters!$O$2:$O$21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2-4308-88F1-1F13385FE72E}"/>
            </c:ext>
          </c:extLst>
        </c:ser>
        <c:ser>
          <c:idx val="2"/>
          <c:order val="2"/>
          <c:tx>
            <c:strRef>
              <c:f>GC_esters!$P$1</c:f>
              <c:strCache>
                <c:ptCount val="1"/>
                <c:pt idx="0">
                  <c:v>2 Isobutyl acetate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GC_esters!$P$2:$P$21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3.7199999999999997E-2</c:v>
                </c:pt>
                <c:pt idx="3">
                  <c:v>7.1999999999999995E-2</c:v>
                </c:pt>
                <c:pt idx="4">
                  <c:v>0.12</c:v>
                </c:pt>
                <c:pt idx="5">
                  <c:v>0.16</c:v>
                </c:pt>
                <c:pt idx="6">
                  <c:v>0.182</c:v>
                </c:pt>
                <c:pt idx="7">
                  <c:v>0.2</c:v>
                </c:pt>
                <c:pt idx="8">
                  <c:v>0.20175000000000001</c:v>
                </c:pt>
                <c:pt idx="9">
                  <c:v>0.20350000000000001</c:v>
                </c:pt>
                <c:pt idx="10">
                  <c:v>0.2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2-4308-88F1-1F13385FE72E}"/>
            </c:ext>
          </c:extLst>
        </c:ser>
        <c:ser>
          <c:idx val="3"/>
          <c:order val="3"/>
          <c:tx>
            <c:strRef>
              <c:f>GC_esters!$Q$1</c:f>
              <c:strCache>
                <c:ptCount val="1"/>
                <c:pt idx="0">
                  <c:v>2 Ethyl butyrate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GC_esters!$Q$2:$Q$21</c:f>
              <c:numCache>
                <c:formatCode>General</c:formatCode>
                <c:ptCount val="20"/>
                <c:pt idx="0">
                  <c:v>0</c:v>
                </c:pt>
                <c:pt idx="1">
                  <c:v>0.13</c:v>
                </c:pt>
                <c:pt idx="2">
                  <c:v>0.23849999999999999</c:v>
                </c:pt>
                <c:pt idx="3">
                  <c:v>0.33999999999999997</c:v>
                </c:pt>
                <c:pt idx="4">
                  <c:v>0.48</c:v>
                </c:pt>
                <c:pt idx="5">
                  <c:v>0.55000000000000004</c:v>
                </c:pt>
                <c:pt idx="6">
                  <c:v>0.61875000000000013</c:v>
                </c:pt>
                <c:pt idx="7">
                  <c:v>0.67500000000000004</c:v>
                </c:pt>
                <c:pt idx="8">
                  <c:v>0.68375000000000008</c:v>
                </c:pt>
                <c:pt idx="9">
                  <c:v>0.69249999999999989</c:v>
                </c:pt>
                <c:pt idx="10">
                  <c:v>0.68699999999999994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42-4308-88F1-1F13385FE72E}"/>
            </c:ext>
          </c:extLst>
        </c:ser>
        <c:ser>
          <c:idx val="4"/>
          <c:order val="4"/>
          <c:tx>
            <c:strRef>
              <c:f>GC_esters!$R$1</c:f>
              <c:strCache>
                <c:ptCount val="1"/>
                <c:pt idx="0">
                  <c:v>2 Isobutanol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GC_esters!$R$2:$R$21</c:f>
              <c:numCache>
                <c:formatCode>General</c:formatCode>
                <c:ptCount val="20"/>
                <c:pt idx="0">
                  <c:v>0.49</c:v>
                </c:pt>
                <c:pt idx="1">
                  <c:v>1.98</c:v>
                </c:pt>
                <c:pt idx="2">
                  <c:v>4.1778999999999993</c:v>
                </c:pt>
                <c:pt idx="3">
                  <c:v>6.2339999999999991</c:v>
                </c:pt>
                <c:pt idx="4">
                  <c:v>9.07</c:v>
                </c:pt>
                <c:pt idx="5">
                  <c:v>10.71</c:v>
                </c:pt>
                <c:pt idx="6">
                  <c:v>11.85125</c:v>
                </c:pt>
                <c:pt idx="7">
                  <c:v>12.785</c:v>
                </c:pt>
                <c:pt idx="8">
                  <c:v>12.904</c:v>
                </c:pt>
                <c:pt idx="9">
                  <c:v>13.023</c:v>
                </c:pt>
                <c:pt idx="10">
                  <c:v>12.853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42-4308-88F1-1F13385FE72E}"/>
            </c:ext>
          </c:extLst>
        </c:ser>
        <c:ser>
          <c:idx val="5"/>
          <c:order val="5"/>
          <c:tx>
            <c:strRef>
              <c:f>GC_esters!$S$1</c:f>
              <c:strCache>
                <c:ptCount val="1"/>
                <c:pt idx="0">
                  <c:v>2 Isoamyl acetate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GC_esters!$S$2:$S$21</c:f>
              <c:numCache>
                <c:formatCode>General</c:formatCode>
                <c:ptCount val="20"/>
                <c:pt idx="0">
                  <c:v>0</c:v>
                </c:pt>
                <c:pt idx="1">
                  <c:v>0.06</c:v>
                </c:pt>
                <c:pt idx="2">
                  <c:v>1.1651500000000001</c:v>
                </c:pt>
                <c:pt idx="3">
                  <c:v>2.1989999999999998</c:v>
                </c:pt>
                <c:pt idx="4">
                  <c:v>3.625</c:v>
                </c:pt>
                <c:pt idx="5">
                  <c:v>4.7200000000000006</c:v>
                </c:pt>
                <c:pt idx="6">
                  <c:v>5.4130000000000003</c:v>
                </c:pt>
                <c:pt idx="7">
                  <c:v>5.98</c:v>
                </c:pt>
                <c:pt idx="8">
                  <c:v>6.0517500000000002</c:v>
                </c:pt>
                <c:pt idx="9">
                  <c:v>6.1234999999999999</c:v>
                </c:pt>
                <c:pt idx="10">
                  <c:v>6.06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42-4308-88F1-1F13385FE72E}"/>
            </c:ext>
          </c:extLst>
        </c:ser>
        <c:ser>
          <c:idx val="6"/>
          <c:order val="6"/>
          <c:tx>
            <c:strRef>
              <c:f>GC_esters!$T$1</c:f>
              <c:strCache>
                <c:ptCount val="1"/>
                <c:pt idx="0">
                  <c:v>2 Isoamyl alcohol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GC_esters!$T$2:$T$21</c:f>
              <c:numCache>
                <c:formatCode>General</c:formatCode>
                <c:ptCount val="20"/>
                <c:pt idx="0">
                  <c:v>3.645</c:v>
                </c:pt>
                <c:pt idx="1">
                  <c:v>19.38</c:v>
                </c:pt>
                <c:pt idx="2">
                  <c:v>32.798349999999999</c:v>
                </c:pt>
                <c:pt idx="3">
                  <c:v>45.350999999999999</c:v>
                </c:pt>
                <c:pt idx="4">
                  <c:v>62.665000000000006</c:v>
                </c:pt>
                <c:pt idx="5">
                  <c:v>66.865000000000009</c:v>
                </c:pt>
                <c:pt idx="6">
                  <c:v>70.470249999999993</c:v>
                </c:pt>
                <c:pt idx="7">
                  <c:v>73.42</c:v>
                </c:pt>
                <c:pt idx="8">
                  <c:v>73.694749999999999</c:v>
                </c:pt>
                <c:pt idx="9">
                  <c:v>73.969500000000011</c:v>
                </c:pt>
                <c:pt idx="10">
                  <c:v>73.025000000000006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42-4308-88F1-1F13385FE72E}"/>
            </c:ext>
          </c:extLst>
        </c:ser>
        <c:ser>
          <c:idx val="7"/>
          <c:order val="7"/>
          <c:tx>
            <c:strRef>
              <c:f>GC_esters!$U$1</c:f>
              <c:strCache>
                <c:ptCount val="1"/>
                <c:pt idx="0">
                  <c:v>2 Ethyl hexanoate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GC_esters!$U$2:$U$21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0.16739999999999999</c:v>
                </c:pt>
                <c:pt idx="3">
                  <c:v>0.32400000000000001</c:v>
                </c:pt>
                <c:pt idx="4">
                  <c:v>0.54</c:v>
                </c:pt>
                <c:pt idx="5">
                  <c:v>0.70499999999999996</c:v>
                </c:pt>
                <c:pt idx="6">
                  <c:v>0.75450000000000006</c:v>
                </c:pt>
                <c:pt idx="7">
                  <c:v>0.79500000000000004</c:v>
                </c:pt>
                <c:pt idx="8">
                  <c:v>0.78449999999999998</c:v>
                </c:pt>
                <c:pt idx="9">
                  <c:v>0.77400000000000002</c:v>
                </c:pt>
                <c:pt idx="10">
                  <c:v>0.76200000000000001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42-4308-88F1-1F13385FE72E}"/>
            </c:ext>
          </c:extLst>
        </c:ser>
        <c:ser>
          <c:idx val="8"/>
          <c:order val="8"/>
          <c:tx>
            <c:strRef>
              <c:f>GC_esters!$V$1</c:f>
              <c:strCache>
                <c:ptCount val="1"/>
                <c:pt idx="0">
                  <c:v>2 Ethyl octanoate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GC_esters!$V$2:$V$21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1.17645</c:v>
                </c:pt>
                <c:pt idx="3">
                  <c:v>2.2770000000000001</c:v>
                </c:pt>
                <c:pt idx="4">
                  <c:v>3.7949999999999999</c:v>
                </c:pt>
                <c:pt idx="5">
                  <c:v>5.415</c:v>
                </c:pt>
                <c:pt idx="6">
                  <c:v>6.3747500000000006</c:v>
                </c:pt>
                <c:pt idx="7">
                  <c:v>7.16</c:v>
                </c:pt>
                <c:pt idx="8">
                  <c:v>7.3454999999999995</c:v>
                </c:pt>
                <c:pt idx="9">
                  <c:v>7.5310000000000006</c:v>
                </c:pt>
                <c:pt idx="10">
                  <c:v>7.407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42-4308-88F1-1F13385FE72E}"/>
            </c:ext>
          </c:extLst>
        </c:ser>
        <c:ser>
          <c:idx val="9"/>
          <c:order val="9"/>
          <c:tx>
            <c:strRef>
              <c:f>GC_esters!$W$1</c:f>
              <c:strCache>
                <c:ptCount val="1"/>
                <c:pt idx="0">
                  <c:v>2 Ethyl decanoate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GC_esters!$W$2:$W$21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2.4195500000000001</c:v>
                </c:pt>
                <c:pt idx="3">
                  <c:v>4.6829999999999998</c:v>
                </c:pt>
                <c:pt idx="4">
                  <c:v>7.8049999999999997</c:v>
                </c:pt>
                <c:pt idx="5">
                  <c:v>12.574999999999999</c:v>
                </c:pt>
                <c:pt idx="6">
                  <c:v>14.280000000000001</c:v>
                </c:pt>
                <c:pt idx="7">
                  <c:v>15.675000000000001</c:v>
                </c:pt>
                <c:pt idx="8">
                  <c:v>16.59375</c:v>
                </c:pt>
                <c:pt idx="9">
                  <c:v>17.512500000000003</c:v>
                </c:pt>
                <c:pt idx="10">
                  <c:v>17.251000000000001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42-4308-88F1-1F13385FE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70346957884909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TT1</a:t>
            </a:r>
            <a:r>
              <a:rPr lang="en-US" baseline="0"/>
              <a:t> Vicinal diketones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89457567804026"/>
          <c:y val="0.11771352451163766"/>
          <c:w val="0.63486679790026246"/>
          <c:h val="0.6990231840950355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GC_ketones!$D$1</c:f>
              <c:strCache>
                <c:ptCount val="1"/>
                <c:pt idx="0">
                  <c:v>1 Diacetyl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GC_ketones!$H$2:$H$21</c:f>
                <c:numCache>
                  <c:formatCode>General</c:formatCode>
                  <c:ptCount val="20"/>
                  <c:pt idx="0">
                    <c:v>3.5355339059327378</c:v>
                  </c:pt>
                  <c:pt idx="1">
                    <c:v>7.7781745930520225</c:v>
                  </c:pt>
                  <c:pt idx="2">
                    <c:v>62.22539674441618</c:v>
                  </c:pt>
                  <c:pt idx="3">
                    <c:v>125.15790027001891</c:v>
                  </c:pt>
                  <c:pt idx="4">
                    <c:v>4.9497474683058327</c:v>
                  </c:pt>
                  <c:pt idx="5">
                    <c:v>50.911688245431421</c:v>
                  </c:pt>
                  <c:pt idx="6">
                    <c:v>57.982756057296896</c:v>
                  </c:pt>
                  <c:pt idx="7">
                    <c:v>129.40054095713819</c:v>
                  </c:pt>
                  <c:pt idx="8">
                    <c:v>4.2426406871192848</c:v>
                  </c:pt>
                  <c:pt idx="9">
                    <c:v>127.27922061357856</c:v>
                  </c:pt>
                  <c:pt idx="10">
                    <c:v>65.760930650348925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GC_ketones!$H$2:$H$21</c:f>
                <c:numCache>
                  <c:formatCode>General</c:formatCode>
                  <c:ptCount val="20"/>
                  <c:pt idx="0">
                    <c:v>3.5355339059327378</c:v>
                  </c:pt>
                  <c:pt idx="1">
                    <c:v>7.7781745930520225</c:v>
                  </c:pt>
                  <c:pt idx="2">
                    <c:v>62.22539674441618</c:v>
                  </c:pt>
                  <c:pt idx="3">
                    <c:v>125.15790027001891</c:v>
                  </c:pt>
                  <c:pt idx="4">
                    <c:v>4.9497474683058327</c:v>
                  </c:pt>
                  <c:pt idx="5">
                    <c:v>50.911688245431421</c:v>
                  </c:pt>
                  <c:pt idx="6">
                    <c:v>57.982756057296896</c:v>
                  </c:pt>
                  <c:pt idx="7">
                    <c:v>129.40054095713819</c:v>
                  </c:pt>
                  <c:pt idx="8">
                    <c:v>4.2426406871192848</c:v>
                  </c:pt>
                  <c:pt idx="9">
                    <c:v>127.27922061357856</c:v>
                  </c:pt>
                  <c:pt idx="10">
                    <c:v>65.760930650348925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GC_ketones!$D$2:$D$21</c:f>
              <c:numCache>
                <c:formatCode>General</c:formatCode>
                <c:ptCount val="20"/>
                <c:pt idx="0">
                  <c:v>97.5</c:v>
                </c:pt>
                <c:pt idx="1">
                  <c:v>706.5</c:v>
                </c:pt>
                <c:pt idx="2">
                  <c:v>2809</c:v>
                </c:pt>
                <c:pt idx="3">
                  <c:v>5098.5</c:v>
                </c:pt>
                <c:pt idx="4">
                  <c:v>5900.5</c:v>
                </c:pt>
                <c:pt idx="5">
                  <c:v>4944</c:v>
                </c:pt>
                <c:pt idx="6">
                  <c:v>3539</c:v>
                </c:pt>
                <c:pt idx="7">
                  <c:v>2778.5</c:v>
                </c:pt>
                <c:pt idx="8">
                  <c:v>2201</c:v>
                </c:pt>
                <c:pt idx="9">
                  <c:v>1770</c:v>
                </c:pt>
                <c:pt idx="10">
                  <c:v>1233.5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B1-448D-93DB-6F1E57AC1953}"/>
            </c:ext>
          </c:extLst>
        </c:ser>
        <c:ser>
          <c:idx val="1"/>
          <c:order val="1"/>
          <c:tx>
            <c:strRef>
              <c:f>GC_ketones!$E$1</c:f>
              <c:strCache>
                <c:ptCount val="1"/>
                <c:pt idx="0">
                  <c:v>1 2,3-Pentanedione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GC_ketones!$I$2:$I$21</c:f>
                <c:numCache>
                  <c:formatCode>General</c:formatCode>
                  <c:ptCount val="20"/>
                  <c:pt idx="0">
                    <c:v>2.8284271247461903</c:v>
                  </c:pt>
                  <c:pt idx="1">
                    <c:v>69.296464556281663</c:v>
                  </c:pt>
                  <c:pt idx="2">
                    <c:v>34.648232278140831</c:v>
                  </c:pt>
                  <c:pt idx="3">
                    <c:v>35.355339059327378</c:v>
                  </c:pt>
                  <c:pt idx="4">
                    <c:v>44.547727214752491</c:v>
                  </c:pt>
                  <c:pt idx="5">
                    <c:v>64.346717087975819</c:v>
                  </c:pt>
                  <c:pt idx="6">
                    <c:v>77.781745930520231</c:v>
                  </c:pt>
                  <c:pt idx="7">
                    <c:v>19.798989873223331</c:v>
                  </c:pt>
                  <c:pt idx="8">
                    <c:v>49.497474683058329</c:v>
                  </c:pt>
                  <c:pt idx="9">
                    <c:v>3.5355339059327378</c:v>
                  </c:pt>
                  <c:pt idx="10">
                    <c:v>26.16295090390226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GC_ketones!$I$2:$I$21</c:f>
                <c:numCache>
                  <c:formatCode>General</c:formatCode>
                  <c:ptCount val="20"/>
                  <c:pt idx="0">
                    <c:v>2.8284271247461903</c:v>
                  </c:pt>
                  <c:pt idx="1">
                    <c:v>69.296464556281663</c:v>
                  </c:pt>
                  <c:pt idx="2">
                    <c:v>34.648232278140831</c:v>
                  </c:pt>
                  <c:pt idx="3">
                    <c:v>35.355339059327378</c:v>
                  </c:pt>
                  <c:pt idx="4">
                    <c:v>44.547727214752491</c:v>
                  </c:pt>
                  <c:pt idx="5">
                    <c:v>64.346717087975819</c:v>
                  </c:pt>
                  <c:pt idx="6">
                    <c:v>77.781745930520231</c:v>
                  </c:pt>
                  <c:pt idx="7">
                    <c:v>19.798989873223331</c:v>
                  </c:pt>
                  <c:pt idx="8">
                    <c:v>49.497474683058329</c:v>
                  </c:pt>
                  <c:pt idx="9">
                    <c:v>3.5355339059327378</c:v>
                  </c:pt>
                  <c:pt idx="10">
                    <c:v>26.16295090390226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GC_ketones!$E$2:$E$21</c:f>
              <c:numCache>
                <c:formatCode>General</c:formatCode>
                <c:ptCount val="20"/>
                <c:pt idx="0">
                  <c:v>19</c:v>
                </c:pt>
                <c:pt idx="1">
                  <c:v>457</c:v>
                </c:pt>
                <c:pt idx="2">
                  <c:v>1375.5</c:v>
                </c:pt>
                <c:pt idx="3">
                  <c:v>2075</c:v>
                </c:pt>
                <c:pt idx="4">
                  <c:v>2218.5</c:v>
                </c:pt>
                <c:pt idx="5">
                  <c:v>1734.5</c:v>
                </c:pt>
                <c:pt idx="6">
                  <c:v>1595</c:v>
                </c:pt>
                <c:pt idx="7">
                  <c:v>1394</c:v>
                </c:pt>
                <c:pt idx="8">
                  <c:v>1115</c:v>
                </c:pt>
                <c:pt idx="9">
                  <c:v>871.5</c:v>
                </c:pt>
                <c:pt idx="10">
                  <c:v>666.5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B1-448D-93DB-6F1E57AC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18435014279066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TT1 Vicinal diketones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89457780303485"/>
          <c:y val="0.12696190432843293"/>
          <c:w val="0.63486679790026246"/>
          <c:h val="0.6990231840950355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GC_ketones!$D$1</c:f>
              <c:strCache>
                <c:ptCount val="1"/>
                <c:pt idx="0">
                  <c:v>1 Diacetyl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GC_ketones!$J$2:$J$21</c:f>
                <c:numCache>
                  <c:formatCode>General</c:formatCode>
                  <c:ptCount val="20"/>
                  <c:pt idx="0">
                    <c:v>2.8284271247461903</c:v>
                  </c:pt>
                  <c:pt idx="1">
                    <c:v>15.556349186104045</c:v>
                  </c:pt>
                  <c:pt idx="2">
                    <c:v>45.254833995939045</c:v>
                  </c:pt>
                  <c:pt idx="3">
                    <c:v>2.1213203435596424</c:v>
                  </c:pt>
                  <c:pt idx="4">
                    <c:v>42.426406871192853</c:v>
                  </c:pt>
                  <c:pt idx="5">
                    <c:v>74.246212024587493</c:v>
                  </c:pt>
                  <c:pt idx="6">
                    <c:v>25.45584412271571</c:v>
                  </c:pt>
                  <c:pt idx="7">
                    <c:v>33.941125496954278</c:v>
                  </c:pt>
                  <c:pt idx="8">
                    <c:v>42.426406871192853</c:v>
                  </c:pt>
                  <c:pt idx="9">
                    <c:v>14.142135623730951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GC_ketones!$J$2:$J$21</c:f>
                <c:numCache>
                  <c:formatCode>General</c:formatCode>
                  <c:ptCount val="20"/>
                  <c:pt idx="0">
                    <c:v>2.8284271247461903</c:v>
                  </c:pt>
                  <c:pt idx="1">
                    <c:v>15.556349186104045</c:v>
                  </c:pt>
                  <c:pt idx="2">
                    <c:v>45.254833995939045</c:v>
                  </c:pt>
                  <c:pt idx="3">
                    <c:v>2.1213203435596424</c:v>
                  </c:pt>
                  <c:pt idx="4">
                    <c:v>42.426406871192853</c:v>
                  </c:pt>
                  <c:pt idx="5">
                    <c:v>74.246212024587493</c:v>
                  </c:pt>
                  <c:pt idx="6">
                    <c:v>25.45584412271571</c:v>
                  </c:pt>
                  <c:pt idx="7">
                    <c:v>33.941125496954278</c:v>
                  </c:pt>
                  <c:pt idx="8">
                    <c:v>42.426406871192853</c:v>
                  </c:pt>
                  <c:pt idx="9">
                    <c:v>14.142135623730951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GC_ketones!$F$2:$F$21</c:f>
              <c:numCache>
                <c:formatCode>General</c:formatCode>
                <c:ptCount val="20"/>
                <c:pt idx="0">
                  <c:v>97</c:v>
                </c:pt>
                <c:pt idx="1">
                  <c:v>737</c:v>
                </c:pt>
                <c:pt idx="2">
                  <c:v>2575</c:v>
                </c:pt>
                <c:pt idx="3">
                  <c:v>4799.5</c:v>
                </c:pt>
                <c:pt idx="4">
                  <c:v>5980</c:v>
                </c:pt>
                <c:pt idx="5">
                  <c:v>4736.5</c:v>
                </c:pt>
                <c:pt idx="6">
                  <c:v>3666</c:v>
                </c:pt>
                <c:pt idx="7">
                  <c:v>2474</c:v>
                </c:pt>
                <c:pt idx="8">
                  <c:v>2220</c:v>
                </c:pt>
                <c:pt idx="9">
                  <c:v>1570</c:v>
                </c:pt>
                <c:pt idx="10">
                  <c:v>1560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4-4A69-AB6D-3249D37E7451}"/>
            </c:ext>
          </c:extLst>
        </c:ser>
        <c:ser>
          <c:idx val="1"/>
          <c:order val="1"/>
          <c:tx>
            <c:strRef>
              <c:f>GC_ketones!$E$1</c:f>
              <c:strCache>
                <c:ptCount val="1"/>
                <c:pt idx="0">
                  <c:v>1 2,3-Pentanedione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GC_ketones!$K$2:$K$21</c:f>
                <c:numCache>
                  <c:formatCode>General</c:formatCode>
                  <c:ptCount val="20"/>
                  <c:pt idx="0">
                    <c:v>0.70710678118654757</c:v>
                  </c:pt>
                  <c:pt idx="1">
                    <c:v>37.476659402887016</c:v>
                  </c:pt>
                  <c:pt idx="2">
                    <c:v>21.920310216782973</c:v>
                  </c:pt>
                  <c:pt idx="3">
                    <c:v>7.0710678118654755</c:v>
                  </c:pt>
                  <c:pt idx="4">
                    <c:v>13.435028842544403</c:v>
                  </c:pt>
                  <c:pt idx="5">
                    <c:v>91.923881554251182</c:v>
                  </c:pt>
                  <c:pt idx="6">
                    <c:v>178.89801564019652</c:v>
                  </c:pt>
                  <c:pt idx="7">
                    <c:v>155.56349186104046</c:v>
                  </c:pt>
                  <c:pt idx="8">
                    <c:v>37.476659402887016</c:v>
                  </c:pt>
                  <c:pt idx="9">
                    <c:v>33.941125496954278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GC_ketones!$K$2:$K$21</c:f>
                <c:numCache>
                  <c:formatCode>General</c:formatCode>
                  <c:ptCount val="20"/>
                  <c:pt idx="0">
                    <c:v>0.70710678118654757</c:v>
                  </c:pt>
                  <c:pt idx="1">
                    <c:v>37.476659402887016</c:v>
                  </c:pt>
                  <c:pt idx="2">
                    <c:v>21.920310216782973</c:v>
                  </c:pt>
                  <c:pt idx="3">
                    <c:v>7.0710678118654755</c:v>
                  </c:pt>
                  <c:pt idx="4">
                    <c:v>13.435028842544403</c:v>
                  </c:pt>
                  <c:pt idx="5">
                    <c:v>91.923881554251182</c:v>
                  </c:pt>
                  <c:pt idx="6">
                    <c:v>178.89801564019652</c:v>
                  </c:pt>
                  <c:pt idx="7">
                    <c:v>155.56349186104046</c:v>
                  </c:pt>
                  <c:pt idx="8">
                    <c:v>37.476659402887016</c:v>
                  </c:pt>
                  <c:pt idx="9">
                    <c:v>33.941125496954278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GC_ketones!$G$2:$G$21</c:f>
              <c:numCache>
                <c:formatCode>General</c:formatCode>
                <c:ptCount val="20"/>
                <c:pt idx="0">
                  <c:v>19.5</c:v>
                </c:pt>
                <c:pt idx="1">
                  <c:v>476.5</c:v>
                </c:pt>
                <c:pt idx="2">
                  <c:v>1409.5</c:v>
                </c:pt>
                <c:pt idx="3">
                  <c:v>1902</c:v>
                </c:pt>
                <c:pt idx="4">
                  <c:v>2059.5</c:v>
                </c:pt>
                <c:pt idx="5">
                  <c:v>1915</c:v>
                </c:pt>
                <c:pt idx="6">
                  <c:v>1696.5</c:v>
                </c:pt>
                <c:pt idx="7">
                  <c:v>1460</c:v>
                </c:pt>
                <c:pt idx="8">
                  <c:v>1281.5</c:v>
                </c:pt>
                <c:pt idx="9">
                  <c:v>822</c:v>
                </c:pt>
                <c:pt idx="10">
                  <c:v>846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74-4A69-AB6D-3249D37E7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18435014279066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Cell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averages_to_plot!$E$2:$E$21</c:f>
                <c:numCache>
                  <c:formatCode>General</c:formatCode>
                  <c:ptCount val="20"/>
                  <c:pt idx="0">
                    <c:v>381837.66184073564</c:v>
                  </c:pt>
                  <c:pt idx="1">
                    <c:v>707106.78118654748</c:v>
                  </c:pt>
                  <c:pt idx="2">
                    <c:v>3577960.3128039306</c:v>
                  </c:pt>
                  <c:pt idx="3">
                    <c:v>2305168.1066681449</c:v>
                  </c:pt>
                  <c:pt idx="4">
                    <c:v>1569777.0542341354</c:v>
                  </c:pt>
                  <c:pt idx="5">
                    <c:v>3167838.3797157328</c:v>
                  </c:pt>
                  <c:pt idx="6">
                    <c:v>1725340.5460951759</c:v>
                  </c:pt>
                  <c:pt idx="7">
                    <c:v>777817.45930520224</c:v>
                  </c:pt>
                  <c:pt idx="8">
                    <c:v>1499066.3761154807</c:v>
                  </c:pt>
                  <c:pt idx="9">
                    <c:v>452548.3399593904</c:v>
                  </c:pt>
                  <c:pt idx="10">
                    <c:v>791959.59492893319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averages_to_plot!$E$2:$E$21</c:f>
                <c:numCache>
                  <c:formatCode>General</c:formatCode>
                  <c:ptCount val="20"/>
                  <c:pt idx="0">
                    <c:v>381837.66184073564</c:v>
                  </c:pt>
                  <c:pt idx="1">
                    <c:v>707106.78118654748</c:v>
                  </c:pt>
                  <c:pt idx="2">
                    <c:v>3577960.3128039306</c:v>
                  </c:pt>
                  <c:pt idx="3">
                    <c:v>2305168.1066681449</c:v>
                  </c:pt>
                  <c:pt idx="4">
                    <c:v>1569777.0542341354</c:v>
                  </c:pt>
                  <c:pt idx="5">
                    <c:v>3167838.3797157328</c:v>
                  </c:pt>
                  <c:pt idx="6">
                    <c:v>1725340.5460951759</c:v>
                  </c:pt>
                  <c:pt idx="7">
                    <c:v>777817.45930520224</c:v>
                  </c:pt>
                  <c:pt idx="8">
                    <c:v>1499066.3761154807</c:v>
                  </c:pt>
                  <c:pt idx="9">
                    <c:v>452548.3399593904</c:v>
                  </c:pt>
                  <c:pt idx="10">
                    <c:v>791959.59492893319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averages_to_plot!$D$2:$D$21</c:f>
              <c:numCache>
                <c:formatCode>0.00E+00</c:formatCode>
                <c:ptCount val="20"/>
                <c:pt idx="0">
                  <c:v>4830000</c:v>
                </c:pt>
                <c:pt idx="1">
                  <c:v>13700000</c:v>
                </c:pt>
                <c:pt idx="2">
                  <c:v>29190000</c:v>
                </c:pt>
                <c:pt idx="3">
                  <c:v>36490000</c:v>
                </c:pt>
                <c:pt idx="4">
                  <c:v>38050000</c:v>
                </c:pt>
                <c:pt idx="5">
                  <c:v>39340000</c:v>
                </c:pt>
                <c:pt idx="6">
                  <c:v>44360000</c:v>
                </c:pt>
                <c:pt idx="7">
                  <c:v>48010000</c:v>
                </c:pt>
                <c:pt idx="8">
                  <c:v>46120000</c:v>
                </c:pt>
                <c:pt idx="9">
                  <c:v>47840000</c:v>
                </c:pt>
                <c:pt idx="10">
                  <c:v>39220000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0-48B0-9B1C-F656D8D4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Cell count</a:t>
                </a:r>
                <a:r>
                  <a:rPr lang="nl-NL" baseline="0"/>
                  <a:t> average (Cells/mL)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Viability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averages_to_plot!$G$2:$G$21</c:f>
                <c:numCache>
                  <c:formatCode>General</c:formatCode>
                  <c:ptCount val="20"/>
                  <c:pt idx="0">
                    <c:v>5.8378268828607226E-4</c:v>
                  </c:pt>
                  <c:pt idx="1">
                    <c:v>1.946580767670767E-4</c:v>
                  </c:pt>
                  <c:pt idx="2">
                    <c:v>3.0499264079657845E-3</c:v>
                  </c:pt>
                  <c:pt idx="3">
                    <c:v>3.6770996566390679E-3</c:v>
                  </c:pt>
                  <c:pt idx="4">
                    <c:v>3.4864313593964088E-4</c:v>
                  </c:pt>
                  <c:pt idx="5">
                    <c:v>2.2310503375835189E-3</c:v>
                  </c:pt>
                  <c:pt idx="6">
                    <c:v>3.0746568664089853E-4</c:v>
                  </c:pt>
                  <c:pt idx="7">
                    <c:v>4.7575444118742758E-3</c:v>
                  </c:pt>
                  <c:pt idx="8">
                    <c:v>7.7297203031216708E-3</c:v>
                  </c:pt>
                  <c:pt idx="9">
                    <c:v>1.235204343736884E-3</c:v>
                  </c:pt>
                  <c:pt idx="10">
                    <c:v>5.242732422493371E-3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averages_to_plot!$G$2:$G$21</c:f>
                <c:numCache>
                  <c:formatCode>General</c:formatCode>
                  <c:ptCount val="20"/>
                  <c:pt idx="0">
                    <c:v>5.8378268828607226E-4</c:v>
                  </c:pt>
                  <c:pt idx="1">
                    <c:v>1.946580767670767E-4</c:v>
                  </c:pt>
                  <c:pt idx="2">
                    <c:v>3.0499264079657845E-3</c:v>
                  </c:pt>
                  <c:pt idx="3">
                    <c:v>3.6770996566390679E-3</c:v>
                  </c:pt>
                  <c:pt idx="4">
                    <c:v>3.4864313593964088E-4</c:v>
                  </c:pt>
                  <c:pt idx="5">
                    <c:v>2.2310503375835189E-3</c:v>
                  </c:pt>
                  <c:pt idx="6">
                    <c:v>3.0746568664089853E-4</c:v>
                  </c:pt>
                  <c:pt idx="7">
                    <c:v>4.7575444118742758E-3</c:v>
                  </c:pt>
                  <c:pt idx="8">
                    <c:v>7.7297203031216708E-3</c:v>
                  </c:pt>
                  <c:pt idx="9">
                    <c:v>1.235204343736884E-3</c:v>
                  </c:pt>
                  <c:pt idx="10">
                    <c:v>5.242732422493371E-3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averages_to_plot!$F$2:$F$21</c:f>
              <c:numCache>
                <c:formatCode>0%</c:formatCode>
                <c:ptCount val="20"/>
                <c:pt idx="0">
                  <c:v>0.99256965944272446</c:v>
                </c:pt>
                <c:pt idx="1">
                  <c:v>0.99577144686299612</c:v>
                </c:pt>
                <c:pt idx="2">
                  <c:v>0.9948426261672606</c:v>
                </c:pt>
                <c:pt idx="3">
                  <c:v>0.99194952497743938</c:v>
                </c:pt>
                <c:pt idx="4">
                  <c:v>0.99245010128784605</c:v>
                </c:pt>
                <c:pt idx="5">
                  <c:v>0.99243858168386478</c:v>
                </c:pt>
                <c:pt idx="6">
                  <c:v>0.99561012717556019</c:v>
                </c:pt>
                <c:pt idx="7">
                  <c:v>0.98452717661834011</c:v>
                </c:pt>
                <c:pt idx="8">
                  <c:v>0.98215077367522974</c:v>
                </c:pt>
                <c:pt idx="9">
                  <c:v>0.98504850554269163</c:v>
                </c:pt>
                <c:pt idx="10">
                  <c:v>0.97965129994587397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B-403D-AB5E-087DB363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Viability</a:t>
                </a:r>
                <a:r>
                  <a:rPr lang="nl-NL" baseline="0"/>
                  <a:t> average (Cells/mL)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Attenuation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averages_to_plot!$K$2:$K$21</c:f>
                <c:numCache>
                  <c:formatCode>General</c:formatCode>
                  <c:ptCount val="20"/>
                  <c:pt idx="0">
                    <c:v>0.64629559800450553</c:v>
                  </c:pt>
                  <c:pt idx="1">
                    <c:v>0.23475945135393431</c:v>
                  </c:pt>
                  <c:pt idx="2">
                    <c:v>1.2989551570396902</c:v>
                  </c:pt>
                  <c:pt idx="3">
                    <c:v>0.16546298679765212</c:v>
                  </c:pt>
                  <c:pt idx="4">
                    <c:v>0.25738686835190383</c:v>
                  </c:pt>
                  <c:pt idx="5">
                    <c:v>0</c:v>
                  </c:pt>
                  <c:pt idx="6">
                    <c:v>0.28708535316173811</c:v>
                  </c:pt>
                  <c:pt idx="7">
                    <c:v>0.17324116139070422</c:v>
                  </c:pt>
                  <c:pt idx="8">
                    <c:v>8.6974134085945495E-2</c:v>
                  </c:pt>
                  <c:pt idx="9">
                    <c:v>0.17889801564019658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averages_to_plot!$K$2:$K$21</c:f>
                <c:numCache>
                  <c:formatCode>General</c:formatCode>
                  <c:ptCount val="20"/>
                  <c:pt idx="0">
                    <c:v>0.64629559800450553</c:v>
                  </c:pt>
                  <c:pt idx="1">
                    <c:v>0.23475945135393431</c:v>
                  </c:pt>
                  <c:pt idx="2">
                    <c:v>1.2989551570396902</c:v>
                  </c:pt>
                  <c:pt idx="3">
                    <c:v>0.16546298679765212</c:v>
                  </c:pt>
                  <c:pt idx="4">
                    <c:v>0.25738686835190383</c:v>
                  </c:pt>
                  <c:pt idx="5">
                    <c:v>0</c:v>
                  </c:pt>
                  <c:pt idx="6">
                    <c:v>0.28708535316173811</c:v>
                  </c:pt>
                  <c:pt idx="7">
                    <c:v>0.17324116139070422</c:v>
                  </c:pt>
                  <c:pt idx="8">
                    <c:v>8.6974134085945495E-2</c:v>
                  </c:pt>
                  <c:pt idx="9">
                    <c:v>0.17889801564019658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averages_to_plot!$J$2:$J$21</c:f>
              <c:numCache>
                <c:formatCode>General</c:formatCode>
                <c:ptCount val="20"/>
                <c:pt idx="0">
                  <c:v>17.683</c:v>
                </c:pt>
                <c:pt idx="1">
                  <c:v>16.766000000000002</c:v>
                </c:pt>
                <c:pt idx="2">
                  <c:v>14.4815</c:v>
                </c:pt>
                <c:pt idx="3">
                  <c:v>12.050999999999998</c:v>
                </c:pt>
                <c:pt idx="4">
                  <c:v>8.827</c:v>
                </c:pt>
                <c:pt idx="5">
                  <c:v>6.9579999999999993</c:v>
                </c:pt>
                <c:pt idx="6">
                  <c:v>5.7129999999999992</c:v>
                </c:pt>
                <c:pt idx="7">
                  <c:v>5.2185000000000006</c:v>
                </c:pt>
                <c:pt idx="8">
                  <c:v>4.1204999999999998</c:v>
                </c:pt>
                <c:pt idx="9">
                  <c:v>3.9065000000000003</c:v>
                </c:pt>
                <c:pt idx="10">
                  <c:v>3.1349999999999998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4-42C4-A770-19E74097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Attenuation</a:t>
                </a:r>
                <a:r>
                  <a:rPr lang="nl-NL" baseline="0"/>
                  <a:t> (</a:t>
                </a:r>
                <a:r>
                  <a:rPr lang="nl-NL" baseline="0">
                    <a:latin typeface="Arial" panose="020B0604020202020204" pitchFamily="34" charset="0"/>
                    <a:cs typeface="Arial" panose="020B0604020202020204" pitchFamily="34" charset="0"/>
                  </a:rPr>
                  <a:t>°P)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Cone</a:t>
            </a:r>
            <a:r>
              <a:rPr lang="nl-NL" baseline="0"/>
              <a:t> viability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averages_to_plot!$I$2</c:f>
                <c:numCache>
                  <c:formatCode>General</c:formatCode>
                  <c:ptCount val="1"/>
                  <c:pt idx="0">
                    <c:v>5.2387313900677081E-3</c:v>
                  </c:pt>
                </c:numCache>
              </c:numRef>
            </c:plus>
            <c:minus>
              <c:numRef>
                <c:f>averages_to_plot!$I$2</c:f>
                <c:numCache>
                  <c:formatCode>General</c:formatCode>
                  <c:ptCount val="1"/>
                  <c:pt idx="0">
                    <c:v>5.2387313900677081E-3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averages_to_plot!$H$2</c:f>
              <c:numCache>
                <c:formatCode>0%</c:formatCode>
                <c:ptCount val="1"/>
                <c:pt idx="0">
                  <c:v>0.87855686608626637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C69-9EF3-22D0F7BB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81535"/>
        <c:axId val="175782015"/>
      </c:barChart>
      <c:catAx>
        <c:axId val="17578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5782015"/>
        <c:crosses val="autoZero"/>
        <c:auto val="1"/>
        <c:lblAlgn val="ctr"/>
        <c:lblOffset val="100"/>
        <c:noMultiLvlLbl val="0"/>
      </c:catAx>
      <c:valAx>
        <c:axId val="175782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Cone 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578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Sugars and ethanol</a:t>
            </a:r>
          </a:p>
        </c:rich>
      </c:tx>
      <c:layout>
        <c:manualLayout>
          <c:xMode val="edge"/>
          <c:yMode val="edge"/>
          <c:x val="0.4536666666666666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848526719562265"/>
          <c:y val="0.17171296296296296"/>
          <c:w val="0.74341092568613865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averages_to_plot!$N$1</c:f>
              <c:strCache>
                <c:ptCount val="1"/>
                <c:pt idx="0">
                  <c:v>Maltotriose_avg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averages_to_plot!$O$2:$O$21</c:f>
                <c:numCache>
                  <c:formatCode>General</c:formatCode>
                  <c:ptCount val="20"/>
                  <c:pt idx="0">
                    <c:v>0.71731179596506955</c:v>
                  </c:pt>
                  <c:pt idx="1">
                    <c:v>0.60719837758122297</c:v>
                  </c:pt>
                  <c:pt idx="2">
                    <c:v>0.98121374350382395</c:v>
                  </c:pt>
                  <c:pt idx="3">
                    <c:v>0.1023232383968954</c:v>
                  </c:pt>
                  <c:pt idx="4">
                    <c:v>0.12763733346366166</c:v>
                  </c:pt>
                  <c:pt idx="5">
                    <c:v>0.13209194030604335</c:v>
                  </c:pt>
                  <c:pt idx="6">
                    <c:v>0.21303444010762429</c:v>
                  </c:pt>
                  <c:pt idx="7">
                    <c:v>0.31516031881409068</c:v>
                  </c:pt>
                  <c:pt idx="8">
                    <c:v>0.1785060494263524</c:v>
                  </c:pt>
                  <c:pt idx="9">
                    <c:v>4.8672566277354154E-2</c:v>
                  </c:pt>
                  <c:pt idx="10">
                    <c:v>0.10580455301105914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averages_to_plot!$O$2:$O$21</c:f>
                <c:numCache>
                  <c:formatCode>General</c:formatCode>
                  <c:ptCount val="20"/>
                  <c:pt idx="0">
                    <c:v>0.71731179596506955</c:v>
                  </c:pt>
                  <c:pt idx="1">
                    <c:v>0.60719837758122297</c:v>
                  </c:pt>
                  <c:pt idx="2">
                    <c:v>0.98121374350382395</c:v>
                  </c:pt>
                  <c:pt idx="3">
                    <c:v>0.1023232383968954</c:v>
                  </c:pt>
                  <c:pt idx="4">
                    <c:v>0.12763733346366166</c:v>
                  </c:pt>
                  <c:pt idx="5">
                    <c:v>0.13209194030604335</c:v>
                  </c:pt>
                  <c:pt idx="6">
                    <c:v>0.21303444010762429</c:v>
                  </c:pt>
                  <c:pt idx="7">
                    <c:v>0.31516031881409068</c:v>
                  </c:pt>
                  <c:pt idx="8">
                    <c:v>0.1785060494263524</c:v>
                  </c:pt>
                  <c:pt idx="9">
                    <c:v>4.8672566277354154E-2</c:v>
                  </c:pt>
                  <c:pt idx="10">
                    <c:v>0.10580455301105914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averages_to_plot!$N$2:$N$21</c:f>
              <c:numCache>
                <c:formatCode>General</c:formatCode>
                <c:ptCount val="20"/>
                <c:pt idx="0">
                  <c:v>26.902534398497334</c:v>
                </c:pt>
                <c:pt idx="1">
                  <c:v>25.225284022607482</c:v>
                </c:pt>
                <c:pt idx="2">
                  <c:v>20.993471964796413</c:v>
                </c:pt>
                <c:pt idx="3">
                  <c:v>13.297147972132441</c:v>
                </c:pt>
                <c:pt idx="4">
                  <c:v>7.1892751520225593</c:v>
                </c:pt>
                <c:pt idx="5">
                  <c:v>4.3966452562264369</c:v>
                </c:pt>
                <c:pt idx="6">
                  <c:v>3.7212579785267392</c:v>
                </c:pt>
                <c:pt idx="7">
                  <c:v>3.5977479065771454</c:v>
                </c:pt>
                <c:pt idx="8">
                  <c:v>3.539189435282255</c:v>
                </c:pt>
                <c:pt idx="9">
                  <c:v>3.3907528313850142</c:v>
                </c:pt>
                <c:pt idx="10">
                  <c:v>3.2551776929747707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0-4319-BC7E-A4AB784DF961}"/>
            </c:ext>
          </c:extLst>
        </c:ser>
        <c:ser>
          <c:idx val="1"/>
          <c:order val="1"/>
          <c:tx>
            <c:strRef>
              <c:f>averages_to_plot!$P$1</c:f>
              <c:strCache>
                <c:ptCount val="1"/>
                <c:pt idx="0">
                  <c:v>Maltose_avg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averages_to_plot!$Q$2:$Q$21</c:f>
                <c:numCache>
                  <c:formatCode>General</c:formatCode>
                  <c:ptCount val="20"/>
                  <c:pt idx="0">
                    <c:v>1.1471718029284284</c:v>
                  </c:pt>
                  <c:pt idx="1">
                    <c:v>4.9497474683058327</c:v>
                  </c:pt>
                  <c:pt idx="2">
                    <c:v>2.4748737341529163</c:v>
                  </c:pt>
                  <c:pt idx="3">
                    <c:v>1.0606601717798212</c:v>
                  </c:pt>
                  <c:pt idx="4">
                    <c:v>0.70710678118654757</c:v>
                  </c:pt>
                  <c:pt idx="5">
                    <c:v>0.35355339059327379</c:v>
                  </c:pt>
                  <c:pt idx="6">
                    <c:v>0.17677669529663689</c:v>
                  </c:pt>
                  <c:pt idx="7">
                    <c:v>0.10606601717798238</c:v>
                  </c:pt>
                  <c:pt idx="8">
                    <c:v>4.5706483119655993E-2</c:v>
                  </c:pt>
                  <c:pt idx="9">
                    <c:v>4.3883432510895055E-2</c:v>
                  </c:pt>
                  <c:pt idx="10">
                    <c:v>8.5660530722859243E-2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averages_to_plot!$Q$2:$Q$21</c:f>
                <c:numCache>
                  <c:formatCode>General</c:formatCode>
                  <c:ptCount val="20"/>
                  <c:pt idx="0">
                    <c:v>1.1471718029284284</c:v>
                  </c:pt>
                  <c:pt idx="1">
                    <c:v>4.9497474683058327</c:v>
                  </c:pt>
                  <c:pt idx="2">
                    <c:v>2.4748737341529163</c:v>
                  </c:pt>
                  <c:pt idx="3">
                    <c:v>1.0606601717798212</c:v>
                  </c:pt>
                  <c:pt idx="4">
                    <c:v>0.70710678118654757</c:v>
                  </c:pt>
                  <c:pt idx="5">
                    <c:v>0.35355339059327379</c:v>
                  </c:pt>
                  <c:pt idx="6">
                    <c:v>0.17677669529663689</c:v>
                  </c:pt>
                  <c:pt idx="7">
                    <c:v>0.10606601717798238</c:v>
                  </c:pt>
                  <c:pt idx="8">
                    <c:v>4.5706483119655993E-2</c:v>
                  </c:pt>
                  <c:pt idx="9">
                    <c:v>4.3883432510895055E-2</c:v>
                  </c:pt>
                  <c:pt idx="10">
                    <c:v>8.5660530722859243E-2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averages_to_plot!$P$2:$P$21</c:f>
              <c:numCache>
                <c:formatCode>General</c:formatCode>
                <c:ptCount val="20"/>
                <c:pt idx="0">
                  <c:v>86.301668781724842</c:v>
                </c:pt>
                <c:pt idx="1">
                  <c:v>73</c:v>
                </c:pt>
                <c:pt idx="2">
                  <c:v>64.75</c:v>
                </c:pt>
                <c:pt idx="3">
                  <c:v>46.75</c:v>
                </c:pt>
                <c:pt idx="4">
                  <c:v>31</c:v>
                </c:pt>
                <c:pt idx="5">
                  <c:v>16.75</c:v>
                </c:pt>
                <c:pt idx="6">
                  <c:v>4.2249999999999996</c:v>
                </c:pt>
                <c:pt idx="7">
                  <c:v>3.375</c:v>
                </c:pt>
                <c:pt idx="8">
                  <c:v>3.4384960973593093</c:v>
                </c:pt>
                <c:pt idx="9">
                  <c:v>3.3013481048720434</c:v>
                </c:pt>
                <c:pt idx="10">
                  <c:v>3.2891217067850365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0-4319-BC7E-A4AB784DF961}"/>
            </c:ext>
          </c:extLst>
        </c:ser>
        <c:ser>
          <c:idx val="2"/>
          <c:order val="2"/>
          <c:tx>
            <c:strRef>
              <c:f>averages_to_plot!$R$1</c:f>
              <c:strCache>
                <c:ptCount val="1"/>
                <c:pt idx="0">
                  <c:v>Glucose_avg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averages_to_plot!$R$2:$R$21</c:f>
              <c:numCache>
                <c:formatCode>General</c:formatCode>
                <c:ptCount val="20"/>
                <c:pt idx="0">
                  <c:v>20.093827215081717</c:v>
                </c:pt>
                <c:pt idx="1">
                  <c:v>14.946589776906603</c:v>
                </c:pt>
                <c:pt idx="2">
                  <c:v>14.199260288061271</c:v>
                </c:pt>
                <c:pt idx="3">
                  <c:v>2.2000000000000002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0-4319-BC7E-A4AB784DF961}"/>
            </c:ext>
          </c:extLst>
        </c:ser>
        <c:ser>
          <c:idx val="3"/>
          <c:order val="3"/>
          <c:tx>
            <c:strRef>
              <c:f>averages_to_plot!$T$1</c:f>
              <c:strCache>
                <c:ptCount val="1"/>
                <c:pt idx="0">
                  <c:v>Fructose_avg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averages_to_plot!$U$2:$U$21</c:f>
                <c:numCache>
                  <c:formatCode>General</c:formatCode>
                  <c:ptCount val="20"/>
                  <c:pt idx="0">
                    <c:v>0.15132499724331666</c:v>
                  </c:pt>
                  <c:pt idx="1">
                    <c:v>0.12260132664908541</c:v>
                  </c:pt>
                  <c:pt idx="2">
                    <c:v>0.11647126031663174</c:v>
                  </c:pt>
                  <c:pt idx="3">
                    <c:v>7.0710678118654821E-2</c:v>
                  </c:pt>
                  <c:pt idx="4">
                    <c:v>0.17677669529663689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averages_to_plot!$U$2:$U$21</c:f>
                <c:numCache>
                  <c:formatCode>General</c:formatCode>
                  <c:ptCount val="20"/>
                  <c:pt idx="0">
                    <c:v>0.15132499724331666</c:v>
                  </c:pt>
                  <c:pt idx="1">
                    <c:v>0.12260132664908541</c:v>
                  </c:pt>
                  <c:pt idx="2">
                    <c:v>0.11647126031663174</c:v>
                  </c:pt>
                  <c:pt idx="3">
                    <c:v>7.0710678118654821E-2</c:v>
                  </c:pt>
                  <c:pt idx="4">
                    <c:v>0.17677669529663689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averages_to_plot!$T$2:$T$21</c:f>
              <c:numCache>
                <c:formatCode>General</c:formatCode>
                <c:ptCount val="20"/>
                <c:pt idx="0">
                  <c:v>7.7424308704324556</c:v>
                </c:pt>
                <c:pt idx="1">
                  <c:v>6.2728056401519279</c:v>
                </c:pt>
                <c:pt idx="2">
                  <c:v>5.9591653581443325</c:v>
                </c:pt>
                <c:pt idx="3">
                  <c:v>2.3499999999999996</c:v>
                </c:pt>
                <c:pt idx="4">
                  <c:v>1.125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60-4319-BC7E-A4AB784DF961}"/>
            </c:ext>
          </c:extLst>
        </c:ser>
        <c:ser>
          <c:idx val="4"/>
          <c:order val="4"/>
          <c:tx>
            <c:strRef>
              <c:f>averages_to_plot!$V$1</c:f>
              <c:strCache>
                <c:ptCount val="1"/>
                <c:pt idx="0">
                  <c:v>Glycerol_avg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averages_to_plot!$W$2:$W$22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2.2254082013151771E-3</c:v>
                  </c:pt>
                  <c:pt idx="2">
                    <c:v>2.114137791249371E-3</c:v>
                  </c:pt>
                  <c:pt idx="3">
                    <c:v>7.5203449561682262E-3</c:v>
                  </c:pt>
                  <c:pt idx="4">
                    <c:v>9.8224913713219446E-3</c:v>
                  </c:pt>
                  <c:pt idx="5">
                    <c:v>1.1254938029639911E-2</c:v>
                  </c:pt>
                  <c:pt idx="6">
                    <c:v>1.2482749451055311E-2</c:v>
                  </c:pt>
                  <c:pt idx="7">
                    <c:v>1.2482749451054997E-2</c:v>
                  </c:pt>
                  <c:pt idx="8">
                    <c:v>1.2789702306408846E-2</c:v>
                  </c:pt>
                  <c:pt idx="9">
                    <c:v>1.2738543497183362E-2</c:v>
                  </c:pt>
                  <c:pt idx="10">
                    <c:v>4.7447239709543616E-4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averages_to_plot!$W$2:$W$21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2.2254082013151771E-3</c:v>
                  </c:pt>
                  <c:pt idx="2">
                    <c:v>2.114137791249371E-3</c:v>
                  </c:pt>
                  <c:pt idx="3">
                    <c:v>7.5203449561682262E-3</c:v>
                  </c:pt>
                  <c:pt idx="4">
                    <c:v>9.8224913713219446E-3</c:v>
                  </c:pt>
                  <c:pt idx="5">
                    <c:v>1.1254938029639911E-2</c:v>
                  </c:pt>
                  <c:pt idx="6">
                    <c:v>1.2482749451055311E-2</c:v>
                  </c:pt>
                  <c:pt idx="7">
                    <c:v>1.2482749451054997E-2</c:v>
                  </c:pt>
                  <c:pt idx="8">
                    <c:v>1.2789702306408846E-2</c:v>
                  </c:pt>
                  <c:pt idx="9">
                    <c:v>1.2738543497183362E-2</c:v>
                  </c:pt>
                  <c:pt idx="10">
                    <c:v>4.7447239709543616E-4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averages_to_plot!$V$2:$V$21</c:f>
              <c:numCache>
                <c:formatCode>General</c:formatCode>
                <c:ptCount val="20"/>
                <c:pt idx="0">
                  <c:v>0</c:v>
                </c:pt>
                <c:pt idx="1">
                  <c:v>0.44791637505443749</c:v>
                </c:pt>
                <c:pt idx="2">
                  <c:v>0.42552055630171559</c:v>
                </c:pt>
                <c:pt idx="3">
                  <c:v>1.5136484398391337</c:v>
                </c:pt>
                <c:pt idx="4">
                  <c:v>1.9770102071368276</c:v>
                </c:pt>
                <c:pt idx="5">
                  <c:v>2.2653241956776156</c:v>
                </c:pt>
                <c:pt idx="6">
                  <c:v>2.5124504715697182</c:v>
                </c:pt>
                <c:pt idx="7">
                  <c:v>2.5124504715697187</c:v>
                </c:pt>
                <c:pt idx="8">
                  <c:v>2.5742320405427441</c:v>
                </c:pt>
                <c:pt idx="9">
                  <c:v>2.5639351123805731</c:v>
                </c:pt>
                <c:pt idx="10">
                  <c:v>2.5238098389780528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60-4319-BC7E-A4AB784DF961}"/>
            </c:ext>
          </c:extLst>
        </c:ser>
        <c:ser>
          <c:idx val="5"/>
          <c:order val="5"/>
          <c:tx>
            <c:strRef>
              <c:f>averages_to_plot!$X$1</c:f>
              <c:strCache>
                <c:ptCount val="1"/>
                <c:pt idx="0">
                  <c:v>Ethanol_avg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averages_to_plot!$Y$2:$Y$21</c:f>
                <c:numCache>
                  <c:formatCode>General</c:formatCode>
                  <c:ptCount val="20"/>
                  <c:pt idx="0">
                    <c:v>0.23379993426068715</c:v>
                  </c:pt>
                  <c:pt idx="1">
                    <c:v>0.141421356237309</c:v>
                  </c:pt>
                  <c:pt idx="2">
                    <c:v>0.56568542494923857</c:v>
                  </c:pt>
                  <c:pt idx="3">
                    <c:v>0.56568542494923857</c:v>
                  </c:pt>
                  <c:pt idx="4">
                    <c:v>0.70710678118654757</c:v>
                  </c:pt>
                  <c:pt idx="5">
                    <c:v>0.10606601717798113</c:v>
                  </c:pt>
                  <c:pt idx="6">
                    <c:v>0.24748737341528762</c:v>
                  </c:pt>
                  <c:pt idx="7">
                    <c:v>0.88388347648318444</c:v>
                  </c:pt>
                  <c:pt idx="8">
                    <c:v>1.0253048327204959</c:v>
                  </c:pt>
                  <c:pt idx="9">
                    <c:v>0.60104076400856143</c:v>
                  </c:pt>
                  <c:pt idx="10">
                    <c:v>1.3788582233137696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averages_to_plot!$Y$2:$Y$21</c:f>
                <c:numCache>
                  <c:formatCode>General</c:formatCode>
                  <c:ptCount val="20"/>
                  <c:pt idx="0">
                    <c:v>0.23379993426068715</c:v>
                  </c:pt>
                  <c:pt idx="1">
                    <c:v>0.141421356237309</c:v>
                  </c:pt>
                  <c:pt idx="2">
                    <c:v>0.56568542494923857</c:v>
                  </c:pt>
                  <c:pt idx="3">
                    <c:v>0.56568542494923857</c:v>
                  </c:pt>
                  <c:pt idx="4">
                    <c:v>0.70710678118654757</c:v>
                  </c:pt>
                  <c:pt idx="5">
                    <c:v>0.10606601717798113</c:v>
                  </c:pt>
                  <c:pt idx="6">
                    <c:v>0.24748737341528762</c:v>
                  </c:pt>
                  <c:pt idx="7">
                    <c:v>0.88388347648318444</c:v>
                  </c:pt>
                  <c:pt idx="8">
                    <c:v>1.0253048327204959</c:v>
                  </c:pt>
                  <c:pt idx="9">
                    <c:v>0.60104076400856143</c:v>
                  </c:pt>
                  <c:pt idx="10">
                    <c:v>1.3788582233137696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averages_to_plot!$X$2:$X$21</c:f>
              <c:numCache>
                <c:formatCode>General</c:formatCode>
                <c:ptCount val="20"/>
                <c:pt idx="0">
                  <c:v>0.46532151895670093</c:v>
                </c:pt>
                <c:pt idx="1">
                  <c:v>4.75</c:v>
                </c:pt>
                <c:pt idx="2">
                  <c:v>21.65</c:v>
                </c:pt>
                <c:pt idx="3">
                  <c:v>28.1</c:v>
                </c:pt>
                <c:pt idx="4">
                  <c:v>34.450000000000003</c:v>
                </c:pt>
                <c:pt idx="5">
                  <c:v>51.325000000000003</c:v>
                </c:pt>
                <c:pt idx="6">
                  <c:v>55.125</c:v>
                </c:pt>
                <c:pt idx="7">
                  <c:v>61.125</c:v>
                </c:pt>
                <c:pt idx="8">
                  <c:v>62.475000000000001</c:v>
                </c:pt>
                <c:pt idx="9">
                  <c:v>65.075000000000003</c:v>
                </c:pt>
                <c:pt idx="10">
                  <c:v>65.775000000000006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60-4319-BC7E-A4AB784DF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04653566305691"/>
          <c:y val="9.4535214348206498E-2"/>
          <c:w val="0.24116671373422605"/>
          <c:h val="0.30208661417322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Vicinal diketones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averages_to_plot!$AR$1</c:f>
              <c:strCache>
                <c:ptCount val="1"/>
                <c:pt idx="0">
                  <c:v>Diacetyl_avg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averages_to_plot!$AS$2:$AS$21</c:f>
                <c:numCache>
                  <c:formatCode>General</c:formatCode>
                  <c:ptCount val="20"/>
                  <c:pt idx="0">
                    <c:v>0.35355339059327379</c:v>
                  </c:pt>
                  <c:pt idx="1">
                    <c:v>21.5667568261897</c:v>
                  </c:pt>
                  <c:pt idx="2">
                    <c:v>165.46298679765212</c:v>
                  </c:pt>
                  <c:pt idx="3">
                    <c:v>211.42492757477771</c:v>
                  </c:pt>
                  <c:pt idx="4">
                    <c:v>56.214989104330527</c:v>
                  </c:pt>
                  <c:pt idx="5">
                    <c:v>146.7246570962086</c:v>
                  </c:pt>
                  <c:pt idx="6">
                    <c:v>89.802561210691536</c:v>
                  </c:pt>
                  <c:pt idx="7">
                    <c:v>215.31401487130373</c:v>
                  </c:pt>
                  <c:pt idx="8">
                    <c:v>13.435028842544403</c:v>
                  </c:pt>
                  <c:pt idx="9">
                    <c:v>141.42135623730951</c:v>
                  </c:pt>
                  <c:pt idx="10">
                    <c:v>230.87036405740776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averages_to_plot!$AS$2:$AS$21</c:f>
                <c:numCache>
                  <c:formatCode>General</c:formatCode>
                  <c:ptCount val="20"/>
                  <c:pt idx="0">
                    <c:v>0.35355339059327379</c:v>
                  </c:pt>
                  <c:pt idx="1">
                    <c:v>21.5667568261897</c:v>
                  </c:pt>
                  <c:pt idx="2">
                    <c:v>165.46298679765212</c:v>
                  </c:pt>
                  <c:pt idx="3">
                    <c:v>211.42492757477771</c:v>
                  </c:pt>
                  <c:pt idx="4">
                    <c:v>56.214989104330527</c:v>
                  </c:pt>
                  <c:pt idx="5">
                    <c:v>146.7246570962086</c:v>
                  </c:pt>
                  <c:pt idx="6">
                    <c:v>89.802561210691536</c:v>
                  </c:pt>
                  <c:pt idx="7">
                    <c:v>215.31401487130373</c:v>
                  </c:pt>
                  <c:pt idx="8">
                    <c:v>13.435028842544403</c:v>
                  </c:pt>
                  <c:pt idx="9">
                    <c:v>141.42135623730951</c:v>
                  </c:pt>
                  <c:pt idx="10">
                    <c:v>230.87036405740776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averages_to_plot!$AR$2:$AR$21</c:f>
              <c:numCache>
                <c:formatCode>General</c:formatCode>
                <c:ptCount val="20"/>
                <c:pt idx="0">
                  <c:v>97.25</c:v>
                </c:pt>
                <c:pt idx="1">
                  <c:v>721.75</c:v>
                </c:pt>
                <c:pt idx="2">
                  <c:v>2692</c:v>
                </c:pt>
                <c:pt idx="3">
                  <c:v>4949</c:v>
                </c:pt>
                <c:pt idx="4">
                  <c:v>5940.25</c:v>
                </c:pt>
                <c:pt idx="5">
                  <c:v>4840.25</c:v>
                </c:pt>
                <c:pt idx="6">
                  <c:v>3602.5</c:v>
                </c:pt>
                <c:pt idx="7">
                  <c:v>2626.25</c:v>
                </c:pt>
                <c:pt idx="8">
                  <c:v>2210.5</c:v>
                </c:pt>
                <c:pt idx="9">
                  <c:v>1670</c:v>
                </c:pt>
                <c:pt idx="10">
                  <c:v>1396.75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A-49EF-972A-A999474FCDCE}"/>
            </c:ext>
          </c:extLst>
        </c:ser>
        <c:ser>
          <c:idx val="1"/>
          <c:order val="1"/>
          <c:tx>
            <c:strRef>
              <c:f>averages_to_plot!$AT$1</c:f>
              <c:strCache>
                <c:ptCount val="1"/>
                <c:pt idx="0">
                  <c:v>2,3-pentanedione_avg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averages_to_plot!$AU$2:$AU$21</c:f>
                <c:numCache>
                  <c:formatCode>General</c:formatCode>
                  <c:ptCount val="20"/>
                  <c:pt idx="0">
                    <c:v>0.35355339059327379</c:v>
                  </c:pt>
                  <c:pt idx="1">
                    <c:v>13.788582233137676</c:v>
                  </c:pt>
                  <c:pt idx="2">
                    <c:v>24.041630560342615</c:v>
                  </c:pt>
                  <c:pt idx="3">
                    <c:v>122.32947314527271</c:v>
                  </c:pt>
                  <c:pt idx="4">
                    <c:v>112.42997820866105</c:v>
                  </c:pt>
                  <c:pt idx="5">
                    <c:v>127.63277400417182</c:v>
                  </c:pt>
                  <c:pt idx="6">
                    <c:v>71.771338290434571</c:v>
                  </c:pt>
                  <c:pt idx="7">
                    <c:v>46.669047558312137</c:v>
                  </c:pt>
                  <c:pt idx="8">
                    <c:v>117.73327906756016</c:v>
                  </c:pt>
                  <c:pt idx="9">
                    <c:v>35.001785668734101</c:v>
                  </c:pt>
                  <c:pt idx="10">
                    <c:v>126.92566722298528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averages_to_plot!$AU$2:$AU$21</c:f>
                <c:numCache>
                  <c:formatCode>General</c:formatCode>
                  <c:ptCount val="20"/>
                  <c:pt idx="0">
                    <c:v>0.35355339059327379</c:v>
                  </c:pt>
                  <c:pt idx="1">
                    <c:v>13.788582233137676</c:v>
                  </c:pt>
                  <c:pt idx="2">
                    <c:v>24.041630560342615</c:v>
                  </c:pt>
                  <c:pt idx="3">
                    <c:v>122.32947314527271</c:v>
                  </c:pt>
                  <c:pt idx="4">
                    <c:v>112.42997820866105</c:v>
                  </c:pt>
                  <c:pt idx="5">
                    <c:v>127.63277400417182</c:v>
                  </c:pt>
                  <c:pt idx="6">
                    <c:v>71.771338290434571</c:v>
                  </c:pt>
                  <c:pt idx="7">
                    <c:v>46.669047558312137</c:v>
                  </c:pt>
                  <c:pt idx="8">
                    <c:v>117.73327906756016</c:v>
                  </c:pt>
                  <c:pt idx="9">
                    <c:v>35.001785668734101</c:v>
                  </c:pt>
                  <c:pt idx="10">
                    <c:v>126.92566722298528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averages_to_plot!$AT$2:$AT$21</c:f>
              <c:numCache>
                <c:formatCode>General</c:formatCode>
                <c:ptCount val="20"/>
                <c:pt idx="0">
                  <c:v>19.25</c:v>
                </c:pt>
                <c:pt idx="1">
                  <c:v>466.75</c:v>
                </c:pt>
                <c:pt idx="2">
                  <c:v>1392.5</c:v>
                </c:pt>
                <c:pt idx="3">
                  <c:v>1988.5</c:v>
                </c:pt>
                <c:pt idx="4">
                  <c:v>2139</c:v>
                </c:pt>
                <c:pt idx="5">
                  <c:v>1824.75</c:v>
                </c:pt>
                <c:pt idx="6">
                  <c:v>1645.75</c:v>
                </c:pt>
                <c:pt idx="7">
                  <c:v>1427</c:v>
                </c:pt>
                <c:pt idx="8">
                  <c:v>1198.25</c:v>
                </c:pt>
                <c:pt idx="9">
                  <c:v>846.75</c:v>
                </c:pt>
                <c:pt idx="10">
                  <c:v>756.25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9A-49EF-972A-A999474F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</a:t>
                </a:r>
                <a:r>
                  <a:rPr lang="nl-NL" baseline="0"/>
                  <a:t> (mg/L)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Ethyl</a:t>
            </a:r>
            <a:r>
              <a:rPr lang="nl-NL" baseline="0"/>
              <a:t> esters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averages_to_plot!$AZ$1</c:f>
              <c:strCache>
                <c:ptCount val="1"/>
                <c:pt idx="0">
                  <c:v>Ethyl_butyrate_avg_normalized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averages_to_plot!$AZ$7</c:f>
              <c:numCache>
                <c:formatCode>General</c:formatCode>
                <c:ptCount val="1"/>
                <c:pt idx="0">
                  <c:v>0.40646858256210427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ED9-ACED-2EB33C5E065E}"/>
            </c:ext>
          </c:extLst>
        </c:ser>
        <c:ser>
          <c:idx val="1"/>
          <c:order val="1"/>
          <c:tx>
            <c:strRef>
              <c:f>averages_to_plot!$BH$1</c:f>
              <c:strCache>
                <c:ptCount val="1"/>
                <c:pt idx="0">
                  <c:v>Ethyl_hexanoate_avg_normalized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averages_to_plot!$BH$7</c:f>
              <c:numCache>
                <c:formatCode>General</c:formatCode>
                <c:ptCount val="1"/>
                <c:pt idx="0">
                  <c:v>0.51878226984900155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6-4ED9-ACED-2EB33C5E065E}"/>
            </c:ext>
          </c:extLst>
        </c:ser>
        <c:ser>
          <c:idx val="2"/>
          <c:order val="2"/>
          <c:tx>
            <c:strRef>
              <c:f>averages_to_plot!$BJ$1</c:f>
              <c:strCache>
                <c:ptCount val="1"/>
                <c:pt idx="0">
                  <c:v>Ethyl_octanoate_avg_normalized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averages_to_plot!$BJ$7</c:f>
              <c:numCache>
                <c:formatCode>General</c:formatCode>
                <c:ptCount val="1"/>
                <c:pt idx="0">
                  <c:v>3.8097515830491959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6-4ED9-ACED-2EB33C5E065E}"/>
            </c:ext>
          </c:extLst>
        </c:ser>
        <c:ser>
          <c:idx val="3"/>
          <c:order val="3"/>
          <c:tx>
            <c:strRef>
              <c:f>averages_to_plot!$BL$1</c:f>
              <c:strCache>
                <c:ptCount val="1"/>
                <c:pt idx="0">
                  <c:v>Ethyl_decanoate_avg_normalized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averages_to_plot!$BL$7</c:f>
              <c:numCache>
                <c:formatCode>General</c:formatCode>
                <c:ptCount val="1"/>
                <c:pt idx="0">
                  <c:v>8.2862542620555271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6-4ED9-ACED-2EB33C5E0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Ethyl</a:t>
            </a:r>
            <a:r>
              <a:rPr lang="nl-NL" baseline="0"/>
              <a:t> esters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averages_to_plot!$AV$1</c:f>
              <c:strCache>
                <c:ptCount val="1"/>
                <c:pt idx="0">
                  <c:v>Ethyl_acetate_avg_normalized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averages_to_plot!$AV$7</c:f>
              <c:numCache>
                <c:formatCode>General</c:formatCode>
                <c:ptCount val="1"/>
                <c:pt idx="0">
                  <c:v>18.506799805163176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0-4108-BF80-970B21BDAA63}"/>
            </c:ext>
          </c:extLst>
        </c:ser>
        <c:ser>
          <c:idx val="1"/>
          <c:order val="1"/>
          <c:tx>
            <c:strRef>
              <c:f>averages_to_plot!$AX$1</c:f>
              <c:strCache>
                <c:ptCount val="1"/>
                <c:pt idx="0">
                  <c:v>Isobutyl_acetate_avg_normalized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averages_to_plot!$AX$7</c:f>
              <c:numCache>
                <c:formatCode>General</c:formatCode>
                <c:ptCount val="1"/>
                <c:pt idx="0">
                  <c:v>0.12122747199220651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0-4108-BF80-970B21BDAA63}"/>
            </c:ext>
          </c:extLst>
        </c:ser>
        <c:ser>
          <c:idx val="2"/>
          <c:order val="2"/>
          <c:tx>
            <c:strRef>
              <c:f>averages_to_plot!$BD$1</c:f>
              <c:strCache>
                <c:ptCount val="1"/>
                <c:pt idx="0">
                  <c:v>Isoamyl_acetate_avg_normalized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averages_to_plot!$BD$7</c:f>
              <c:numCache>
                <c:formatCode>General</c:formatCode>
                <c:ptCount val="1"/>
                <c:pt idx="0">
                  <c:v>3.5779931807111542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0-4108-BF80-970B21BDA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Higher alcohols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averages_to_plot!$BB$1</c:f>
              <c:strCache>
                <c:ptCount val="1"/>
                <c:pt idx="0">
                  <c:v>Isobutanol_avg_normalized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averages_to_plot!$BB$7</c:f>
              <c:numCache>
                <c:formatCode>General</c:formatCode>
                <c:ptCount val="1"/>
                <c:pt idx="0">
                  <c:v>7.8013443740867032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E73-B7C4-69560A00E5FF}"/>
            </c:ext>
          </c:extLst>
        </c:ser>
        <c:ser>
          <c:idx val="1"/>
          <c:order val="1"/>
          <c:tx>
            <c:strRef>
              <c:f>averages_to_plot!$BF$1</c:f>
              <c:strCache>
                <c:ptCount val="1"/>
                <c:pt idx="0">
                  <c:v>Isoamyl_alcohol_avg_normalized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averages_to_plot!$BF$7</c:f>
              <c:numCache>
                <c:formatCode>General</c:formatCode>
                <c:ptCount val="1"/>
                <c:pt idx="0">
                  <c:v>48.722747199220656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A-4E73-B7C4-69560A00E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147636</xdr:rowOff>
    </xdr:from>
    <xdr:to>
      <xdr:col>22</xdr:col>
      <xdr:colOff>209550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FEE132-1D08-1721-B2E0-9F37A149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1</xdr:row>
      <xdr:rowOff>165099</xdr:rowOff>
    </xdr:from>
    <xdr:to>
      <xdr:col>18</xdr:col>
      <xdr:colOff>286075</xdr:colOff>
      <xdr:row>21</xdr:row>
      <xdr:rowOff>39724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471DA-9A7F-E3D6-C7AC-3CE0F110B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4</xdr:row>
      <xdr:rowOff>82550</xdr:rowOff>
    </xdr:from>
    <xdr:to>
      <xdr:col>19</xdr:col>
      <xdr:colOff>235275</xdr:colOff>
      <xdr:row>24</xdr:row>
      <xdr:rowOff>59875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E462E-C4FB-E547-41BB-DF9482CEF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143496</xdr:colOff>
      <xdr:row>7</xdr:row>
      <xdr:rowOff>77235</xdr:rowOff>
    </xdr:from>
    <xdr:to>
      <xdr:col>10</xdr:col>
      <xdr:colOff>488053</xdr:colOff>
      <xdr:row>21</xdr:row>
      <xdr:rowOff>153435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7CDF0-C6F2-2D9A-BF3E-2E58091B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287032</xdr:colOff>
      <xdr:row>24</xdr:row>
      <xdr:rowOff>69268</xdr:rowOff>
    </xdr:from>
    <xdr:to>
      <xdr:col>10</xdr:col>
      <xdr:colOff>198029</xdr:colOff>
      <xdr:row>40</xdr:row>
      <xdr:rowOff>107367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107C4D-D124-6FAF-2E8A-9C1E647D2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343216</xdr:colOff>
      <xdr:row>24</xdr:row>
      <xdr:rowOff>88802</xdr:rowOff>
    </xdr:from>
    <xdr:to>
      <xdr:col>15</xdr:col>
      <xdr:colOff>1470692</xdr:colOff>
      <xdr:row>40</xdr:row>
      <xdr:rowOff>126901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F1F685-53B3-4BE9-BE11-1D03CE25D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20332</xdr:colOff>
      <xdr:row>22</xdr:row>
      <xdr:rowOff>21643</xdr:rowOff>
    </xdr:from>
    <xdr:to>
      <xdr:col>9</xdr:col>
      <xdr:colOff>161925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ACE31-2762-46DB-92A5-BF2239FF6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819150</xdr:colOff>
      <xdr:row>22</xdr:row>
      <xdr:rowOff>85725</xdr:rowOff>
    </xdr:from>
    <xdr:to>
      <xdr:col>15</xdr:col>
      <xdr:colOff>646418</xdr:colOff>
      <xdr:row>41</xdr:row>
      <xdr:rowOff>172032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C55543-55F0-46F5-9678-E4E0FDFE3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20637</xdr:colOff>
      <xdr:row>23</xdr:row>
      <xdr:rowOff>19050</xdr:rowOff>
    </xdr:from>
    <xdr:to>
      <xdr:col>5</xdr:col>
      <xdr:colOff>839787</xdr:colOff>
      <xdr:row>38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AC7F6C-6C27-8733-AE6F-9A801B588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1016000</xdr:colOff>
      <xdr:row>23</xdr:row>
      <xdr:rowOff>44450</xdr:rowOff>
    </xdr:from>
    <xdr:to>
      <xdr:col>8</xdr:col>
      <xdr:colOff>1381125</xdr:colOff>
      <xdr:row>38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F7D188F-48EA-469A-AF92-6285838F2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147637</xdr:rowOff>
    </xdr:from>
    <xdr:to>
      <xdr:col>5</xdr:col>
      <xdr:colOff>390525</xdr:colOff>
      <xdr:row>38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D2CBE-8D76-69BE-B4B6-C4E30E73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500063</xdr:colOff>
      <xdr:row>23</xdr:row>
      <xdr:rowOff>123825</xdr:rowOff>
    </xdr:from>
    <xdr:to>
      <xdr:col>9</xdr:col>
      <xdr:colOff>433388</xdr:colOff>
      <xdr:row>38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BF96B-05EB-4350-B9AE-EA62DDC92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87457</xdr:rowOff>
    </xdr:from>
    <xdr:to>
      <xdr:col>5</xdr:col>
      <xdr:colOff>387927</xdr:colOff>
      <xdr:row>52</xdr:row>
      <xdr:rowOff>163657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FC69D-6E85-49D3-8E17-ECB21117F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484909</xdr:colOff>
      <xdr:row>23</xdr:row>
      <xdr:rowOff>103476</xdr:rowOff>
    </xdr:from>
    <xdr:to>
      <xdr:col>14</xdr:col>
      <xdr:colOff>944707</xdr:colOff>
      <xdr:row>37</xdr:row>
      <xdr:rowOff>179676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2254C0-2F08-2B85-6445-631AB6A7F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506557</xdr:colOff>
      <xdr:row>38</xdr:row>
      <xdr:rowOff>77932</xdr:rowOff>
    </xdr:from>
    <xdr:to>
      <xdr:col>9</xdr:col>
      <xdr:colOff>425161</xdr:colOff>
      <xdr:row>52</xdr:row>
      <xdr:rowOff>154132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9D1695-F51A-45F3-A7C8-DB71674B4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502226</xdr:colOff>
      <xdr:row>38</xdr:row>
      <xdr:rowOff>95250</xdr:rowOff>
    </xdr:from>
    <xdr:to>
      <xdr:col>14</xdr:col>
      <xdr:colOff>968951</xdr:colOff>
      <xdr:row>52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9797DA-217F-47F5-90D1-63D2E0C5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57150</xdr:rowOff>
    </xdr:from>
    <xdr:to>
      <xdr:col>5</xdr:col>
      <xdr:colOff>392257</xdr:colOff>
      <xdr:row>67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4117DF-DA33-1E5D-1F0D-70A300CB8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504825</xdr:colOff>
      <xdr:row>53</xdr:row>
      <xdr:rowOff>76200</xdr:rowOff>
    </xdr:from>
    <xdr:to>
      <xdr:col>9</xdr:col>
      <xdr:colOff>439882</xdr:colOff>
      <xdr:row>67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8C8239-2821-429C-A5CE-88C9FB66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504825</xdr:colOff>
      <xdr:row>53</xdr:row>
      <xdr:rowOff>95250</xdr:rowOff>
    </xdr:from>
    <xdr:to>
      <xdr:col>14</xdr:col>
      <xdr:colOff>963757</xdr:colOff>
      <xdr:row>67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D183749-D924-4DC0-8AC9-A4994B470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9812-7063-4CA0-BF5E-9D4CC4D92E5B}">
  <sheetPr codeName="Sheet1"/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DAC9-CB49-468B-93F6-B19DD5156F1F}">
  <sheetPr codeName="Sheet2"/>
  <dimension ref="A1:L34"/>
  <sheetViews>
    <sheetView workbookViewId="0">
      <selection activeCell="J5" sqref="J5"/>
    </sheetView>
  </sheetViews>
  <sheetFormatPr defaultColWidth="8.7109375" defaultRowHeight="15" x14ac:dyDescent="0.25"/>
  <cols>
    <col min="1" max="1" width="19.5703125" style="72" customWidth="1"/>
    <col min="2" max="2" width="27.7109375" style="72" bestFit="1" customWidth="1"/>
    <col min="3" max="3" width="19.5703125" style="72" customWidth="1"/>
    <col min="4" max="4" width="21.7109375" style="72" bestFit="1" customWidth="1"/>
    <col min="5" max="7" width="19.5703125" style="72" customWidth="1"/>
    <col min="8" max="8" width="21.5703125" style="72" bestFit="1" customWidth="1"/>
    <col min="9" max="9" width="13.42578125" style="72" bestFit="1" customWidth="1"/>
    <col min="10" max="10" width="10.5703125" style="72" customWidth="1"/>
    <col min="11" max="16384" width="8.7109375" style="72"/>
  </cols>
  <sheetData>
    <row r="1" spans="1:12" ht="15.75" x14ac:dyDescent="0.25">
      <c r="A1" s="70" t="s">
        <v>3</v>
      </c>
      <c r="B1" s="70" t="s">
        <v>122</v>
      </c>
      <c r="C1" s="70" t="s">
        <v>4</v>
      </c>
      <c r="D1" s="70" t="s">
        <v>191</v>
      </c>
      <c r="E1" s="70" t="s">
        <v>192</v>
      </c>
      <c r="F1" s="70" t="s">
        <v>193</v>
      </c>
      <c r="G1" s="70" t="s">
        <v>53</v>
      </c>
      <c r="H1" s="70" t="s">
        <v>52</v>
      </c>
      <c r="I1" s="72" t="s">
        <v>314</v>
      </c>
      <c r="J1" s="72" t="s">
        <v>313</v>
      </c>
    </row>
    <row r="2" spans="1:12" ht="15.75" x14ac:dyDescent="0.25">
      <c r="A2" s="73">
        <v>1</v>
      </c>
      <c r="B2" s="73" t="s">
        <v>124</v>
      </c>
      <c r="C2" s="73" t="s">
        <v>326</v>
      </c>
      <c r="D2" s="72">
        <v>17</v>
      </c>
      <c r="E2" s="74">
        <v>5000000</v>
      </c>
      <c r="F2" s="73">
        <v>12</v>
      </c>
      <c r="G2" s="73">
        <v>1001</v>
      </c>
      <c r="H2" s="95">
        <v>46268</v>
      </c>
      <c r="I2" s="72">
        <v>2</v>
      </c>
      <c r="J2" s="72">
        <v>1</v>
      </c>
    </row>
    <row r="3" spans="1:12" ht="15.75" x14ac:dyDescent="0.25">
      <c r="A3" s="73">
        <v>2</v>
      </c>
      <c r="B3" s="73"/>
    </row>
    <row r="4" spans="1:12" ht="15.75" x14ac:dyDescent="0.25">
      <c r="A4" s="70"/>
      <c r="B4" s="73"/>
    </row>
    <row r="5" spans="1:12" ht="15.75" x14ac:dyDescent="0.25">
      <c r="A5" s="70"/>
    </row>
    <row r="6" spans="1:12" ht="15.75" x14ac:dyDescent="0.25">
      <c r="A6" s="70"/>
      <c r="B6" s="74"/>
    </row>
    <row r="7" spans="1:12" ht="15.75" x14ac:dyDescent="0.25">
      <c r="A7" s="70"/>
      <c r="B7" s="73"/>
    </row>
    <row r="8" spans="1:12" ht="15.75" x14ac:dyDescent="0.25">
      <c r="A8" s="70"/>
      <c r="B8" s="73"/>
      <c r="D8"/>
      <c r="E8" s="70"/>
    </row>
    <row r="9" spans="1:12" ht="15.75" x14ac:dyDescent="0.25">
      <c r="A9" s="70"/>
      <c r="B9" s="75"/>
      <c r="E9" s="70"/>
    </row>
    <row r="10" spans="1:12" ht="15.75" x14ac:dyDescent="0.25">
      <c r="A10"/>
      <c r="B10"/>
      <c r="E10" s="70"/>
      <c r="F10"/>
      <c r="G10"/>
      <c r="H10"/>
      <c r="I10"/>
      <c r="J10"/>
      <c r="K10"/>
      <c r="L10"/>
    </row>
    <row r="11" spans="1:12" ht="15.75" x14ac:dyDescent="0.25">
      <c r="A11"/>
      <c r="B11"/>
      <c r="E11" s="77"/>
      <c r="F11"/>
      <c r="G11"/>
      <c r="H11"/>
      <c r="I11"/>
      <c r="J11"/>
      <c r="K11"/>
      <c r="L11"/>
    </row>
    <row r="12" spans="1:12" ht="15.75" x14ac:dyDescent="0.25">
      <c r="A12"/>
      <c r="B12"/>
      <c r="C12"/>
      <c r="E12" s="70"/>
      <c r="F12"/>
      <c r="G12"/>
      <c r="H12"/>
      <c r="I12"/>
      <c r="J12"/>
      <c r="K12"/>
      <c r="L12"/>
    </row>
    <row r="13" spans="1:12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2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ht="18.75" x14ac:dyDescent="0.3">
      <c r="A24"/>
      <c r="B24"/>
      <c r="C24"/>
      <c r="D24"/>
      <c r="E24" s="76"/>
      <c r="F24"/>
      <c r="G24"/>
      <c r="H24"/>
      <c r="I24"/>
      <c r="J24"/>
      <c r="K24"/>
      <c r="L24"/>
    </row>
    <row r="25" spans="1:12" ht="15.75" x14ac:dyDescent="0.25">
      <c r="A25"/>
      <c r="B25"/>
      <c r="C25"/>
      <c r="D25"/>
      <c r="E25" s="73"/>
      <c r="F25"/>
      <c r="G25"/>
      <c r="H25"/>
      <c r="I25"/>
      <c r="J25"/>
      <c r="K25"/>
      <c r="L25"/>
    </row>
    <row r="26" spans="1:12" ht="15.75" x14ac:dyDescent="0.25">
      <c r="A26"/>
      <c r="B26"/>
      <c r="C26"/>
      <c r="D26"/>
      <c r="E26" s="70"/>
      <c r="F26"/>
      <c r="G26"/>
      <c r="H26"/>
      <c r="I26"/>
      <c r="J26"/>
      <c r="K26"/>
      <c r="L26"/>
    </row>
    <row r="27" spans="1:12" x14ac:dyDescent="0.25">
      <c r="A27"/>
      <c r="B27"/>
      <c r="C27"/>
      <c r="F27"/>
      <c r="G27"/>
      <c r="H27"/>
      <c r="I27"/>
      <c r="J27"/>
      <c r="K27"/>
      <c r="L27"/>
    </row>
    <row r="32" spans="1:12" ht="15.75" x14ac:dyDescent="0.25">
      <c r="E32" s="70"/>
    </row>
    <row r="33" spans="5:5" x14ac:dyDescent="0.25">
      <c r="E33"/>
    </row>
    <row r="34" spans="5:5" x14ac:dyDescent="0.25">
      <c r="E34"/>
    </row>
  </sheetData>
  <phoneticPr fontId="15" type="noConversion"/>
  <dataValidations xWindow="570" yWindow="287" count="2">
    <dataValidation type="whole" errorStyle="warning" showErrorMessage="1" errorTitle="Not recognized, not a number" sqref="G2" xr:uid="{9C8B4F3B-9CDB-43A0-B708-CC59E0BC5C5E}">
      <formula1>0</formula1>
      <formula2>99999</formula2>
    </dataValidation>
    <dataValidation type="date" allowBlank="1" showInputMessage="1" showErrorMessage="1" errorTitle="Not a date" error="Please enter a date in the standard format" promptTitle="Start date of experiment" sqref="H2" xr:uid="{0CAF404C-2BB4-43DC-9859-AFE4847D3E32}">
      <formula1>43466</formula1>
      <formula2>219148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xWindow="570" yWindow="287" count="7">
        <x14:dataValidation type="list" errorStyle="warning" allowBlank="1" showInputMessage="1" showErrorMessage="1" errorTitle="Not recognized" error="Please check your spelling" promptTitle="Select species used" xr:uid="{CEA7FDAF-CB6B-44A5-8D74-1770A8335159}">
          <x14:formula1>
            <xm:f>'Excel_parameters_(ignore)'!$B$2:$B$4</xm:f>
          </x14:formula1>
          <xm:sqref>B2</xm:sqref>
        </x14:dataValidation>
        <x14:dataValidation type="list" errorStyle="warning" allowBlank="1" showInputMessage="1" showErrorMessage="1" errorTitle="Not standard" error="If target was 5, 10 or 15 please round off for data visualization purposes" promptTitle="Targeted starting inoculum" xr:uid="{71521539-0B4D-4B1E-8412-256A8B14E999}">
          <x14:formula1>
            <xm:f>'Excel_parameters_(ignore)'!$E$2:$E$4</xm:f>
          </x14:formula1>
          <xm:sqref>E2</xm:sqref>
        </x14:dataValidation>
        <x14:dataValidation type="list" errorStyle="warning" allowBlank="1" showInputMessage="1" showErrorMessage="1" errorTitle="Not standard" xr:uid="{4405952F-969F-4194-9D82-314EFA453715}">
          <x14:formula1>
            <xm:f>'Excel_parameters_(ignore)'!$F$2:$F$3</xm:f>
          </x14:formula1>
          <xm:sqref>F2</xm:sqref>
        </x14:dataValidation>
        <x14:dataValidation type="list" allowBlank="1" showInputMessage="1" showErrorMessage="1" xr:uid="{BF97FD62-8960-496A-A721-8635BBFEE3BC}">
          <x14:formula1>
            <xm:f>'Excel_parameters_(ignore)'!$A$2:$A$25</xm:f>
          </x14:formula1>
          <xm:sqref>E25 A2:A3</xm:sqref>
        </x14:dataValidation>
        <x14:dataValidation type="list" errorStyle="warning" showErrorMessage="1" errorTitle="Enter pitch number" error="Enter 1 if this is a normal experiment from a pre-culture, if this is re-pitched from a previous tall tube, enter relevant number" xr:uid="{D7B8AA7D-975D-4718-B170-9140654C8CA7}">
          <x14:formula1>
            <xm:f>'Excel_parameters_(ignore)'!$J$2:$J$6</xm:f>
          </x14:formula1>
          <xm:sqref>J2</xm:sqref>
        </x14:dataValidation>
        <x14:dataValidation type="list" errorStyle="warning" showInputMessage="1" showErrorMessage="1" errorTitle="Enter # of replicates!" xr:uid="{00C97FA2-BDDD-43AF-A6BD-A024DBC5EC2F}">
          <x14:formula1>
            <xm:f>'Excel_parameters_(ignore)'!$I$2:$I$3</xm:f>
          </x14:formula1>
          <xm:sqref>I2</xm:sqref>
        </x14:dataValidation>
        <x14:dataValidation type="list" errorStyle="warning" allowBlank="1" showInputMessage="1" showErrorMessage="1" errorTitle="Not standard" error="Round off to 17, 20, 23 or 26 for data visualization purposes if applicable" promptTitle="Starting gravity" prompt="Starting gravity for data visualization, round off to nearest applicable number_x000a_" xr:uid="{552F0A09-6FAB-4E3E-9488-B82DDBF8ABB6}">
          <x14:formula1>
            <xm:f>'Excel_parameters_(ignore)'!$D$2:$D$8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3329-5FA4-4BA8-AA70-7728E8657519}">
  <sheetPr codeName="Sheet3"/>
  <dimension ref="A1:K46"/>
  <sheetViews>
    <sheetView topLeftCell="A24" workbookViewId="0">
      <selection activeCell="E31" sqref="E31"/>
    </sheetView>
  </sheetViews>
  <sheetFormatPr defaultRowHeight="15" x14ac:dyDescent="0.25"/>
  <cols>
    <col min="8" max="8" width="9.42578125" bestFit="1" customWidth="1"/>
  </cols>
  <sheetData>
    <row r="1" spans="1:11" ht="15.75" thickBot="1" x14ac:dyDescent="0.3">
      <c r="A1" s="21" t="s">
        <v>5</v>
      </c>
      <c r="B1" s="22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4"/>
      <c r="B2" s="25"/>
      <c r="C2" s="26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28">
        <v>44442</v>
      </c>
      <c r="B3" s="29" t="s">
        <v>6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28"/>
      <c r="B4" s="29" t="s">
        <v>7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28"/>
      <c r="B5" s="25"/>
      <c r="C5" s="27"/>
      <c r="D5" s="27"/>
      <c r="E5" s="27"/>
      <c r="F5" s="27"/>
      <c r="G5" s="27"/>
      <c r="H5" s="27"/>
      <c r="I5" s="27"/>
      <c r="J5" s="27"/>
      <c r="K5" s="27"/>
    </row>
    <row r="6" spans="1:11" x14ac:dyDescent="0.25">
      <c r="A6" s="28">
        <v>44445</v>
      </c>
      <c r="B6" s="29" t="s">
        <v>8</v>
      </c>
      <c r="C6" s="27"/>
      <c r="D6" s="27"/>
      <c r="E6" s="27"/>
      <c r="F6" s="27"/>
      <c r="G6" s="27"/>
      <c r="H6" s="27"/>
      <c r="I6" s="27"/>
      <c r="J6" s="27"/>
      <c r="K6" s="27"/>
    </row>
    <row r="7" spans="1:11" x14ac:dyDescent="0.25">
      <c r="A7" s="28"/>
      <c r="B7" s="25"/>
      <c r="C7" s="27"/>
      <c r="D7" s="27"/>
      <c r="E7" s="27"/>
      <c r="F7" s="27"/>
      <c r="G7" s="27"/>
      <c r="H7" s="27"/>
      <c r="I7" s="27"/>
      <c r="J7" s="27"/>
      <c r="K7" s="27"/>
    </row>
    <row r="8" spans="1:11" ht="15.75" thickBot="1" x14ac:dyDescent="0.3">
      <c r="A8" s="28"/>
      <c r="B8" s="29" t="s">
        <v>9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.75" thickTop="1" x14ac:dyDescent="0.25">
      <c r="A9" s="28"/>
      <c r="B9" s="27"/>
      <c r="C9" s="30" t="s">
        <v>10</v>
      </c>
      <c r="D9" s="27"/>
      <c r="E9" s="27"/>
      <c r="F9" s="99" t="s">
        <v>11</v>
      </c>
      <c r="G9" s="100"/>
      <c r="H9" s="100"/>
      <c r="I9" s="101"/>
      <c r="J9" s="31"/>
      <c r="K9" s="27"/>
    </row>
    <row r="10" spans="1:11" x14ac:dyDescent="0.25">
      <c r="A10" s="28"/>
      <c r="B10" s="27"/>
      <c r="C10" s="30" t="s">
        <v>12</v>
      </c>
      <c r="D10" s="27"/>
      <c r="E10" s="27"/>
      <c r="F10" s="32"/>
      <c r="G10" s="33"/>
      <c r="H10" s="33"/>
      <c r="I10" s="34"/>
      <c r="J10" s="27"/>
      <c r="K10" s="27"/>
    </row>
    <row r="11" spans="1:11" ht="15.75" thickBot="1" x14ac:dyDescent="0.3">
      <c r="A11" s="28"/>
      <c r="B11" s="27"/>
      <c r="C11" s="30" t="s">
        <v>13</v>
      </c>
      <c r="D11" s="27"/>
      <c r="E11" s="27"/>
      <c r="F11" s="35"/>
      <c r="G11" s="36" t="e">
        <f>0.8*100/D12</f>
        <v>#DIV/0!</v>
      </c>
      <c r="H11" s="37" t="s">
        <v>14</v>
      </c>
      <c r="I11" s="38"/>
      <c r="J11" s="27"/>
      <c r="K11" s="27"/>
    </row>
    <row r="12" spans="1:11" ht="15.75" thickTop="1" x14ac:dyDescent="0.25">
      <c r="A12" s="28"/>
      <c r="B12" s="27"/>
      <c r="C12" s="30" t="s">
        <v>15</v>
      </c>
      <c r="D12" s="27" t="e">
        <f>D9*AVERAGE(D10:D11)</f>
        <v>#DIV/0!</v>
      </c>
      <c r="E12" s="27"/>
      <c r="F12" s="27"/>
      <c r="G12" s="27"/>
      <c r="H12" s="27"/>
      <c r="I12" s="27"/>
      <c r="J12" s="27"/>
      <c r="K12" s="27"/>
    </row>
    <row r="13" spans="1:11" x14ac:dyDescent="0.25">
      <c r="A13" s="28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25">
      <c r="A14" s="39"/>
      <c r="B14" s="29" t="s">
        <v>7</v>
      </c>
      <c r="C14" s="27"/>
      <c r="D14" s="27"/>
      <c r="E14" s="27"/>
      <c r="F14" s="27"/>
      <c r="G14" s="27"/>
      <c r="H14" s="27"/>
      <c r="I14" s="27"/>
      <c r="J14" s="27"/>
      <c r="K14" s="27"/>
    </row>
    <row r="15" spans="1:11" x14ac:dyDescent="0.25">
      <c r="A15" s="39"/>
      <c r="B15" s="25"/>
      <c r="C15" s="27"/>
      <c r="D15" s="27"/>
      <c r="E15" s="27"/>
      <c r="F15" s="27"/>
      <c r="G15" s="27"/>
      <c r="H15" s="27"/>
      <c r="I15" s="27"/>
      <c r="J15" s="27"/>
      <c r="K15" s="27"/>
    </row>
    <row r="16" spans="1:11" x14ac:dyDescent="0.25">
      <c r="A16" s="28">
        <v>44447</v>
      </c>
      <c r="B16" s="29" t="s">
        <v>16</v>
      </c>
      <c r="C16" s="27"/>
      <c r="D16" s="27"/>
      <c r="E16" s="27"/>
      <c r="F16" s="27"/>
      <c r="G16" s="27"/>
      <c r="H16" s="27"/>
      <c r="I16" s="27"/>
      <c r="K16" s="27"/>
    </row>
    <row r="17" spans="1:11" x14ac:dyDescent="0.25">
      <c r="A17" s="39"/>
      <c r="B17" s="29"/>
      <c r="C17" s="27"/>
      <c r="D17" s="27"/>
      <c r="E17" s="27"/>
      <c r="F17" s="27"/>
      <c r="G17" s="27"/>
      <c r="H17" s="27"/>
      <c r="I17" s="27"/>
      <c r="K17" s="27"/>
    </row>
    <row r="18" spans="1:11" x14ac:dyDescent="0.25">
      <c r="A18" s="39"/>
      <c r="B18" s="40" t="s">
        <v>17</v>
      </c>
      <c r="C18" s="29" t="s">
        <v>18</v>
      </c>
      <c r="D18" s="27"/>
      <c r="E18" s="27"/>
      <c r="F18" s="27"/>
      <c r="G18" s="27"/>
      <c r="H18" s="27"/>
      <c r="I18" s="27"/>
      <c r="J18" s="27"/>
      <c r="K18" s="27"/>
    </row>
    <row r="19" spans="1:11" x14ac:dyDescent="0.25">
      <c r="A19" s="39"/>
      <c r="B19" s="29"/>
      <c r="C19" s="27"/>
      <c r="D19" s="27"/>
      <c r="E19" s="27"/>
      <c r="F19" s="27"/>
      <c r="G19" s="27"/>
      <c r="H19" s="27"/>
      <c r="I19" s="27"/>
      <c r="J19" s="27"/>
      <c r="K19" s="27"/>
    </row>
    <row r="20" spans="1:11" x14ac:dyDescent="0.25">
      <c r="A20" s="39"/>
      <c r="B20" s="29"/>
      <c r="C20" s="31" t="s">
        <v>19</v>
      </c>
      <c r="D20" s="27"/>
      <c r="E20" s="27"/>
      <c r="F20" s="27"/>
      <c r="G20" s="27"/>
      <c r="H20" s="27"/>
      <c r="I20" s="27"/>
      <c r="J20" s="27"/>
      <c r="K20" s="27"/>
    </row>
    <row r="21" spans="1:11" x14ac:dyDescent="0.25">
      <c r="A21" s="39"/>
      <c r="B21" s="29"/>
      <c r="C21" s="27"/>
      <c r="D21" s="30" t="s">
        <v>10</v>
      </c>
      <c r="E21" s="27">
        <v>50</v>
      </c>
      <c r="F21" s="27"/>
      <c r="G21" s="27"/>
      <c r="H21" s="27"/>
      <c r="I21" s="27"/>
      <c r="J21" s="27"/>
      <c r="K21" s="27"/>
    </row>
    <row r="22" spans="1:11" x14ac:dyDescent="0.25">
      <c r="A22" s="39"/>
      <c r="B22" s="29"/>
      <c r="C22" s="27"/>
      <c r="D22" s="30" t="s">
        <v>12</v>
      </c>
      <c r="E22" s="27">
        <v>0.17599999999999999</v>
      </c>
      <c r="F22" s="27"/>
      <c r="G22" s="27"/>
      <c r="H22" s="27"/>
      <c r="I22" s="27"/>
      <c r="J22" s="27"/>
      <c r="K22" s="27"/>
    </row>
    <row r="23" spans="1:11" x14ac:dyDescent="0.25">
      <c r="A23" s="39"/>
      <c r="B23" s="29"/>
      <c r="C23" s="27"/>
      <c r="D23" s="30" t="s">
        <v>13</v>
      </c>
      <c r="E23" s="27">
        <v>0.159</v>
      </c>
      <c r="F23" s="27"/>
      <c r="G23" s="27"/>
      <c r="H23" s="27"/>
      <c r="I23" s="27"/>
      <c r="J23" s="27"/>
      <c r="K23" s="27"/>
    </row>
    <row r="24" spans="1:11" x14ac:dyDescent="0.25">
      <c r="A24" s="39"/>
      <c r="B24" s="29"/>
      <c r="C24" s="27"/>
      <c r="D24" s="30" t="s">
        <v>15</v>
      </c>
      <c r="E24" s="27">
        <f>E21*AVERAGE(E22:E23)</f>
        <v>8.375</v>
      </c>
      <c r="F24" s="27"/>
      <c r="G24" s="27"/>
      <c r="H24" s="27"/>
      <c r="I24" s="27"/>
      <c r="J24" s="27"/>
      <c r="K24" s="27"/>
    </row>
    <row r="25" spans="1:11" x14ac:dyDescent="0.25">
      <c r="A25" s="39"/>
      <c r="B25" s="29"/>
      <c r="C25" s="27"/>
      <c r="D25" s="30" t="s">
        <v>20</v>
      </c>
      <c r="E25" s="27">
        <f>E24*500/20</f>
        <v>209.375</v>
      </c>
      <c r="F25" s="31" t="s">
        <v>21</v>
      </c>
      <c r="G25" s="41" t="s">
        <v>22</v>
      </c>
      <c r="H25" s="27"/>
      <c r="I25" s="27"/>
      <c r="J25" s="27">
        <v>150</v>
      </c>
      <c r="K25" s="31" t="s">
        <v>14</v>
      </c>
    </row>
    <row r="26" spans="1:11" ht="15.75" thickBot="1" x14ac:dyDescent="0.3">
      <c r="A26" s="39"/>
      <c r="B26" s="29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6.5" thickTop="1" thickBot="1" x14ac:dyDescent="0.3">
      <c r="A27" s="39"/>
      <c r="B27" s="40"/>
      <c r="C27" s="31" t="s">
        <v>23</v>
      </c>
      <c r="D27" s="27"/>
      <c r="E27" s="27"/>
      <c r="F27" s="27"/>
      <c r="G27" s="27"/>
      <c r="H27" s="56" t="s">
        <v>24</v>
      </c>
      <c r="I27" s="56"/>
      <c r="J27" s="56"/>
      <c r="K27" s="56"/>
    </row>
    <row r="28" spans="1:11" ht="16.5" thickTop="1" thickBot="1" x14ac:dyDescent="0.3">
      <c r="A28" s="39"/>
      <c r="B28" s="29"/>
      <c r="C28" s="27"/>
      <c r="D28" s="30" t="s">
        <v>25</v>
      </c>
      <c r="E28" s="42"/>
      <c r="F28" s="42"/>
      <c r="G28" s="31"/>
      <c r="H28" s="53" t="s">
        <v>41</v>
      </c>
      <c r="I28" s="53">
        <v>5000</v>
      </c>
      <c r="J28" s="53" t="s">
        <v>42</v>
      </c>
      <c r="K28" s="53"/>
    </row>
    <row r="29" spans="1:11" ht="16.5" thickTop="1" thickBot="1" x14ac:dyDescent="0.3">
      <c r="A29" s="39"/>
      <c r="B29" s="29"/>
      <c r="C29" s="27"/>
      <c r="D29" s="30" t="s">
        <v>26</v>
      </c>
      <c r="E29" s="42"/>
      <c r="F29" s="42"/>
      <c r="G29" s="31"/>
      <c r="H29" s="53" t="s">
        <v>43</v>
      </c>
      <c r="I29" s="53">
        <f>5000000</f>
        <v>5000000</v>
      </c>
      <c r="J29" s="53" t="s">
        <v>44</v>
      </c>
      <c r="K29" s="53"/>
    </row>
    <row r="30" spans="1:11" ht="16.5" thickTop="1" thickBot="1" x14ac:dyDescent="0.3">
      <c r="A30" s="39"/>
      <c r="B30" s="29"/>
      <c r="C30" s="27"/>
      <c r="D30" s="31" t="s">
        <v>28</v>
      </c>
      <c r="E30" s="43" t="e">
        <f>1-(AVERAGE(E29:F29)/AVERAGE(E28:F28))</f>
        <v>#DIV/0!</v>
      </c>
      <c r="F30" s="27"/>
      <c r="G30" s="27"/>
      <c r="H30" s="56"/>
      <c r="I30" s="54" t="s">
        <v>27</v>
      </c>
      <c r="J30" s="55" t="e">
        <f>I29*I28/E31</f>
        <v>#DIV/0!</v>
      </c>
      <c r="K30" s="53" t="s">
        <v>14</v>
      </c>
    </row>
    <row r="31" spans="1:11" ht="16.5" thickTop="1" thickBot="1" x14ac:dyDescent="0.3">
      <c r="A31" s="39"/>
      <c r="B31" s="29"/>
      <c r="C31" s="27"/>
      <c r="D31" s="30" t="s">
        <v>30</v>
      </c>
      <c r="E31" s="42" t="e">
        <f>AVERAGE(E28:F28)*E30</f>
        <v>#DIV/0!</v>
      </c>
      <c r="F31" s="31" t="s">
        <v>31</v>
      </c>
      <c r="G31" s="27"/>
      <c r="H31" s="53"/>
      <c r="I31" s="53" t="s">
        <v>29</v>
      </c>
      <c r="J31" s="55" t="e">
        <f>200-J30</f>
        <v>#DIV/0!</v>
      </c>
      <c r="K31" s="53" t="s">
        <v>14</v>
      </c>
    </row>
    <row r="32" spans="1:11" ht="15.75" thickTop="1" x14ac:dyDescent="0.25">
      <c r="A32" s="39"/>
      <c r="B32" s="29"/>
      <c r="C32" s="27"/>
      <c r="D32" s="30"/>
      <c r="E32" s="42"/>
      <c r="F32" s="31"/>
      <c r="G32" s="27"/>
      <c r="H32" s="27"/>
      <c r="I32" s="27"/>
      <c r="J32" s="27"/>
      <c r="K32" s="27"/>
    </row>
    <row r="33" spans="1:11" x14ac:dyDescent="0.25">
      <c r="A33" s="39"/>
      <c r="B33" s="40" t="s">
        <v>32</v>
      </c>
      <c r="C33" s="31" t="s">
        <v>33</v>
      </c>
      <c r="D33" s="30"/>
      <c r="E33" s="42"/>
      <c r="F33" s="31"/>
      <c r="G33" s="27"/>
      <c r="H33" s="27"/>
      <c r="I33" s="27"/>
      <c r="J33" s="27"/>
      <c r="K33" s="27"/>
    </row>
    <row r="34" spans="1:11" x14ac:dyDescent="0.25">
      <c r="A34" s="39"/>
      <c r="B34" s="29"/>
      <c r="C34" s="27"/>
      <c r="D34" s="30"/>
      <c r="E34" s="42"/>
      <c r="F34" s="31"/>
      <c r="G34" s="27"/>
      <c r="H34" s="27"/>
      <c r="I34" s="27"/>
      <c r="J34" s="27"/>
      <c r="K34" s="27"/>
    </row>
    <row r="35" spans="1:11" x14ac:dyDescent="0.25">
      <c r="A35" s="39"/>
      <c r="B35" s="40" t="s">
        <v>34</v>
      </c>
      <c r="C35" s="31"/>
      <c r="D35" s="31" t="s">
        <v>35</v>
      </c>
      <c r="E35" s="42"/>
      <c r="F35" s="31"/>
      <c r="G35" s="27"/>
      <c r="H35" s="27"/>
      <c r="I35" s="27"/>
      <c r="J35" s="27"/>
      <c r="K35" s="27"/>
    </row>
    <row r="36" spans="1:11" x14ac:dyDescent="0.25">
      <c r="A36" s="39"/>
      <c r="B36" s="29"/>
      <c r="C36" s="27"/>
      <c r="D36" s="44" t="s">
        <v>36</v>
      </c>
      <c r="E36" s="42"/>
      <c r="F36" s="31"/>
      <c r="G36" s="27"/>
      <c r="H36" s="27"/>
      <c r="I36" s="27"/>
      <c r="J36" s="27"/>
      <c r="K36" s="27"/>
    </row>
    <row r="37" spans="1:11" x14ac:dyDescent="0.25">
      <c r="A37" s="39"/>
      <c r="B37" s="29"/>
      <c r="C37" s="27"/>
      <c r="D37" s="30"/>
      <c r="E37" s="42"/>
      <c r="F37" s="31"/>
      <c r="G37" s="27"/>
      <c r="H37" s="27"/>
      <c r="I37" s="27"/>
      <c r="J37" s="27"/>
      <c r="K37" s="27"/>
    </row>
    <row r="38" spans="1:11" ht="15.75" thickBot="1" x14ac:dyDescent="0.3">
      <c r="A38" s="28"/>
      <c r="B38" s="29" t="s">
        <v>37</v>
      </c>
      <c r="C38" s="27"/>
      <c r="D38" s="27"/>
      <c r="E38" s="27"/>
      <c r="F38" s="31"/>
      <c r="G38" s="27"/>
      <c r="H38" s="27"/>
      <c r="I38" s="27"/>
      <c r="J38" s="27"/>
      <c r="K38" s="27"/>
    </row>
    <row r="39" spans="1:11" ht="16.5" thickTop="1" thickBot="1" x14ac:dyDescent="0.3">
      <c r="A39" s="28"/>
      <c r="B39" s="29"/>
      <c r="C39" s="27"/>
      <c r="D39" s="102" t="s">
        <v>38</v>
      </c>
      <c r="E39" s="103"/>
      <c r="F39" s="31"/>
      <c r="G39" s="45" t="s">
        <v>39</v>
      </c>
      <c r="H39" s="46"/>
      <c r="I39" s="27"/>
      <c r="J39" s="27"/>
      <c r="K39" s="27"/>
    </row>
    <row r="40" spans="1:11" ht="15.75" thickTop="1" x14ac:dyDescent="0.25">
      <c r="A40" s="28"/>
      <c r="B40" s="29"/>
      <c r="C40" s="27"/>
      <c r="D40" s="47"/>
      <c r="E40" s="48"/>
      <c r="F40" s="31"/>
      <c r="I40" s="27"/>
      <c r="J40" s="27"/>
      <c r="K40" s="27"/>
    </row>
    <row r="41" spans="1:11" ht="15.75" thickBot="1" x14ac:dyDescent="0.3">
      <c r="A41" s="28"/>
      <c r="B41" s="29"/>
      <c r="C41" s="27"/>
      <c r="D41" s="49"/>
      <c r="E41" s="50"/>
      <c r="F41" s="31"/>
      <c r="G41" s="27"/>
      <c r="H41" s="27"/>
      <c r="I41" s="27"/>
      <c r="J41" s="27"/>
      <c r="K41" s="27"/>
    </row>
    <row r="42" spans="1:11" ht="16.5" thickTop="1" thickBot="1" x14ac:dyDescent="0.3">
      <c r="A42" s="28"/>
      <c r="B42" s="29"/>
      <c r="C42" s="27"/>
      <c r="D42" s="27"/>
      <c r="E42" s="27"/>
      <c r="F42" s="31"/>
      <c r="G42" s="27"/>
      <c r="H42" s="27"/>
      <c r="I42" s="27"/>
      <c r="J42" s="27"/>
      <c r="K42" s="27"/>
    </row>
    <row r="43" spans="1:11" ht="15.75" thickTop="1" x14ac:dyDescent="0.25">
      <c r="A43" s="39"/>
      <c r="B43" s="29"/>
      <c r="C43" s="27"/>
      <c r="D43" s="102" t="s">
        <v>40</v>
      </c>
      <c r="E43" s="103"/>
      <c r="F43" s="31"/>
      <c r="G43" s="27"/>
      <c r="H43" s="27"/>
      <c r="I43" s="27"/>
      <c r="J43" s="27"/>
      <c r="K43" s="27"/>
    </row>
    <row r="44" spans="1:11" x14ac:dyDescent="0.25">
      <c r="A44" s="39"/>
      <c r="B44" s="27"/>
      <c r="C44" s="27"/>
      <c r="D44" s="47"/>
      <c r="E44" s="51"/>
      <c r="F44" s="31"/>
      <c r="G44" s="27"/>
      <c r="H44" s="27"/>
      <c r="I44" s="27"/>
      <c r="J44" s="27"/>
      <c r="K44" s="27"/>
    </row>
    <row r="45" spans="1:11" ht="15.75" thickBot="1" x14ac:dyDescent="0.3">
      <c r="A45" s="39"/>
      <c r="B45" s="27"/>
      <c r="C45" s="27"/>
      <c r="D45" s="49"/>
      <c r="E45" s="52"/>
      <c r="F45" s="31"/>
      <c r="G45" s="27"/>
      <c r="H45" s="27"/>
      <c r="I45" s="27"/>
      <c r="J45" s="27"/>
      <c r="K45" s="27"/>
    </row>
    <row r="46" spans="1:11" ht="15.75" thickTop="1" x14ac:dyDescent="0.25">
      <c r="A46" s="39"/>
      <c r="B46" s="27"/>
      <c r="C46" s="27"/>
      <c r="D46" s="27"/>
      <c r="E46" s="27"/>
      <c r="F46" s="31"/>
      <c r="G46" s="27"/>
      <c r="H46" s="27"/>
      <c r="I46" s="27"/>
      <c r="J46" s="27"/>
      <c r="K46" s="27"/>
    </row>
  </sheetData>
  <mergeCells count="3">
    <mergeCell ref="F9:I9"/>
    <mergeCell ref="D39:E39"/>
    <mergeCell ref="D43:E43"/>
  </mergeCells>
  <conditionalFormatting sqref="E40:E41">
    <cfRule type="cellIs" dxfId="1" priority="1" operator="lessThan">
      <formula>50</formula>
    </cfRule>
    <cfRule type="cellIs" dxfId="0" priority="2" operator="greaterThanOrEqual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27C9-65C5-4EFD-A8D7-C3EFF59493E3}">
  <sheetPr codeName="Sheet4"/>
  <dimension ref="A1:J21"/>
  <sheetViews>
    <sheetView zoomScaleNormal="100" workbookViewId="0">
      <selection activeCell="M37" sqref="M37"/>
    </sheetView>
  </sheetViews>
  <sheetFormatPr defaultRowHeight="15" x14ac:dyDescent="0.25"/>
  <cols>
    <col min="1" max="1" width="15.28515625" customWidth="1"/>
    <col min="2" max="2" width="8.28515625" bestFit="1" customWidth="1"/>
    <col min="3" max="3" width="11.28515625" bestFit="1" customWidth="1"/>
    <col min="4" max="9" width="24" customWidth="1"/>
    <col min="10" max="10" width="5.570312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45</v>
      </c>
      <c r="E1" s="5" t="s">
        <v>46</v>
      </c>
      <c r="F1" s="6" t="s">
        <v>47</v>
      </c>
      <c r="G1" s="5" t="s">
        <v>48</v>
      </c>
      <c r="H1" s="5" t="s">
        <v>49</v>
      </c>
      <c r="I1" s="7" t="s">
        <v>50</v>
      </c>
    </row>
    <row r="2" spans="1:10" x14ac:dyDescent="0.25">
      <c r="A2" s="8">
        <v>46268</v>
      </c>
      <c r="B2" s="69">
        <f>C2*24</f>
        <v>0</v>
      </c>
      <c r="C2" s="9">
        <f t="shared" ref="C2:C13" si="0">IF(NOT(A2=0),A2-$A$2,"")</f>
        <v>0</v>
      </c>
      <c r="D2" s="11">
        <v>40000</v>
      </c>
      <c r="E2" s="11">
        <v>5100000</v>
      </c>
      <c r="F2" s="12">
        <v>0.99215686274509807</v>
      </c>
      <c r="G2" s="14">
        <v>32000</v>
      </c>
      <c r="H2" s="11">
        <v>4560000</v>
      </c>
      <c r="I2" s="13">
        <v>0.99298245614035086</v>
      </c>
    </row>
    <row r="3" spans="1:10" x14ac:dyDescent="0.25">
      <c r="A3" s="8">
        <v>46269</v>
      </c>
      <c r="B3" s="69">
        <f t="shared" ref="B3:B21" si="1">C3*24</f>
        <v>24</v>
      </c>
      <c r="C3" s="9">
        <f t="shared" si="0"/>
        <v>1</v>
      </c>
      <c r="D3" s="11">
        <v>54000</v>
      </c>
      <c r="E3" s="11">
        <v>13200000</v>
      </c>
      <c r="F3" s="12">
        <v>0.99590909090909085</v>
      </c>
      <c r="G3" s="14">
        <v>62000</v>
      </c>
      <c r="H3" s="11">
        <v>14200000</v>
      </c>
      <c r="I3" s="13">
        <v>0.99563380281690139</v>
      </c>
    </row>
    <row r="4" spans="1:10" x14ac:dyDescent="0.25">
      <c r="A4" s="8">
        <v>46270</v>
      </c>
      <c r="B4" s="69">
        <f t="shared" si="1"/>
        <v>48</v>
      </c>
      <c r="C4" s="9">
        <f t="shared" si="0"/>
        <v>2</v>
      </c>
      <c r="D4" s="11">
        <v>232000</v>
      </c>
      <c r="E4" s="11">
        <v>31720000</v>
      </c>
      <c r="F4" s="12">
        <v>0.99268600252206807</v>
      </c>
      <c r="G4" s="14">
        <v>80000</v>
      </c>
      <c r="H4" s="11">
        <v>26660000</v>
      </c>
      <c r="I4" s="13">
        <v>0.99699924981245314</v>
      </c>
      <c r="J4" s="20"/>
    </row>
    <row r="5" spans="1:10" x14ac:dyDescent="0.25">
      <c r="A5" s="8">
        <v>46271</v>
      </c>
      <c r="B5" s="69">
        <f t="shared" si="1"/>
        <v>72</v>
      </c>
      <c r="C5" s="9">
        <f t="shared" si="0"/>
        <v>3</v>
      </c>
      <c r="D5" s="11">
        <v>406000</v>
      </c>
      <c r="E5" s="11">
        <v>38120000</v>
      </c>
      <c r="F5" s="12">
        <v>0.98934942287513117</v>
      </c>
      <c r="G5" s="14">
        <v>190000</v>
      </c>
      <c r="H5" s="11">
        <v>34860000</v>
      </c>
      <c r="I5" s="13">
        <v>0.99454962707974759</v>
      </c>
    </row>
    <row r="6" spans="1:10" x14ac:dyDescent="0.25">
      <c r="A6" s="8">
        <v>46272</v>
      </c>
      <c r="B6" s="69">
        <f t="shared" si="1"/>
        <v>96</v>
      </c>
      <c r="C6" s="9">
        <f t="shared" si="0"/>
        <v>4</v>
      </c>
      <c r="D6" s="11">
        <v>288000</v>
      </c>
      <c r="E6" s="11">
        <v>36940000</v>
      </c>
      <c r="F6" s="12">
        <v>0.99220357336220899</v>
      </c>
      <c r="G6" s="14">
        <v>286000</v>
      </c>
      <c r="H6" s="11">
        <v>39160000</v>
      </c>
      <c r="I6" s="13">
        <v>0.99269662921348312</v>
      </c>
    </row>
    <row r="7" spans="1:10" x14ac:dyDescent="0.25">
      <c r="A7" s="8">
        <v>46273</v>
      </c>
      <c r="B7" s="69">
        <f t="shared" si="1"/>
        <v>120</v>
      </c>
      <c r="C7" s="9">
        <f t="shared" si="0"/>
        <v>5</v>
      </c>
      <c r="D7" s="11">
        <v>380000</v>
      </c>
      <c r="E7" s="11">
        <v>41580000</v>
      </c>
      <c r="F7" s="12">
        <v>0.99086099086099089</v>
      </c>
      <c r="G7" s="14">
        <v>222000</v>
      </c>
      <c r="H7" s="11">
        <v>37100000</v>
      </c>
      <c r="I7" s="13">
        <v>0.99401617250673857</v>
      </c>
    </row>
    <row r="8" spans="1:10" x14ac:dyDescent="0.25">
      <c r="A8" s="8">
        <v>46274</v>
      </c>
      <c r="B8" s="69">
        <f t="shared" si="1"/>
        <v>144</v>
      </c>
      <c r="C8" s="9">
        <f t="shared" si="0"/>
        <v>6</v>
      </c>
      <c r="D8" s="11">
        <v>210000</v>
      </c>
      <c r="E8" s="11">
        <v>45580000</v>
      </c>
      <c r="F8" s="12">
        <v>0.99539271610355418</v>
      </c>
      <c r="G8" s="14">
        <v>180000</v>
      </c>
      <c r="H8" s="11">
        <v>43140000</v>
      </c>
      <c r="I8" s="13">
        <v>0.99582753824756609</v>
      </c>
    </row>
    <row r="9" spans="1:10" x14ac:dyDescent="0.25">
      <c r="A9" s="8">
        <v>46275</v>
      </c>
      <c r="B9" s="69">
        <f t="shared" si="1"/>
        <v>168</v>
      </c>
      <c r="C9" s="9">
        <f t="shared" si="0"/>
        <v>7</v>
      </c>
      <c r="D9" s="11">
        <v>894000</v>
      </c>
      <c r="E9" s="11">
        <v>47460000</v>
      </c>
      <c r="F9" s="12">
        <v>0.9811630847029077</v>
      </c>
      <c r="G9" s="14">
        <v>588000</v>
      </c>
      <c r="H9" s="11">
        <v>48560000</v>
      </c>
      <c r="I9" s="13">
        <v>0.98789126853377263</v>
      </c>
    </row>
    <row r="10" spans="1:10" x14ac:dyDescent="0.25">
      <c r="A10" s="8">
        <v>46276</v>
      </c>
      <c r="B10" s="69">
        <f t="shared" si="1"/>
        <v>192</v>
      </c>
      <c r="C10" s="9">
        <f t="shared" si="0"/>
        <v>8</v>
      </c>
      <c r="D10" s="11">
        <v>1100000</v>
      </c>
      <c r="E10" s="11">
        <v>47180000</v>
      </c>
      <c r="F10" s="12">
        <v>0.97668503603221701</v>
      </c>
      <c r="G10" s="14">
        <v>558000</v>
      </c>
      <c r="H10" s="11">
        <v>45060000</v>
      </c>
      <c r="I10" s="13">
        <v>0.98761651131824235</v>
      </c>
    </row>
    <row r="11" spans="1:10" x14ac:dyDescent="0.25">
      <c r="A11" s="8">
        <v>46277</v>
      </c>
      <c r="B11" s="69">
        <f t="shared" si="1"/>
        <v>216</v>
      </c>
      <c r="C11" s="9">
        <f t="shared" si="0"/>
        <v>9</v>
      </c>
      <c r="D11" s="11">
        <v>678000</v>
      </c>
      <c r="E11" s="11">
        <v>48160000</v>
      </c>
      <c r="F11" s="12">
        <v>0.98592192691029901</v>
      </c>
      <c r="G11" s="14">
        <v>752000</v>
      </c>
      <c r="H11" s="11">
        <v>47520000</v>
      </c>
      <c r="I11" s="13">
        <v>0.98417508417508415</v>
      </c>
    </row>
    <row r="12" spans="1:10" x14ac:dyDescent="0.25">
      <c r="A12" s="8">
        <v>46278</v>
      </c>
      <c r="B12" s="69">
        <f t="shared" si="1"/>
        <v>240</v>
      </c>
      <c r="C12" s="9">
        <f t="shared" si="0"/>
        <v>10</v>
      </c>
      <c r="D12" s="11">
        <v>662000</v>
      </c>
      <c r="E12" s="11">
        <v>39780000</v>
      </c>
      <c r="F12" s="12">
        <v>0.98335847159376566</v>
      </c>
      <c r="G12" s="14">
        <v>930000</v>
      </c>
      <c r="H12" s="11">
        <v>38660000</v>
      </c>
      <c r="I12" s="13">
        <v>0.97594412829798238</v>
      </c>
    </row>
    <row r="13" spans="1:10" x14ac:dyDescent="0.25">
      <c r="A13" s="8">
        <v>0</v>
      </c>
      <c r="B13" s="69" t="e">
        <f t="shared" si="1"/>
        <v>#VALUE!</v>
      </c>
      <c r="C13" s="9" t="str">
        <f t="shared" si="0"/>
        <v/>
      </c>
      <c r="D13" s="10" t="e">
        <v>#N/A</v>
      </c>
      <c r="E13" s="11" t="e">
        <v>#N/A</v>
      </c>
      <c r="F13" s="12" t="e">
        <f t="shared" ref="F13:F21" si="2">(E13-D13)/E13</f>
        <v>#N/A</v>
      </c>
      <c r="G13" s="14" t="e">
        <v>#N/A</v>
      </c>
      <c r="H13" s="11" t="e">
        <v>#N/A</v>
      </c>
      <c r="I13" s="13" t="e">
        <f t="shared" ref="I13:I21" si="3">(H13-G13)/H13</f>
        <v>#N/A</v>
      </c>
    </row>
    <row r="14" spans="1:10" x14ac:dyDescent="0.25">
      <c r="A14" s="8">
        <v>0</v>
      </c>
      <c r="B14" s="69" t="e">
        <f t="shared" si="1"/>
        <v>#VALUE!</v>
      </c>
      <c r="C14" s="9" t="str">
        <f t="shared" ref="C14:C21" si="4">IF(NOT(A14=0),A14-$A$2,"")</f>
        <v/>
      </c>
      <c r="D14" s="10" t="e">
        <v>#N/A</v>
      </c>
      <c r="E14" s="11" t="e">
        <v>#N/A</v>
      </c>
      <c r="F14" s="12" t="e">
        <f t="shared" si="2"/>
        <v>#N/A</v>
      </c>
      <c r="G14" s="14" t="e">
        <v>#N/A</v>
      </c>
      <c r="H14" s="11" t="e">
        <v>#N/A</v>
      </c>
      <c r="I14" s="13" t="e">
        <f t="shared" si="3"/>
        <v>#N/A</v>
      </c>
    </row>
    <row r="15" spans="1:10" x14ac:dyDescent="0.25">
      <c r="A15" s="8">
        <v>0</v>
      </c>
      <c r="B15" s="69" t="e">
        <f t="shared" si="1"/>
        <v>#VALUE!</v>
      </c>
      <c r="C15" s="9" t="str">
        <f t="shared" si="4"/>
        <v/>
      </c>
      <c r="D15" s="10" t="e">
        <v>#N/A</v>
      </c>
      <c r="E15" s="11" t="e">
        <v>#N/A</v>
      </c>
      <c r="F15" s="12" t="e">
        <f t="shared" si="2"/>
        <v>#N/A</v>
      </c>
      <c r="G15" s="14" t="e">
        <v>#N/A</v>
      </c>
      <c r="H15" s="11" t="e">
        <v>#N/A</v>
      </c>
      <c r="I15" s="13" t="e">
        <f t="shared" si="3"/>
        <v>#N/A</v>
      </c>
    </row>
    <row r="16" spans="1:10" x14ac:dyDescent="0.25">
      <c r="A16" s="8">
        <v>0</v>
      </c>
      <c r="B16" s="69" t="e">
        <f t="shared" si="1"/>
        <v>#VALUE!</v>
      </c>
      <c r="C16" s="9" t="str">
        <f t="shared" si="4"/>
        <v/>
      </c>
      <c r="D16" s="10" t="e">
        <v>#N/A</v>
      </c>
      <c r="E16" s="11" t="e">
        <v>#N/A</v>
      </c>
      <c r="F16" s="12" t="e">
        <f t="shared" si="2"/>
        <v>#N/A</v>
      </c>
      <c r="G16" s="14" t="e">
        <v>#N/A</v>
      </c>
      <c r="H16" s="11" t="e">
        <v>#N/A</v>
      </c>
      <c r="I16" s="13" t="e">
        <f t="shared" si="3"/>
        <v>#N/A</v>
      </c>
    </row>
    <row r="17" spans="1:9" x14ac:dyDescent="0.25">
      <c r="A17" s="8">
        <v>0</v>
      </c>
      <c r="B17" s="69" t="e">
        <f t="shared" si="1"/>
        <v>#VALUE!</v>
      </c>
      <c r="C17" s="9" t="str">
        <f t="shared" si="4"/>
        <v/>
      </c>
      <c r="D17" s="15" t="e">
        <v>#N/A</v>
      </c>
      <c r="E17" t="e">
        <v>#N/A</v>
      </c>
      <c r="F17" s="12" t="e">
        <f t="shared" si="2"/>
        <v>#N/A</v>
      </c>
      <c r="G17" s="16" t="e">
        <v>#N/A</v>
      </c>
      <c r="H17" t="e">
        <v>#N/A</v>
      </c>
      <c r="I17" s="13" t="e">
        <f t="shared" si="3"/>
        <v>#N/A</v>
      </c>
    </row>
    <row r="18" spans="1:9" x14ac:dyDescent="0.25">
      <c r="A18" s="8">
        <v>0</v>
      </c>
      <c r="B18" s="69" t="e">
        <f t="shared" si="1"/>
        <v>#VALUE!</v>
      </c>
      <c r="C18" s="9" t="str">
        <f t="shared" si="4"/>
        <v/>
      </c>
      <c r="D18" s="15" t="e">
        <v>#N/A</v>
      </c>
      <c r="E18" t="e">
        <v>#N/A</v>
      </c>
      <c r="F18" s="12" t="e">
        <f t="shared" si="2"/>
        <v>#N/A</v>
      </c>
      <c r="G18" s="16" t="e">
        <v>#N/A</v>
      </c>
      <c r="H18" t="e">
        <v>#N/A</v>
      </c>
      <c r="I18" s="13" t="e">
        <f t="shared" si="3"/>
        <v>#N/A</v>
      </c>
    </row>
    <row r="19" spans="1:9" x14ac:dyDescent="0.25">
      <c r="A19" s="8">
        <v>0</v>
      </c>
      <c r="B19" s="69" t="e">
        <f t="shared" si="1"/>
        <v>#VALUE!</v>
      </c>
      <c r="C19" s="9" t="str">
        <f t="shared" si="4"/>
        <v/>
      </c>
      <c r="D19" s="15" t="e">
        <v>#N/A</v>
      </c>
      <c r="E19" t="e">
        <v>#N/A</v>
      </c>
      <c r="F19" s="12" t="e">
        <f t="shared" si="2"/>
        <v>#N/A</v>
      </c>
      <c r="G19" s="16" t="e">
        <v>#N/A</v>
      </c>
      <c r="H19" t="e">
        <v>#N/A</v>
      </c>
      <c r="I19" s="13" t="e">
        <f t="shared" si="3"/>
        <v>#N/A</v>
      </c>
    </row>
    <row r="20" spans="1:9" x14ac:dyDescent="0.25">
      <c r="A20" s="8">
        <v>0</v>
      </c>
      <c r="B20" s="69" t="e">
        <f t="shared" si="1"/>
        <v>#VALUE!</v>
      </c>
      <c r="C20" s="9" t="str">
        <f t="shared" si="4"/>
        <v/>
      </c>
      <c r="D20" s="15" t="e">
        <v>#N/A</v>
      </c>
      <c r="E20" t="e">
        <v>#N/A</v>
      </c>
      <c r="F20" s="12" t="e">
        <f t="shared" si="2"/>
        <v>#N/A</v>
      </c>
      <c r="G20" s="16" t="e">
        <v>#N/A</v>
      </c>
      <c r="H20" t="e">
        <v>#N/A</v>
      </c>
      <c r="I20" s="13" t="e">
        <f t="shared" si="3"/>
        <v>#N/A</v>
      </c>
    </row>
    <row r="21" spans="1:9" ht="15.75" thickBot="1" x14ac:dyDescent="0.3">
      <c r="A21" s="8">
        <v>0</v>
      </c>
      <c r="B21" s="69" t="e">
        <f t="shared" si="1"/>
        <v>#VALUE!</v>
      </c>
      <c r="C21" s="9" t="str">
        <f t="shared" si="4"/>
        <v/>
      </c>
      <c r="D21" s="18" t="e">
        <v>#N/A</v>
      </c>
      <c r="E21" s="17" t="e">
        <v>#N/A</v>
      </c>
      <c r="F21" s="12" t="e">
        <f t="shared" si="2"/>
        <v>#N/A</v>
      </c>
      <c r="G21" s="19" t="e">
        <v>#N/A</v>
      </c>
      <c r="H21" s="17" t="e">
        <v>#N/A</v>
      </c>
      <c r="I21" s="13" t="e">
        <f t="shared" si="3"/>
        <v>#N/A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69E1-8B72-4FFD-BF2B-E611E1AE4A4C}">
  <sheetPr codeName="Sheet5"/>
  <dimension ref="A1:E22"/>
  <sheetViews>
    <sheetView topLeftCell="A2" workbookViewId="0">
      <selection activeCell="D25" sqref="D25:E35"/>
    </sheetView>
  </sheetViews>
  <sheetFormatPr defaultRowHeight="15" x14ac:dyDescent="0.25"/>
  <cols>
    <col min="1" max="1" width="13.5703125" bestFit="1" customWidth="1"/>
  </cols>
  <sheetData>
    <row r="1" spans="1:5" ht="15.75" thickBot="1" x14ac:dyDescent="0.3">
      <c r="D1" s="57">
        <f>Experimental_parameters!A2</f>
        <v>1</v>
      </c>
      <c r="E1" s="57">
        <f>Experimental_parameters!A3</f>
        <v>2</v>
      </c>
    </row>
    <row r="2" spans="1:5" x14ac:dyDescent="0.25">
      <c r="A2" s="1" t="s">
        <v>0</v>
      </c>
      <c r="B2" s="2" t="s">
        <v>1</v>
      </c>
      <c r="C2" s="2" t="s">
        <v>2</v>
      </c>
      <c r="D2" s="20" t="s">
        <v>290</v>
      </c>
      <c r="E2" s="20" t="s">
        <v>291</v>
      </c>
    </row>
    <row r="3" spans="1:5" x14ac:dyDescent="0.25">
      <c r="A3" s="8">
        <f>CellCount_Viability!A2</f>
        <v>46268</v>
      </c>
      <c r="B3">
        <f>C3*24</f>
        <v>0</v>
      </c>
      <c r="C3" s="9">
        <f>IF(NOT(A3=0),A3-$A$3,"")</f>
        <v>0</v>
      </c>
      <c r="D3" s="58">
        <v>18.14</v>
      </c>
      <c r="E3" s="59">
        <v>17.225999999999999</v>
      </c>
    </row>
    <row r="4" spans="1:5" x14ac:dyDescent="0.25">
      <c r="A4" s="8">
        <f>CellCount_Viability!A3</f>
        <v>46269</v>
      </c>
      <c r="B4">
        <f t="shared" ref="B4:B22" si="0">C4*24</f>
        <v>24</v>
      </c>
      <c r="C4" s="9">
        <f t="shared" ref="C4:C22" si="1">IF(NOT(A4=0),A4-$A$3,"")</f>
        <v>1</v>
      </c>
      <c r="D4" s="58">
        <v>16.600000000000001</v>
      </c>
      <c r="E4" s="59">
        <v>16.932000000000002</v>
      </c>
    </row>
    <row r="5" spans="1:5" x14ac:dyDescent="0.25">
      <c r="A5" s="8">
        <f>CellCount_Viability!A4</f>
        <v>46270</v>
      </c>
      <c r="B5">
        <f t="shared" si="0"/>
        <v>48</v>
      </c>
      <c r="C5" s="9">
        <f t="shared" si="1"/>
        <v>2</v>
      </c>
      <c r="D5" s="58">
        <v>13.562999999999999</v>
      </c>
      <c r="E5" s="59">
        <v>15.400000000000002</v>
      </c>
    </row>
    <row r="6" spans="1:5" x14ac:dyDescent="0.25">
      <c r="A6" s="8">
        <f>CellCount_Viability!A5</f>
        <v>46271</v>
      </c>
      <c r="B6">
        <f t="shared" si="0"/>
        <v>72</v>
      </c>
      <c r="C6" s="9">
        <f t="shared" si="1"/>
        <v>3</v>
      </c>
      <c r="D6" s="58">
        <v>11.933999999999999</v>
      </c>
      <c r="E6" s="59">
        <v>12.167999999999999</v>
      </c>
    </row>
    <row r="7" spans="1:5" x14ac:dyDescent="0.25">
      <c r="A7" s="8">
        <f>CellCount_Viability!A6</f>
        <v>46272</v>
      </c>
      <c r="B7">
        <f t="shared" si="0"/>
        <v>96</v>
      </c>
      <c r="C7" s="9">
        <f t="shared" si="1"/>
        <v>4</v>
      </c>
      <c r="D7" s="58">
        <v>8.6449999999999996</v>
      </c>
      <c r="E7" s="59">
        <v>9.0090000000000003</v>
      </c>
    </row>
    <row r="8" spans="1:5" x14ac:dyDescent="0.25">
      <c r="A8" s="8">
        <f>CellCount_Viability!A7</f>
        <v>46273</v>
      </c>
      <c r="B8">
        <f t="shared" si="0"/>
        <v>120</v>
      </c>
      <c r="C8" s="9">
        <f t="shared" si="1"/>
        <v>5</v>
      </c>
      <c r="D8" s="58">
        <v>6.9579999999999993</v>
      </c>
      <c r="E8" s="59">
        <v>6.9579999999999993</v>
      </c>
    </row>
    <row r="9" spans="1:5" x14ac:dyDescent="0.25">
      <c r="A9" s="8">
        <f>CellCount_Viability!A8</f>
        <v>46274</v>
      </c>
      <c r="B9" s="69">
        <f t="shared" si="0"/>
        <v>144</v>
      </c>
      <c r="C9" s="9">
        <f t="shared" si="1"/>
        <v>6</v>
      </c>
      <c r="D9" s="58">
        <v>5.9159999999999995</v>
      </c>
      <c r="E9" s="59">
        <v>5.51</v>
      </c>
    </row>
    <row r="10" spans="1:5" x14ac:dyDescent="0.25">
      <c r="A10" s="8">
        <f>CellCount_Viability!A9</f>
        <v>46275</v>
      </c>
      <c r="B10">
        <f t="shared" si="0"/>
        <v>168</v>
      </c>
      <c r="C10" s="9">
        <f t="shared" si="1"/>
        <v>7</v>
      </c>
      <c r="D10" s="58">
        <v>5.096000000000001</v>
      </c>
      <c r="E10" s="59">
        <v>5.3410000000000011</v>
      </c>
    </row>
    <row r="11" spans="1:5" x14ac:dyDescent="0.25">
      <c r="A11" s="8">
        <f>CellCount_Viability!A10</f>
        <v>46276</v>
      </c>
      <c r="B11">
        <f t="shared" si="0"/>
        <v>192</v>
      </c>
      <c r="C11" s="9">
        <f t="shared" si="1"/>
        <v>8</v>
      </c>
      <c r="D11" s="58">
        <v>4.0589999999999993</v>
      </c>
      <c r="E11" s="59">
        <v>4.1819999999999995</v>
      </c>
    </row>
    <row r="12" spans="1:5" x14ac:dyDescent="0.25">
      <c r="A12" s="8">
        <f>CellCount_Viability!A11</f>
        <v>46277</v>
      </c>
      <c r="B12">
        <f t="shared" si="0"/>
        <v>216</v>
      </c>
      <c r="C12" s="9">
        <f t="shared" si="1"/>
        <v>9</v>
      </c>
      <c r="D12" s="58">
        <v>4.0330000000000004</v>
      </c>
      <c r="E12" s="59">
        <v>3.7800000000000002</v>
      </c>
    </row>
    <row r="13" spans="1:5" x14ac:dyDescent="0.25">
      <c r="A13" s="8">
        <f>CellCount_Viability!A12</f>
        <v>46278</v>
      </c>
      <c r="B13">
        <f t="shared" si="0"/>
        <v>240</v>
      </c>
      <c r="C13" s="9">
        <f t="shared" si="1"/>
        <v>10</v>
      </c>
      <c r="D13" s="58">
        <v>3.1349999999999998</v>
      </c>
      <c r="E13" s="59">
        <v>3.1349999999999998</v>
      </c>
    </row>
    <row r="14" spans="1:5" x14ac:dyDescent="0.25">
      <c r="A14" s="8">
        <f>CellCount_Viability!A13</f>
        <v>0</v>
      </c>
      <c r="B14" t="e">
        <f t="shared" si="0"/>
        <v>#VALUE!</v>
      </c>
      <c r="C14" s="9" t="str">
        <f t="shared" si="1"/>
        <v/>
      </c>
      <c r="D14" s="58" t="e">
        <v>#N/A</v>
      </c>
      <c r="E14" s="59" t="e">
        <v>#N/A</v>
      </c>
    </row>
    <row r="15" spans="1:5" x14ac:dyDescent="0.25">
      <c r="A15" s="8">
        <f>CellCount_Viability!A14</f>
        <v>0</v>
      </c>
      <c r="B15" t="e">
        <f t="shared" si="0"/>
        <v>#VALUE!</v>
      </c>
      <c r="C15" s="9" t="str">
        <f t="shared" si="1"/>
        <v/>
      </c>
      <c r="D15" s="58" t="e">
        <v>#N/A</v>
      </c>
      <c r="E15" s="59" t="e">
        <v>#N/A</v>
      </c>
    </row>
    <row r="16" spans="1:5" x14ac:dyDescent="0.25">
      <c r="A16" s="8">
        <f>CellCount_Viability!A15</f>
        <v>0</v>
      </c>
      <c r="B16" t="e">
        <f t="shared" si="0"/>
        <v>#VALUE!</v>
      </c>
      <c r="C16" s="9" t="str">
        <f t="shared" si="1"/>
        <v/>
      </c>
      <c r="D16" s="58" t="e">
        <v>#N/A</v>
      </c>
      <c r="E16" s="59" t="e">
        <v>#N/A</v>
      </c>
    </row>
    <row r="17" spans="1:5" x14ac:dyDescent="0.25">
      <c r="A17" s="8">
        <f>CellCount_Viability!A16</f>
        <v>0</v>
      </c>
      <c r="B17" t="e">
        <f t="shared" si="0"/>
        <v>#VALUE!</v>
      </c>
      <c r="C17" s="9" t="str">
        <f t="shared" si="1"/>
        <v/>
      </c>
      <c r="D17" s="58" t="e">
        <v>#N/A</v>
      </c>
      <c r="E17" s="59" t="e">
        <v>#N/A</v>
      </c>
    </row>
    <row r="18" spans="1:5" x14ac:dyDescent="0.25">
      <c r="A18" s="8">
        <f>CellCount_Viability!A17</f>
        <v>0</v>
      </c>
      <c r="B18" t="e">
        <f t="shared" si="0"/>
        <v>#VALUE!</v>
      </c>
      <c r="C18" s="9" t="str">
        <f t="shared" si="1"/>
        <v/>
      </c>
      <c r="D18" s="58" t="e">
        <v>#N/A</v>
      </c>
      <c r="E18" s="59" t="e">
        <v>#N/A</v>
      </c>
    </row>
    <row r="19" spans="1:5" x14ac:dyDescent="0.25">
      <c r="A19" s="8">
        <f>CellCount_Viability!A18</f>
        <v>0</v>
      </c>
      <c r="B19" t="e">
        <f t="shared" si="0"/>
        <v>#VALUE!</v>
      </c>
      <c r="C19" s="9" t="str">
        <f t="shared" si="1"/>
        <v/>
      </c>
      <c r="D19" s="58" t="e">
        <v>#N/A</v>
      </c>
      <c r="E19" s="59" t="e">
        <v>#N/A</v>
      </c>
    </row>
    <row r="20" spans="1:5" x14ac:dyDescent="0.25">
      <c r="A20" s="8">
        <f>CellCount_Viability!A19</f>
        <v>0</v>
      </c>
      <c r="B20" t="e">
        <f t="shared" si="0"/>
        <v>#VALUE!</v>
      </c>
      <c r="C20" s="9" t="str">
        <f t="shared" si="1"/>
        <v/>
      </c>
      <c r="D20" s="58" t="e">
        <v>#N/A</v>
      </c>
      <c r="E20" s="59" t="e">
        <v>#N/A</v>
      </c>
    </row>
    <row r="21" spans="1:5" x14ac:dyDescent="0.25">
      <c r="A21" s="8">
        <f>CellCount_Viability!A20</f>
        <v>0</v>
      </c>
      <c r="B21" t="e">
        <f t="shared" si="0"/>
        <v>#VALUE!</v>
      </c>
      <c r="C21" s="9" t="str">
        <f t="shared" si="1"/>
        <v/>
      </c>
      <c r="D21" s="58" t="e">
        <v>#N/A</v>
      </c>
      <c r="E21" s="59" t="e">
        <v>#N/A</v>
      </c>
    </row>
    <row r="22" spans="1:5" ht="15.75" thickBot="1" x14ac:dyDescent="0.3">
      <c r="A22" s="8">
        <f>CellCount_Viability!A21</f>
        <v>0</v>
      </c>
      <c r="B22" t="e">
        <f t="shared" si="0"/>
        <v>#VALUE!</v>
      </c>
      <c r="C22" s="9" t="str">
        <f t="shared" si="1"/>
        <v/>
      </c>
      <c r="D22" s="60" t="e">
        <v>#N/A</v>
      </c>
      <c r="E22" s="61" t="e"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ED6F-B6A1-4F7B-82B9-8698FCA10571}">
  <sheetPr codeName="Sheet6"/>
  <dimension ref="A1:E22"/>
  <sheetViews>
    <sheetView topLeftCell="A6" workbookViewId="0">
      <selection activeCell="D27" sqref="D27:E37"/>
    </sheetView>
  </sheetViews>
  <sheetFormatPr defaultRowHeight="15" x14ac:dyDescent="0.25"/>
  <cols>
    <col min="1" max="1" width="13.5703125" bestFit="1" customWidth="1"/>
  </cols>
  <sheetData>
    <row r="1" spans="1:5" ht="15.75" thickBot="1" x14ac:dyDescent="0.3">
      <c r="D1" s="57">
        <f>Experimental_parameters!A2</f>
        <v>1</v>
      </c>
      <c r="E1" s="57">
        <f>Experimental_parameters!A3</f>
        <v>2</v>
      </c>
    </row>
    <row r="2" spans="1:5" x14ac:dyDescent="0.25">
      <c r="A2" s="1" t="s">
        <v>0</v>
      </c>
      <c r="B2" s="2" t="s">
        <v>1</v>
      </c>
      <c r="C2" s="2" t="s">
        <v>2</v>
      </c>
      <c r="D2" s="20" t="s">
        <v>290</v>
      </c>
      <c r="E2" s="20" t="s">
        <v>291</v>
      </c>
    </row>
    <row r="3" spans="1:5" x14ac:dyDescent="0.25">
      <c r="A3" s="8">
        <f>CellCount_Viability!A2</f>
        <v>46268</v>
      </c>
      <c r="B3">
        <f t="shared" ref="B3:B8" si="0">C3*24</f>
        <v>0</v>
      </c>
      <c r="C3" s="9">
        <f t="shared" ref="C3:C22" si="1">IF(NOT(A3=0),A3-$A$3,"")</f>
        <v>0</v>
      </c>
      <c r="D3">
        <v>5.5440000000000005</v>
      </c>
      <c r="E3">
        <v>4.9598999999999993</v>
      </c>
    </row>
    <row r="4" spans="1:5" x14ac:dyDescent="0.25">
      <c r="A4" s="8">
        <f>CellCount_Viability!A3</f>
        <v>46269</v>
      </c>
      <c r="B4">
        <f t="shared" si="0"/>
        <v>24</v>
      </c>
      <c r="C4" s="9">
        <f t="shared" si="1"/>
        <v>1</v>
      </c>
      <c r="D4">
        <v>4.79</v>
      </c>
      <c r="E4">
        <v>4.8857999999999997</v>
      </c>
    </row>
    <row r="5" spans="1:5" x14ac:dyDescent="0.25">
      <c r="A5" s="8">
        <f>CellCount_Viability!A4</f>
        <v>46270</v>
      </c>
      <c r="B5">
        <f t="shared" si="0"/>
        <v>48</v>
      </c>
      <c r="C5" s="9">
        <f t="shared" si="1"/>
        <v>2</v>
      </c>
      <c r="D5">
        <v>4.5738000000000003</v>
      </c>
      <c r="E5">
        <v>5.0599999999999996</v>
      </c>
    </row>
    <row r="6" spans="1:5" x14ac:dyDescent="0.25">
      <c r="A6" s="8">
        <f>CellCount_Viability!A5</f>
        <v>46271</v>
      </c>
      <c r="B6">
        <f t="shared" si="0"/>
        <v>72</v>
      </c>
      <c r="C6" s="9">
        <f t="shared" si="1"/>
        <v>3</v>
      </c>
      <c r="D6">
        <v>4.6002000000000001</v>
      </c>
      <c r="E6">
        <v>4.68</v>
      </c>
    </row>
    <row r="7" spans="1:5" x14ac:dyDescent="0.25">
      <c r="A7" s="8">
        <f>CellCount_Viability!A6</f>
        <v>46272</v>
      </c>
      <c r="B7">
        <f t="shared" si="0"/>
        <v>96</v>
      </c>
      <c r="C7" s="9">
        <f t="shared" si="1"/>
        <v>4</v>
      </c>
      <c r="D7">
        <v>4.1704999999999997</v>
      </c>
      <c r="E7">
        <v>4.3559999999999999</v>
      </c>
    </row>
    <row r="8" spans="1:5" x14ac:dyDescent="0.25">
      <c r="A8" s="8">
        <f>CellCount_Viability!A7</f>
        <v>46273</v>
      </c>
      <c r="B8">
        <f t="shared" si="0"/>
        <v>120</v>
      </c>
      <c r="C8" s="9">
        <f t="shared" si="1"/>
        <v>5</v>
      </c>
      <c r="D8">
        <v>4.3022</v>
      </c>
      <c r="E8">
        <v>4.2923999999999998</v>
      </c>
    </row>
    <row r="9" spans="1:5" x14ac:dyDescent="0.25">
      <c r="A9" s="8">
        <f>CellCount_Viability!A8</f>
        <v>46274</v>
      </c>
      <c r="B9">
        <f t="shared" ref="B9:B22" si="2">C9*24</f>
        <v>144</v>
      </c>
      <c r="C9" s="9">
        <f t="shared" si="1"/>
        <v>6</v>
      </c>
      <c r="D9">
        <v>4.4573999999999998</v>
      </c>
      <c r="E9">
        <v>4.1514999999999995</v>
      </c>
    </row>
    <row r="10" spans="1:5" x14ac:dyDescent="0.25">
      <c r="A10" s="8">
        <f>CellCount_Viability!A9</f>
        <v>46275</v>
      </c>
      <c r="B10">
        <f t="shared" si="2"/>
        <v>168</v>
      </c>
      <c r="C10" s="9">
        <f t="shared" si="1"/>
        <v>7</v>
      </c>
      <c r="D10">
        <v>4.5448000000000004</v>
      </c>
      <c r="E10">
        <v>4.7850999999999999</v>
      </c>
    </row>
    <row r="11" spans="1:5" x14ac:dyDescent="0.25">
      <c r="A11" s="8">
        <f>CellCount_Viability!A10</f>
        <v>46276</v>
      </c>
      <c r="B11">
        <f t="shared" si="2"/>
        <v>192</v>
      </c>
      <c r="C11" s="9">
        <f t="shared" si="1"/>
        <v>8</v>
      </c>
      <c r="D11">
        <v>4.3559999999999999</v>
      </c>
      <c r="E11">
        <v>4.4982000000000006</v>
      </c>
    </row>
    <row r="12" spans="1:5" x14ac:dyDescent="0.25">
      <c r="A12" s="8">
        <f>CellCount_Viability!A11</f>
        <v>46277</v>
      </c>
      <c r="B12">
        <f t="shared" si="2"/>
        <v>216</v>
      </c>
      <c r="C12" s="9">
        <f t="shared" si="1"/>
        <v>9</v>
      </c>
      <c r="D12">
        <v>4.8069000000000006</v>
      </c>
      <c r="E12">
        <v>4.6514999999999995</v>
      </c>
    </row>
    <row r="13" spans="1:5" x14ac:dyDescent="0.25">
      <c r="A13" s="8">
        <f>CellCount_Viability!A12</f>
        <v>46278</v>
      </c>
      <c r="B13">
        <f t="shared" si="2"/>
        <v>240</v>
      </c>
      <c r="C13" s="9">
        <f t="shared" si="1"/>
        <v>10</v>
      </c>
      <c r="D13">
        <v>4.2084999999999999</v>
      </c>
      <c r="E13">
        <v>4.218</v>
      </c>
    </row>
    <row r="14" spans="1:5" x14ac:dyDescent="0.25">
      <c r="A14" s="8">
        <f>CellCount_Viability!A13</f>
        <v>0</v>
      </c>
      <c r="B14" t="e">
        <f t="shared" si="2"/>
        <v>#VALUE!</v>
      </c>
      <c r="C14" s="9" t="str">
        <f t="shared" si="1"/>
        <v/>
      </c>
      <c r="D14" s="58" t="e">
        <v>#N/A</v>
      </c>
      <c r="E14" s="59" t="e">
        <v>#N/A</v>
      </c>
    </row>
    <row r="15" spans="1:5" x14ac:dyDescent="0.25">
      <c r="A15" s="8">
        <f>CellCount_Viability!A14</f>
        <v>0</v>
      </c>
      <c r="B15" t="e">
        <f t="shared" si="2"/>
        <v>#VALUE!</v>
      </c>
      <c r="C15" s="9" t="str">
        <f t="shared" si="1"/>
        <v/>
      </c>
      <c r="D15" s="58" t="e">
        <v>#N/A</v>
      </c>
      <c r="E15" s="59" t="e">
        <v>#N/A</v>
      </c>
    </row>
    <row r="16" spans="1:5" x14ac:dyDescent="0.25">
      <c r="A16" s="8">
        <f>CellCount_Viability!A15</f>
        <v>0</v>
      </c>
      <c r="B16" t="e">
        <f t="shared" si="2"/>
        <v>#VALUE!</v>
      </c>
      <c r="C16" s="9" t="str">
        <f t="shared" si="1"/>
        <v/>
      </c>
      <c r="D16" s="58" t="e">
        <v>#N/A</v>
      </c>
      <c r="E16" s="59" t="e">
        <v>#N/A</v>
      </c>
    </row>
    <row r="17" spans="1:5" x14ac:dyDescent="0.25">
      <c r="A17" s="8">
        <f>CellCount_Viability!A16</f>
        <v>0</v>
      </c>
      <c r="B17" t="e">
        <f t="shared" si="2"/>
        <v>#VALUE!</v>
      </c>
      <c r="C17" s="9" t="str">
        <f t="shared" si="1"/>
        <v/>
      </c>
      <c r="D17" s="58" t="e">
        <v>#N/A</v>
      </c>
      <c r="E17" s="59" t="e">
        <v>#N/A</v>
      </c>
    </row>
    <row r="18" spans="1:5" x14ac:dyDescent="0.25">
      <c r="A18" s="8">
        <f>CellCount_Viability!A17</f>
        <v>0</v>
      </c>
      <c r="B18" t="e">
        <f t="shared" si="2"/>
        <v>#VALUE!</v>
      </c>
      <c r="C18" s="9" t="str">
        <f t="shared" si="1"/>
        <v/>
      </c>
      <c r="D18" s="58" t="e">
        <v>#N/A</v>
      </c>
      <c r="E18" s="59" t="e">
        <v>#N/A</v>
      </c>
    </row>
    <row r="19" spans="1:5" x14ac:dyDescent="0.25">
      <c r="A19" s="8">
        <f>CellCount_Viability!A18</f>
        <v>0</v>
      </c>
      <c r="B19" t="e">
        <f t="shared" si="2"/>
        <v>#VALUE!</v>
      </c>
      <c r="C19" s="9" t="str">
        <f t="shared" si="1"/>
        <v/>
      </c>
      <c r="D19" s="58" t="e">
        <v>#N/A</v>
      </c>
      <c r="E19" s="59" t="e">
        <v>#N/A</v>
      </c>
    </row>
    <row r="20" spans="1:5" x14ac:dyDescent="0.25">
      <c r="A20" s="8">
        <f>CellCount_Viability!A19</f>
        <v>0</v>
      </c>
      <c r="B20" t="e">
        <f t="shared" si="2"/>
        <v>#VALUE!</v>
      </c>
      <c r="C20" s="9" t="str">
        <f t="shared" si="1"/>
        <v/>
      </c>
      <c r="D20" s="58" t="e">
        <v>#N/A</v>
      </c>
      <c r="E20" s="59" t="e">
        <v>#N/A</v>
      </c>
    </row>
    <row r="21" spans="1:5" x14ac:dyDescent="0.25">
      <c r="A21" s="8">
        <f>CellCount_Viability!A20</f>
        <v>0</v>
      </c>
      <c r="B21" t="e">
        <f t="shared" si="2"/>
        <v>#VALUE!</v>
      </c>
      <c r="C21" s="9" t="str">
        <f t="shared" si="1"/>
        <v/>
      </c>
      <c r="D21" s="58" t="e">
        <v>#N/A</v>
      </c>
      <c r="E21" s="59" t="e">
        <v>#N/A</v>
      </c>
    </row>
    <row r="22" spans="1:5" ht="15.75" thickBot="1" x14ac:dyDescent="0.3">
      <c r="A22" s="8">
        <f>CellCount_Viability!A21</f>
        <v>0</v>
      </c>
      <c r="B22" t="e">
        <f t="shared" si="2"/>
        <v>#VALUE!</v>
      </c>
      <c r="C22" s="9" t="str">
        <f t="shared" si="1"/>
        <v/>
      </c>
      <c r="D22" s="60" t="e">
        <v>#N/A</v>
      </c>
      <c r="E22" s="61" t="e"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8536-89AB-4B72-A436-92AA85BCA742}">
  <sheetPr codeName="Sheet7"/>
  <dimension ref="A1:K4"/>
  <sheetViews>
    <sheetView zoomScale="115" zoomScaleNormal="115" workbookViewId="0">
      <selection activeCell="N19" sqref="N19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1.42578125" bestFit="1" customWidth="1"/>
    <col min="4" max="4" width="13.140625" bestFit="1" customWidth="1"/>
    <col min="5" max="5" width="11.5703125" bestFit="1" customWidth="1"/>
    <col min="6" max="6" width="11.42578125" bestFit="1" customWidth="1"/>
    <col min="7" max="7" width="13.140625" bestFit="1" customWidth="1"/>
    <col min="9" max="9" width="8.85546875" bestFit="1" customWidth="1"/>
    <col min="10" max="10" width="8.140625" customWidth="1"/>
  </cols>
  <sheetData>
    <row r="1" spans="1:11" x14ac:dyDescent="0.25">
      <c r="A1" t="s">
        <v>51</v>
      </c>
      <c r="B1" s="4" t="s">
        <v>45</v>
      </c>
      <c r="C1" s="5" t="s">
        <v>46</v>
      </c>
      <c r="D1" s="6" t="s">
        <v>47</v>
      </c>
      <c r="E1" t="s">
        <v>285</v>
      </c>
      <c r="F1" t="s">
        <v>286</v>
      </c>
      <c r="G1" s="5" t="s">
        <v>48</v>
      </c>
      <c r="H1" s="5" t="s">
        <v>49</v>
      </c>
      <c r="I1" s="7" t="s">
        <v>50</v>
      </c>
      <c r="J1" t="s">
        <v>287</v>
      </c>
      <c r="K1" t="s">
        <v>288</v>
      </c>
    </row>
    <row r="2" spans="1:11" x14ac:dyDescent="0.25">
      <c r="A2">
        <v>1</v>
      </c>
      <c r="B2" s="10">
        <v>110000</v>
      </c>
      <c r="C2" s="11">
        <v>610000</v>
      </c>
      <c r="D2" s="12">
        <f>(C2-B2)/C2</f>
        <v>0.81967213114754101</v>
      </c>
      <c r="E2" s="62">
        <f>_xlfn.AGGREGATE(1,6,D2:D6)</f>
        <v>0.87485252359553467</v>
      </c>
      <c r="F2" s="94">
        <f>_xlfn.AGGREGATE(7,6,D2:D6)</f>
        <v>4.8546825328814776E-2</v>
      </c>
      <c r="G2" s="14">
        <v>200000</v>
      </c>
      <c r="H2" s="11">
        <v>1800000</v>
      </c>
      <c r="I2" s="13">
        <f t="shared" ref="I2" si="0">(H2-G2)/H2</f>
        <v>0.88888888888888884</v>
      </c>
      <c r="J2" s="62">
        <f>_xlfn.AGGREGATE(1,6,I2:I6)</f>
        <v>0.88226120857699808</v>
      </c>
      <c r="K2" s="94">
        <f>_xlfn.AGGREGATE(7,6,I2:I6)</f>
        <v>9.4592239613835675E-3</v>
      </c>
    </row>
    <row r="3" spans="1:11" x14ac:dyDescent="0.25">
      <c r="A3">
        <v>2</v>
      </c>
      <c r="B3" s="10">
        <v>330000</v>
      </c>
      <c r="C3" s="11">
        <v>3110000</v>
      </c>
      <c r="D3" s="12">
        <f t="shared" ref="D3:D4" si="1">(C3-B3)/C3</f>
        <v>0.89389067524115751</v>
      </c>
      <c r="G3" s="14">
        <v>151000</v>
      </c>
      <c r="H3" s="11">
        <v>1330000</v>
      </c>
      <c r="I3" s="13">
        <f>(H3-G3)/H3</f>
        <v>0.88646616541353385</v>
      </c>
      <c r="K3" s="62"/>
    </row>
    <row r="4" spans="1:11" x14ac:dyDescent="0.25">
      <c r="A4">
        <v>3</v>
      </c>
      <c r="B4" s="10">
        <v>170000</v>
      </c>
      <c r="C4" s="11">
        <v>1910000</v>
      </c>
      <c r="D4" s="12">
        <f t="shared" si="1"/>
        <v>0.91099476439790572</v>
      </c>
      <c r="G4" s="14">
        <v>180000</v>
      </c>
      <c r="H4" s="11">
        <v>1400000</v>
      </c>
      <c r="I4" s="13">
        <f t="shared" ref="I4" si="2">(H4-G4)/H4</f>
        <v>0.87142857142857144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6ACE-3904-4B43-8F04-B87D9A64C9EF}">
  <sheetPr codeName="Sheet8"/>
  <dimension ref="A1:AC119"/>
  <sheetViews>
    <sheetView tabSelected="1" topLeftCell="C40" zoomScale="85" zoomScaleNormal="85" workbookViewId="0">
      <selection activeCell="O66" sqref="O66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29" ht="33.75" customHeight="1" x14ac:dyDescent="0.25">
      <c r="A1" t="s">
        <v>54</v>
      </c>
      <c r="B1" s="8">
        <f>CellCount_Viability!A2</f>
        <v>46268</v>
      </c>
      <c r="F1" s="67" t="s">
        <v>73</v>
      </c>
      <c r="G1" s="67" t="s">
        <v>55</v>
      </c>
      <c r="H1" s="67" t="s">
        <v>56</v>
      </c>
      <c r="I1" s="67" t="s">
        <v>57</v>
      </c>
      <c r="J1" s="67" t="s">
        <v>58</v>
      </c>
      <c r="K1" s="67" t="s">
        <v>59</v>
      </c>
      <c r="L1" s="67" t="s">
        <v>60</v>
      </c>
      <c r="M1" s="67" t="s">
        <v>61</v>
      </c>
      <c r="N1" s="67" t="s">
        <v>62</v>
      </c>
      <c r="O1" s="67" t="s">
        <v>63</v>
      </c>
    </row>
    <row r="2" spans="1:29" x14ac:dyDescent="0.25">
      <c r="A2" s="104" t="s">
        <v>64</v>
      </c>
      <c r="B2" s="105"/>
      <c r="C2" s="104" t="s">
        <v>65</v>
      </c>
      <c r="D2" s="105"/>
      <c r="E2" s="67" t="s">
        <v>66</v>
      </c>
      <c r="F2" s="68">
        <v>1.39</v>
      </c>
      <c r="G2" s="68">
        <v>1.98</v>
      </c>
      <c r="H2" s="68">
        <v>2.2599999999999998</v>
      </c>
      <c r="I2" s="68">
        <v>5.28</v>
      </c>
      <c r="J2" s="94">
        <v>25.642879186355369</v>
      </c>
      <c r="K2" s="97">
        <v>86.954294676496119</v>
      </c>
      <c r="L2" s="97">
        <v>20.748292746229751</v>
      </c>
      <c r="M2" s="97">
        <v>7.4685604900180076</v>
      </c>
      <c r="N2" s="97">
        <v>0</v>
      </c>
      <c r="O2" s="97">
        <v>0.76128607582680363</v>
      </c>
      <c r="Q2">
        <f ca="1">RAND()*0.1+0.95</f>
        <v>0.9706121844240142</v>
      </c>
      <c r="R2">
        <f t="shared" ref="R2:V2" ca="1" si="0">RAND()*0.1+0.95</f>
        <v>0.96858223734742854</v>
      </c>
      <c r="S2">
        <f t="shared" ca="1" si="0"/>
        <v>1.0363587137371326</v>
      </c>
      <c r="T2">
        <f t="shared" ca="1" si="0"/>
        <v>0.98035379226655306</v>
      </c>
      <c r="U2">
        <f t="shared" ca="1" si="0"/>
        <v>0.9860668908426824</v>
      </c>
      <c r="V2">
        <f t="shared" ca="1" si="0"/>
        <v>1.0463637172373861</v>
      </c>
    </row>
    <row r="3" spans="1:29" x14ac:dyDescent="0.25">
      <c r="A3" s="104" t="s">
        <v>67</v>
      </c>
      <c r="B3" s="105"/>
      <c r="C3" s="104" t="s">
        <v>68</v>
      </c>
      <c r="D3" s="105"/>
      <c r="E3" s="67" t="s">
        <v>66</v>
      </c>
      <c r="F3" s="68">
        <v>1.39</v>
      </c>
      <c r="G3" s="68">
        <v>1.98</v>
      </c>
      <c r="H3" s="68">
        <v>2.2599999999999998</v>
      </c>
      <c r="I3" s="68">
        <v>5.27</v>
      </c>
      <c r="J3" s="94">
        <v>27.147757540335299</v>
      </c>
      <c r="K3" s="97">
        <v>87.271388809026959</v>
      </c>
      <c r="L3" s="97">
        <v>19.299752829444472</v>
      </c>
      <c r="M3" s="97">
        <v>7.802295387419333</v>
      </c>
      <c r="N3" s="97">
        <v>0</v>
      </c>
      <c r="O3" s="97">
        <v>0.5</v>
      </c>
      <c r="Q3">
        <f t="shared" ref="Q3:V5" ca="1" si="1">RAND()*0.1+0.95</f>
        <v>0.955284359864221</v>
      </c>
      <c r="R3">
        <f t="shared" ca="1" si="1"/>
        <v>0.99174220219570697</v>
      </c>
      <c r="S3">
        <f t="shared" ca="1" si="1"/>
        <v>0.99153473266843584</v>
      </c>
      <c r="T3">
        <f t="shared" ca="1" si="1"/>
        <v>0.99971880595107221</v>
      </c>
      <c r="U3">
        <f t="shared" ca="1" si="1"/>
        <v>1.0362451104797816</v>
      </c>
      <c r="V3">
        <f t="shared" ca="1" si="1"/>
        <v>0.98073918857450082</v>
      </c>
    </row>
    <row r="4" spans="1:29" x14ac:dyDescent="0.25">
      <c r="A4" s="104" t="s">
        <v>69</v>
      </c>
      <c r="B4" s="105"/>
      <c r="C4" s="104" t="s">
        <v>70</v>
      </c>
      <c r="D4" s="105"/>
      <c r="E4" s="67" t="s">
        <v>66</v>
      </c>
      <c r="F4" s="68">
        <v>1.39</v>
      </c>
      <c r="G4" s="68">
        <v>1.98</v>
      </c>
      <c r="H4" s="68">
        <v>2.2599999999999998</v>
      </c>
      <c r="I4" s="68">
        <v>5.26</v>
      </c>
      <c r="J4" s="94">
        <v>27.42734577671532</v>
      </c>
      <c r="K4" s="97">
        <v>83.415526387033353</v>
      </c>
      <c r="L4" s="97">
        <v>19.653915898554548</v>
      </c>
      <c r="M4" s="97">
        <v>7.8687266786215062</v>
      </c>
      <c r="N4" s="97">
        <v>0</v>
      </c>
      <c r="O4" s="97">
        <v>0.1</v>
      </c>
      <c r="Q4">
        <f t="shared" ca="1" si="1"/>
        <v>0.97487161246992426</v>
      </c>
      <c r="R4">
        <f t="shared" ca="1" si="1"/>
        <v>1.0067605580917058</v>
      </c>
      <c r="S4">
        <f t="shared" ca="1" si="1"/>
        <v>1.0223895191244698</v>
      </c>
      <c r="T4">
        <f t="shared" ca="1" si="1"/>
        <v>1.0360585116079486</v>
      </c>
      <c r="U4">
        <f t="shared" ca="1" si="1"/>
        <v>0.95028874150274711</v>
      </c>
      <c r="V4">
        <f t="shared" ca="1" si="1"/>
        <v>1.0307978870511674</v>
      </c>
    </row>
    <row r="5" spans="1:29" x14ac:dyDescent="0.25">
      <c r="A5" s="104" t="s">
        <v>71</v>
      </c>
      <c r="B5" s="105"/>
      <c r="C5" s="104" t="s">
        <v>72</v>
      </c>
      <c r="D5" s="105"/>
      <c r="E5" s="67" t="s">
        <v>66</v>
      </c>
      <c r="F5" s="68">
        <v>1.39</v>
      </c>
      <c r="G5" s="68">
        <v>1.98</v>
      </c>
      <c r="H5" s="68">
        <v>2.2599999999999998</v>
      </c>
      <c r="I5" s="68">
        <v>5.25</v>
      </c>
      <c r="J5" s="94">
        <v>27.392155090583351</v>
      </c>
      <c r="K5" s="97">
        <v>87.565465254342939</v>
      </c>
      <c r="L5" s="97">
        <v>20.673347386098101</v>
      </c>
      <c r="M5" s="97">
        <v>7.8301409256709755</v>
      </c>
      <c r="N5" s="97">
        <v>0</v>
      </c>
      <c r="O5" s="97">
        <v>0.5</v>
      </c>
      <c r="Q5">
        <f t="shared" ca="1" si="1"/>
        <v>1.0047437413231814</v>
      </c>
      <c r="R5">
        <f t="shared" ca="1" si="1"/>
        <v>0.97294763003865992</v>
      </c>
      <c r="S5">
        <f t="shared" ca="1" si="1"/>
        <v>0.99402599517954249</v>
      </c>
      <c r="T5">
        <f t="shared" ca="1" si="1"/>
        <v>1.0181483272980847</v>
      </c>
      <c r="U5">
        <f t="shared" ca="1" si="1"/>
        <v>1.0095257774473769</v>
      </c>
      <c r="V5">
        <f t="shared" ca="1" si="1"/>
        <v>0.97288378025155153</v>
      </c>
    </row>
    <row r="6" spans="1:29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29" ht="22.5" x14ac:dyDescent="0.25">
      <c r="A7" t="s">
        <v>74</v>
      </c>
      <c r="B7" s="8">
        <f>CellCount_Viability!A3</f>
        <v>46269</v>
      </c>
      <c r="F7" s="67" t="s">
        <v>73</v>
      </c>
      <c r="G7" s="67" t="s">
        <v>55</v>
      </c>
      <c r="H7" s="67" t="s">
        <v>56</v>
      </c>
      <c r="I7" s="67" t="s">
        <v>57</v>
      </c>
      <c r="J7" s="67" t="s">
        <v>58</v>
      </c>
      <c r="K7" s="67" t="s">
        <v>59</v>
      </c>
      <c r="L7" s="67" t="s">
        <v>60</v>
      </c>
      <c r="M7" s="67" t="s">
        <v>61</v>
      </c>
      <c r="N7" s="67" t="s">
        <v>62</v>
      </c>
      <c r="O7" s="67" t="s">
        <v>63</v>
      </c>
    </row>
    <row r="8" spans="1:29" ht="13.9" customHeight="1" x14ac:dyDescent="0.25">
      <c r="A8" s="104" t="s">
        <v>82</v>
      </c>
      <c r="B8" s="105"/>
      <c r="C8" s="104" t="s">
        <v>83</v>
      </c>
      <c r="D8" s="105"/>
      <c r="E8" s="67" t="s">
        <v>66</v>
      </c>
      <c r="F8" s="68">
        <v>1.39</v>
      </c>
      <c r="G8" s="68">
        <v>1.98</v>
      </c>
      <c r="H8" s="68">
        <v>2.2599999999999998</v>
      </c>
      <c r="I8" s="68">
        <v>5.28</v>
      </c>
      <c r="J8" s="94">
        <v>24.555594577390558</v>
      </c>
      <c r="K8" s="94">
        <v>75</v>
      </c>
      <c r="L8" s="94">
        <v>15.433407330998682</v>
      </c>
      <c r="M8" s="94">
        <v>6.0509198144101815</v>
      </c>
      <c r="N8" s="94">
        <v>0.42675774123604882</v>
      </c>
      <c r="O8" s="94">
        <v>4.5</v>
      </c>
      <c r="Q8">
        <v>0.95176723168180455</v>
      </c>
      <c r="R8">
        <v>1.0071802168358985</v>
      </c>
      <c r="S8">
        <v>1.0249988265257808</v>
      </c>
      <c r="T8">
        <v>0.95065511616813525</v>
      </c>
      <c r="U8">
        <v>0.95247794048889367</v>
      </c>
      <c r="V8">
        <v>0.98550272927863147</v>
      </c>
      <c r="X8">
        <f>J62*Q8</f>
        <v>2.9893408489007109</v>
      </c>
      <c r="Y8">
        <f t="shared" ref="Y8:AC11" si="2">K62*R8</f>
        <v>3.2458140417971886</v>
      </c>
      <c r="Z8">
        <f t="shared" si="2"/>
        <v>0</v>
      </c>
      <c r="AA8">
        <f t="shared" si="2"/>
        <v>0</v>
      </c>
      <c r="AB8">
        <f t="shared" si="2"/>
        <v>2.2986994086714985</v>
      </c>
      <c r="AC8">
        <f t="shared" si="2"/>
        <v>65.831582315812582</v>
      </c>
    </row>
    <row r="9" spans="1:29" ht="13.9" customHeight="1" x14ac:dyDescent="0.25">
      <c r="A9" s="104" t="s">
        <v>84</v>
      </c>
      <c r="B9" s="105"/>
      <c r="C9" s="104" t="s">
        <v>85</v>
      </c>
      <c r="D9" s="105"/>
      <c r="E9" s="67" t="s">
        <v>66</v>
      </c>
      <c r="F9" s="68">
        <v>1.39</v>
      </c>
      <c r="G9" s="68">
        <v>1.98</v>
      </c>
      <c r="H9" s="68">
        <v>2.2599999999999998</v>
      </c>
      <c r="I9" s="68">
        <v>5.27</v>
      </c>
      <c r="J9" s="94">
        <v>25.036265287198106</v>
      </c>
      <c r="K9" s="94">
        <v>78</v>
      </c>
      <c r="L9" s="94">
        <v>14.355925590963926</v>
      </c>
      <c r="M9" s="94">
        <v>6.3213070069816046</v>
      </c>
      <c r="N9" s="94">
        <v>0.46592780641270998</v>
      </c>
      <c r="O9" s="94">
        <v>4.8</v>
      </c>
      <c r="Q9">
        <v>1.0054725014938999</v>
      </c>
      <c r="R9">
        <v>1.0108530766796588</v>
      </c>
      <c r="S9">
        <v>0.95343863923516803</v>
      </c>
      <c r="T9">
        <v>0.99313542921941944</v>
      </c>
      <c r="U9">
        <v>1.0399013646082134</v>
      </c>
      <c r="V9">
        <v>0.99833200534248145</v>
      </c>
      <c r="X9">
        <f t="shared" ref="X9:X11" si="3">J63*Q9</f>
        <v>3.5384123294114018</v>
      </c>
      <c r="Y9">
        <f t="shared" si="2"/>
        <v>3.2695300692419531</v>
      </c>
      <c r="Z9">
        <f t="shared" si="2"/>
        <v>0</v>
      </c>
      <c r="AA9">
        <f t="shared" si="2"/>
        <v>0</v>
      </c>
      <c r="AB9">
        <f t="shared" si="2"/>
        <v>2.7400382661513145</v>
      </c>
      <c r="AC9">
        <f t="shared" si="2"/>
        <v>66.588744756343516</v>
      </c>
    </row>
    <row r="10" spans="1:29" ht="13.9" customHeight="1" x14ac:dyDescent="0.25">
      <c r="A10" s="104" t="s">
        <v>86</v>
      </c>
      <c r="B10" s="105"/>
      <c r="C10" s="104" t="s">
        <v>87</v>
      </c>
      <c r="D10" s="105"/>
      <c r="E10" s="67" t="s">
        <v>66</v>
      </c>
      <c r="F10" s="68">
        <v>1.39</v>
      </c>
      <c r="G10" s="68">
        <v>1.98</v>
      </c>
      <c r="H10" s="68">
        <v>2.2599999999999998</v>
      </c>
      <c r="I10" s="68">
        <v>5.26</v>
      </c>
      <c r="J10" s="94">
        <v>25.661190935032895</v>
      </c>
      <c r="K10" s="94">
        <v>69</v>
      </c>
      <c r="L10" s="94">
        <v>14.619366201428884</v>
      </c>
      <c r="M10" s="94">
        <v>6.3751286794135718</v>
      </c>
      <c r="N10" s="94">
        <v>0.45813202634291389</v>
      </c>
      <c r="O10" s="94">
        <v>4.8</v>
      </c>
      <c r="Q10">
        <v>1.0389146127543682</v>
      </c>
      <c r="R10">
        <v>0.96619112680448327</v>
      </c>
      <c r="S10">
        <v>0.9709348609569558</v>
      </c>
      <c r="T10">
        <v>1.0015913086274268</v>
      </c>
      <c r="U10">
        <v>1.0225020117016268</v>
      </c>
      <c r="V10">
        <v>1.0265359103622602</v>
      </c>
      <c r="X10">
        <f t="shared" si="3"/>
        <v>3.4538994323025887</v>
      </c>
      <c r="Y10">
        <f t="shared" si="2"/>
        <v>2.9870008816622398</v>
      </c>
      <c r="Z10">
        <f t="shared" si="2"/>
        <v>0</v>
      </c>
      <c r="AA10">
        <f t="shared" si="2"/>
        <v>0</v>
      </c>
      <c r="AB10">
        <f t="shared" si="2"/>
        <v>2.6491141601356492</v>
      </c>
      <c r="AC10">
        <f t="shared" si="2"/>
        <v>67.54606290183672</v>
      </c>
    </row>
    <row r="11" spans="1:29" ht="13.9" customHeight="1" x14ac:dyDescent="0.25">
      <c r="A11" s="104" t="s">
        <v>88</v>
      </c>
      <c r="B11" s="105"/>
      <c r="C11" s="104" t="s">
        <v>89</v>
      </c>
      <c r="D11" s="105"/>
      <c r="E11" s="67" t="s">
        <v>66</v>
      </c>
      <c r="F11" s="68">
        <v>1.39</v>
      </c>
      <c r="G11" s="68">
        <v>1.98</v>
      </c>
      <c r="H11" s="68">
        <v>2.2599999999999998</v>
      </c>
      <c r="I11" s="68">
        <v>5.25</v>
      </c>
      <c r="J11" s="94">
        <v>25.648085290808382</v>
      </c>
      <c r="K11" s="94">
        <v>70</v>
      </c>
      <c r="L11" s="94">
        <v>15.377659984234921</v>
      </c>
      <c r="M11" s="94">
        <v>6.3438670598023563</v>
      </c>
      <c r="N11" s="94">
        <v>0.44084792622607727</v>
      </c>
      <c r="O11" s="94">
        <v>4.9000000000000004</v>
      </c>
      <c r="Q11">
        <v>1.0259234116323352</v>
      </c>
      <c r="R11">
        <v>1.0142593256643884</v>
      </c>
      <c r="S11">
        <v>1.0212964059397569</v>
      </c>
      <c r="T11">
        <v>0.99667982086447071</v>
      </c>
      <c r="U11">
        <v>0.98392573647154846</v>
      </c>
      <c r="V11">
        <v>1.0495746896206322</v>
      </c>
      <c r="X11">
        <f t="shared" si="3"/>
        <v>3.0523046549524571</v>
      </c>
      <c r="Y11">
        <f t="shared" si="2"/>
        <v>3.2916017184370663</v>
      </c>
      <c r="Z11">
        <f t="shared" si="2"/>
        <v>0</v>
      </c>
      <c r="AA11">
        <f t="shared" si="2"/>
        <v>0</v>
      </c>
      <c r="AB11">
        <f t="shared" si="2"/>
        <v>2.4529967503230159</v>
      </c>
      <c r="AC11">
        <f t="shared" si="2"/>
        <v>68.957057108075531</v>
      </c>
    </row>
    <row r="13" spans="1:29" ht="22.5" x14ac:dyDescent="0.25">
      <c r="A13" t="s">
        <v>75</v>
      </c>
      <c r="B13" s="8">
        <f>CellCount_Viability!A4</f>
        <v>46270</v>
      </c>
      <c r="F13" s="67" t="s">
        <v>73</v>
      </c>
      <c r="G13" s="67" t="s">
        <v>55</v>
      </c>
      <c r="H13" s="67" t="s">
        <v>56</v>
      </c>
      <c r="I13" s="67" t="s">
        <v>57</v>
      </c>
      <c r="J13" s="67" t="s">
        <v>58</v>
      </c>
      <c r="K13" s="67" t="s">
        <v>59</v>
      </c>
      <c r="L13" s="67" t="s">
        <v>60</v>
      </c>
      <c r="M13" s="67" t="s">
        <v>61</v>
      </c>
      <c r="N13" s="67" t="s">
        <v>62</v>
      </c>
      <c r="O13" s="67" t="s">
        <v>63</v>
      </c>
    </row>
    <row r="14" spans="1:29" ht="13.9" customHeight="1" x14ac:dyDescent="0.25">
      <c r="A14" s="104" t="s">
        <v>90</v>
      </c>
      <c r="B14" s="105"/>
      <c r="C14" s="104" t="s">
        <v>91</v>
      </c>
      <c r="D14" s="105"/>
      <c r="E14" s="67" t="s">
        <v>66</v>
      </c>
      <c r="F14" s="68">
        <v>1.39</v>
      </c>
      <c r="G14" s="68">
        <v>1.98</v>
      </c>
      <c r="H14" s="68">
        <v>2.2599999999999998</v>
      </c>
      <c r="I14" s="68">
        <v>5.28</v>
      </c>
      <c r="J14" s="68">
        <v>19.987111865317896</v>
      </c>
      <c r="K14" s="68">
        <v>65</v>
      </c>
      <c r="L14" s="68">
        <v>14.661736964448748</v>
      </c>
      <c r="M14" s="68">
        <v>5.748373823689672</v>
      </c>
      <c r="N14" s="68">
        <v>0.40541985417424636</v>
      </c>
      <c r="O14" s="68">
        <v>22.1</v>
      </c>
    </row>
    <row r="15" spans="1:29" ht="13.9" customHeight="1" x14ac:dyDescent="0.25">
      <c r="A15" s="104" t="s">
        <v>92</v>
      </c>
      <c r="B15" s="105"/>
      <c r="C15" s="104" t="s">
        <v>93</v>
      </c>
      <c r="D15" s="105"/>
      <c r="E15" s="67" t="s">
        <v>66</v>
      </c>
      <c r="F15" s="68">
        <v>1.39</v>
      </c>
      <c r="G15" s="68">
        <v>1.98</v>
      </c>
      <c r="H15" s="68">
        <v>2.2599999999999998</v>
      </c>
      <c r="I15" s="68">
        <v>5.27</v>
      </c>
      <c r="J15" s="68">
        <v>20.612186280624947</v>
      </c>
      <c r="K15" s="68">
        <v>68</v>
      </c>
      <c r="L15" s="68">
        <v>13.638129311415728</v>
      </c>
      <c r="M15" s="68">
        <v>6.0052416566325251</v>
      </c>
      <c r="N15" s="68">
        <v>0.44263141609207451</v>
      </c>
      <c r="O15" s="68">
        <v>22</v>
      </c>
    </row>
    <row r="16" spans="1:29" ht="13.9" customHeight="1" x14ac:dyDescent="0.25">
      <c r="A16" s="104" t="s">
        <v>94</v>
      </c>
      <c r="B16" s="105"/>
      <c r="C16" s="104" t="s">
        <v>95</v>
      </c>
      <c r="D16" s="105"/>
      <c r="E16" s="67" t="s">
        <v>66</v>
      </c>
      <c r="F16" s="68">
        <v>1.39</v>
      </c>
      <c r="G16" s="68">
        <v>1.98</v>
      </c>
      <c r="H16" s="68">
        <v>2.2599999999999998</v>
      </c>
      <c r="I16" s="68">
        <v>5.26</v>
      </c>
      <c r="J16" s="68">
        <v>22.856121480596101</v>
      </c>
      <c r="K16" s="68">
        <v>64</v>
      </c>
      <c r="L16" s="68">
        <v>13.888397891357439</v>
      </c>
      <c r="M16" s="68">
        <v>6.0563722454428932</v>
      </c>
      <c r="N16" s="68">
        <v>0.43522542502576822</v>
      </c>
      <c r="O16" s="68">
        <v>21</v>
      </c>
    </row>
    <row r="17" spans="1:15" ht="13.9" customHeight="1" x14ac:dyDescent="0.25">
      <c r="A17" s="104" t="s">
        <v>96</v>
      </c>
      <c r="B17" s="105"/>
      <c r="C17" s="104" t="s">
        <v>97</v>
      </c>
      <c r="D17" s="105"/>
      <c r="E17" s="67" t="s">
        <v>66</v>
      </c>
      <c r="F17" s="68">
        <v>1.39</v>
      </c>
      <c r="G17" s="68">
        <v>1.98</v>
      </c>
      <c r="H17" s="68">
        <v>2.2599999999999998</v>
      </c>
      <c r="I17" s="68">
        <v>5.25</v>
      </c>
      <c r="J17" s="68">
        <v>20.518468232646704</v>
      </c>
      <c r="K17" s="68">
        <v>62</v>
      </c>
      <c r="L17" s="68">
        <v>14.608776985023173</v>
      </c>
      <c r="M17" s="68">
        <v>6.0266737068122387</v>
      </c>
      <c r="N17" s="68">
        <v>0.41880552991477343</v>
      </c>
      <c r="O17" s="68">
        <v>21.5</v>
      </c>
    </row>
    <row r="19" spans="1:15" ht="22.5" x14ac:dyDescent="0.25">
      <c r="A19" t="s">
        <v>76</v>
      </c>
      <c r="B19" s="8">
        <f>CellCount_Viability!A5</f>
        <v>46271</v>
      </c>
      <c r="F19" s="67" t="s">
        <v>73</v>
      </c>
      <c r="G19" s="67" t="s">
        <v>55</v>
      </c>
      <c r="H19" s="67" t="s">
        <v>56</v>
      </c>
      <c r="I19" s="67" t="s">
        <v>57</v>
      </c>
      <c r="J19" s="67" t="s">
        <v>58</v>
      </c>
      <c r="K19" s="67" t="s">
        <v>59</v>
      </c>
      <c r="L19" s="67" t="s">
        <v>60</v>
      </c>
      <c r="M19" s="67" t="s">
        <v>61</v>
      </c>
      <c r="N19" s="67" t="s">
        <v>62</v>
      </c>
      <c r="O19" s="67" t="s">
        <v>63</v>
      </c>
    </row>
    <row r="20" spans="1:15" ht="13.9" customHeight="1" x14ac:dyDescent="0.25">
      <c r="A20" s="104" t="s">
        <v>98</v>
      </c>
      <c r="B20" s="105"/>
      <c r="C20" s="104" t="s">
        <v>99</v>
      </c>
      <c r="D20" s="105"/>
      <c r="E20" s="67" t="s">
        <v>66</v>
      </c>
      <c r="F20" s="68">
        <v>1.39</v>
      </c>
      <c r="G20" s="68">
        <v>1.98</v>
      </c>
      <c r="H20" s="68">
        <v>2.2599999999999998</v>
      </c>
      <c r="I20" s="68">
        <v>5.28</v>
      </c>
      <c r="J20" s="68">
        <v>12.372974011863459</v>
      </c>
      <c r="K20" s="68">
        <v>48</v>
      </c>
      <c r="L20" s="68">
        <v>2.2000000000000002</v>
      </c>
      <c r="M20" s="68">
        <v>2.5</v>
      </c>
      <c r="N20" s="68">
        <v>1.442146849694234</v>
      </c>
      <c r="O20" s="68">
        <v>28</v>
      </c>
    </row>
    <row r="21" spans="1:15" ht="13.9" customHeight="1" x14ac:dyDescent="0.25">
      <c r="A21" s="104" t="s">
        <v>100</v>
      </c>
      <c r="B21" s="105"/>
      <c r="C21" s="104" t="s">
        <v>101</v>
      </c>
      <c r="D21" s="105"/>
      <c r="E21" s="67" t="s">
        <v>66</v>
      </c>
      <c r="F21" s="68">
        <v>1.39</v>
      </c>
      <c r="G21" s="68">
        <v>1.98</v>
      </c>
      <c r="H21" s="68">
        <v>2.2599999999999998</v>
      </c>
      <c r="I21" s="68">
        <v>5.27</v>
      </c>
      <c r="J21" s="68">
        <v>14.076615020914598</v>
      </c>
      <c r="K21" s="68">
        <v>47</v>
      </c>
      <c r="L21" s="68">
        <v>2.1</v>
      </c>
      <c r="M21" s="68">
        <v>2.1</v>
      </c>
      <c r="N21" s="68">
        <v>1.5745146561532959</v>
      </c>
      <c r="O21" s="68">
        <v>29</v>
      </c>
    </row>
    <row r="22" spans="1:15" ht="13.9" customHeight="1" x14ac:dyDescent="0.25">
      <c r="A22" s="104" t="s">
        <v>102</v>
      </c>
      <c r="B22" s="105"/>
      <c r="C22" s="104" t="s">
        <v>103</v>
      </c>
      <c r="D22" s="105"/>
      <c r="E22" s="67" t="s">
        <v>66</v>
      </c>
      <c r="F22" s="68">
        <v>1.39</v>
      </c>
      <c r="G22" s="68">
        <v>1.98</v>
      </c>
      <c r="H22" s="68">
        <v>2.2599999999999998</v>
      </c>
      <c r="I22" s="68">
        <v>5.26</v>
      </c>
      <c r="J22" s="68">
        <v>13.401998504531351</v>
      </c>
      <c r="K22" s="68">
        <v>45</v>
      </c>
      <c r="L22" s="68">
        <v>2.5</v>
      </c>
      <c r="M22" s="68">
        <v>2.2999999999999998</v>
      </c>
      <c r="N22" s="68">
        <v>1.548170295917433</v>
      </c>
      <c r="O22" s="68">
        <v>27.5</v>
      </c>
    </row>
    <row r="23" spans="1:15" ht="13.9" customHeight="1" x14ac:dyDescent="0.25">
      <c r="A23" s="104" t="s">
        <v>104</v>
      </c>
      <c r="B23" s="105"/>
      <c r="C23" s="104" t="s">
        <v>105</v>
      </c>
      <c r="D23" s="105"/>
      <c r="E23" s="67" t="s">
        <v>66</v>
      </c>
      <c r="F23" s="68">
        <v>1.39</v>
      </c>
      <c r="G23" s="68">
        <v>1.98</v>
      </c>
      <c r="H23" s="68">
        <v>2.2599999999999998</v>
      </c>
      <c r="I23" s="68">
        <v>5.25</v>
      </c>
      <c r="J23" s="68">
        <v>13.337004351220358</v>
      </c>
      <c r="K23" s="68">
        <v>47</v>
      </c>
      <c r="L23" s="68">
        <v>2</v>
      </c>
      <c r="M23" s="68">
        <v>2.5</v>
      </c>
      <c r="N23" s="68">
        <v>1.4897619575915715</v>
      </c>
      <c r="O23" s="68">
        <v>27.9</v>
      </c>
    </row>
    <row r="25" spans="1:15" ht="22.5" x14ac:dyDescent="0.25">
      <c r="A25" t="s">
        <v>77</v>
      </c>
      <c r="B25" s="8">
        <f>CellCount_Viability!A6</f>
        <v>46272</v>
      </c>
      <c r="F25" s="67" t="s">
        <v>73</v>
      </c>
      <c r="G25" s="67" t="s">
        <v>55</v>
      </c>
      <c r="H25" s="67" t="s">
        <v>56</v>
      </c>
      <c r="I25" s="67" t="s">
        <v>57</v>
      </c>
      <c r="J25" s="67" t="s">
        <v>58</v>
      </c>
      <c r="K25" s="67" t="s">
        <v>59</v>
      </c>
      <c r="L25" s="67" t="s">
        <v>60</v>
      </c>
      <c r="M25" s="67" t="s">
        <v>61</v>
      </c>
      <c r="N25" s="67" t="s">
        <v>62</v>
      </c>
      <c r="O25" s="67" t="s">
        <v>63</v>
      </c>
    </row>
    <row r="26" spans="1:15" ht="13.9" customHeight="1" x14ac:dyDescent="0.25">
      <c r="A26" s="104" t="s">
        <v>106</v>
      </c>
      <c r="B26" s="105"/>
      <c r="C26" s="104" t="s">
        <v>107</v>
      </c>
      <c r="D26" s="105"/>
      <c r="E26" s="67" t="s">
        <v>66</v>
      </c>
      <c r="F26" s="68">
        <v>1.39</v>
      </c>
      <c r="G26" s="68">
        <v>1.98</v>
      </c>
      <c r="H26" s="68">
        <v>2.2599999999999998</v>
      </c>
      <c r="I26" s="68">
        <v>5.28</v>
      </c>
      <c r="J26" s="68">
        <v>6.7575473449408117</v>
      </c>
      <c r="K26" s="68">
        <v>30</v>
      </c>
      <c r="L26" s="68">
        <v>0</v>
      </c>
      <c r="M26" s="68">
        <v>1.1000000000000001</v>
      </c>
      <c r="N26" s="68">
        <v>1.8836203751108362</v>
      </c>
      <c r="O26" s="68">
        <v>35</v>
      </c>
    </row>
    <row r="27" spans="1:15" ht="13.9" customHeight="1" x14ac:dyDescent="0.25">
      <c r="A27" s="104" t="s">
        <v>108</v>
      </c>
      <c r="B27" s="105"/>
      <c r="C27" s="104" t="s">
        <v>109</v>
      </c>
      <c r="D27" s="105"/>
      <c r="E27" s="67" t="s">
        <v>66</v>
      </c>
      <c r="F27" s="68">
        <v>1.39</v>
      </c>
      <c r="G27" s="68">
        <v>1.98</v>
      </c>
      <c r="H27" s="68">
        <v>2.2599999999999998</v>
      </c>
      <c r="I27" s="68">
        <v>5.27</v>
      </c>
      <c r="J27" s="68">
        <v>7.4404965110548593</v>
      </c>
      <c r="K27" s="68">
        <v>31</v>
      </c>
      <c r="L27" s="68">
        <v>0</v>
      </c>
      <c r="M27" s="68">
        <v>0.9</v>
      </c>
      <c r="N27" s="68">
        <v>2.0565089386492028</v>
      </c>
      <c r="O27" s="68">
        <v>34.9</v>
      </c>
    </row>
    <row r="28" spans="1:15" ht="13.9" customHeight="1" x14ac:dyDescent="0.25">
      <c r="A28" s="104" t="s">
        <v>110</v>
      </c>
      <c r="B28" s="105"/>
      <c r="C28" s="104" t="s">
        <v>111</v>
      </c>
      <c r="D28" s="105"/>
      <c r="E28" s="67" t="s">
        <v>66</v>
      </c>
      <c r="F28" s="68">
        <v>1.39</v>
      </c>
      <c r="G28" s="68">
        <v>1.98</v>
      </c>
      <c r="H28" s="68">
        <v>2.2599999999999998</v>
      </c>
      <c r="I28" s="68">
        <v>5.26</v>
      </c>
      <c r="J28" s="68">
        <v>7.4801852118314516</v>
      </c>
      <c r="K28" s="68">
        <v>32</v>
      </c>
      <c r="L28" s="68">
        <v>0</v>
      </c>
      <c r="M28" s="68">
        <v>1.5</v>
      </c>
      <c r="N28" s="68">
        <v>2.0220999783411373</v>
      </c>
      <c r="O28" s="68">
        <v>33.5</v>
      </c>
    </row>
    <row r="29" spans="1:15" ht="13.9" customHeight="1" x14ac:dyDescent="0.25">
      <c r="A29" s="104" t="s">
        <v>112</v>
      </c>
      <c r="B29" s="105"/>
      <c r="C29" s="104" t="s">
        <v>113</v>
      </c>
      <c r="D29" s="105"/>
      <c r="E29" s="67" t="s">
        <v>66</v>
      </c>
      <c r="F29" s="68">
        <v>1.39</v>
      </c>
      <c r="G29" s="68">
        <v>1.98</v>
      </c>
      <c r="H29" s="68">
        <v>2.2599999999999998</v>
      </c>
      <c r="I29" s="68">
        <v>5.25</v>
      </c>
      <c r="J29" s="68">
        <v>7.0788715402631137</v>
      </c>
      <c r="K29" s="68">
        <v>31</v>
      </c>
      <c r="L29" s="68">
        <v>0</v>
      </c>
      <c r="M29" s="68">
        <v>1</v>
      </c>
      <c r="N29" s="68">
        <v>1.9458115364461344</v>
      </c>
      <c r="O29" s="68">
        <v>34.4</v>
      </c>
    </row>
    <row r="31" spans="1:15" ht="22.5" x14ac:dyDescent="0.25">
      <c r="A31" t="s">
        <v>78</v>
      </c>
      <c r="B31" s="8">
        <f>CellCount_Viability!A7</f>
        <v>46273</v>
      </c>
      <c r="F31" s="67" t="s">
        <v>73</v>
      </c>
      <c r="G31" s="67" t="s">
        <v>55</v>
      </c>
      <c r="H31" s="67" t="s">
        <v>56</v>
      </c>
      <c r="I31" s="67" t="s">
        <v>57</v>
      </c>
      <c r="J31" s="67" t="s">
        <v>58</v>
      </c>
      <c r="K31" s="67" t="s">
        <v>59</v>
      </c>
      <c r="L31" s="67" t="s">
        <v>60</v>
      </c>
      <c r="M31" s="67" t="s">
        <v>61</v>
      </c>
      <c r="N31" s="67" t="s">
        <v>62</v>
      </c>
      <c r="O31" s="67" t="s">
        <v>63</v>
      </c>
    </row>
    <row r="32" spans="1:15" ht="13.9" customHeight="1" x14ac:dyDescent="0.25">
      <c r="A32" s="104" t="s">
        <v>114</v>
      </c>
      <c r="B32" s="105"/>
      <c r="C32" s="104" t="s">
        <v>115</v>
      </c>
      <c r="D32" s="105"/>
      <c r="E32" s="67" t="s">
        <v>66</v>
      </c>
      <c r="F32" s="68">
        <v>1.39</v>
      </c>
      <c r="G32" s="68">
        <v>1.98</v>
      </c>
      <c r="H32" s="68">
        <v>2.2599999999999998</v>
      </c>
      <c r="I32" s="68">
        <v>5.28</v>
      </c>
      <c r="J32" s="68">
        <v>4.2829525425681201</v>
      </c>
      <c r="K32" s="68">
        <v>15</v>
      </c>
      <c r="L32" s="68">
        <v>0</v>
      </c>
      <c r="M32" s="68">
        <v>0</v>
      </c>
      <c r="N32" s="68">
        <v>2.1583150131478335</v>
      </c>
      <c r="O32" s="68">
        <v>51</v>
      </c>
    </row>
    <row r="33" spans="1:15" ht="13.9" customHeight="1" x14ac:dyDescent="0.25">
      <c r="A33" s="104" t="s">
        <v>116</v>
      </c>
      <c r="B33" s="105"/>
      <c r="C33" s="104" t="s">
        <v>117</v>
      </c>
      <c r="D33" s="105"/>
      <c r="E33" s="67" t="s">
        <v>66</v>
      </c>
      <c r="F33" s="68">
        <v>1.39</v>
      </c>
      <c r="G33" s="68">
        <v>1.98</v>
      </c>
      <c r="H33" s="68">
        <v>2.2599999999999998</v>
      </c>
      <c r="I33" s="68">
        <v>5.27</v>
      </c>
      <c r="J33" s="68">
        <v>4.323531756423769</v>
      </c>
      <c r="K33" s="68">
        <v>19</v>
      </c>
      <c r="L33" s="68">
        <v>0</v>
      </c>
      <c r="M33" s="68">
        <v>0</v>
      </c>
      <c r="N33" s="68">
        <v>2.3564164922022122</v>
      </c>
      <c r="O33" s="68">
        <v>51.8</v>
      </c>
    </row>
    <row r="34" spans="1:15" ht="13.9" customHeight="1" x14ac:dyDescent="0.25">
      <c r="A34" s="104" t="s">
        <v>118</v>
      </c>
      <c r="B34" s="105"/>
      <c r="C34" s="104" t="s">
        <v>119</v>
      </c>
      <c r="D34" s="105"/>
      <c r="E34" s="67" t="s">
        <v>66</v>
      </c>
      <c r="F34" s="68">
        <v>1.39</v>
      </c>
      <c r="G34" s="68">
        <v>1.98</v>
      </c>
      <c r="H34" s="68">
        <v>2.2599999999999998</v>
      </c>
      <c r="I34" s="68">
        <v>5.26</v>
      </c>
      <c r="J34" s="68">
        <v>4.3634413735683468</v>
      </c>
      <c r="K34" s="68">
        <v>15</v>
      </c>
      <c r="L34" s="68">
        <v>0</v>
      </c>
      <c r="M34" s="68">
        <v>0</v>
      </c>
      <c r="N34" s="68">
        <v>2.3169895585158868</v>
      </c>
      <c r="O34" s="68">
        <v>52</v>
      </c>
    </row>
    <row r="35" spans="1:15" ht="13.9" customHeight="1" x14ac:dyDescent="0.25">
      <c r="A35" s="104" t="s">
        <v>120</v>
      </c>
      <c r="B35" s="105"/>
      <c r="C35" s="104" t="s">
        <v>121</v>
      </c>
      <c r="D35" s="105"/>
      <c r="E35" s="67" t="s">
        <v>66</v>
      </c>
      <c r="F35" s="68">
        <v>1.39</v>
      </c>
      <c r="G35" s="68">
        <v>1.98</v>
      </c>
      <c r="H35" s="68">
        <v>2.2599999999999998</v>
      </c>
      <c r="I35" s="68">
        <v>5.25</v>
      </c>
      <c r="J35" s="68">
        <v>4.6166553523455089</v>
      </c>
      <c r="K35" s="68">
        <v>18</v>
      </c>
      <c r="L35" s="68">
        <v>0</v>
      </c>
      <c r="M35" s="68">
        <v>0</v>
      </c>
      <c r="N35" s="68">
        <v>2.2295757188445293</v>
      </c>
      <c r="O35" s="68">
        <v>50.5</v>
      </c>
    </row>
    <row r="37" spans="1:15" ht="22.5" x14ac:dyDescent="0.25">
      <c r="A37" t="s">
        <v>79</v>
      </c>
      <c r="B37" s="8">
        <f>CellCount_Viability!A8</f>
        <v>46274</v>
      </c>
      <c r="F37" s="67" t="s">
        <v>73</v>
      </c>
      <c r="G37" s="67" t="s">
        <v>55</v>
      </c>
      <c r="H37" s="67" t="s">
        <v>56</v>
      </c>
      <c r="I37" s="67" t="s">
        <v>57</v>
      </c>
      <c r="J37" s="67" t="s">
        <v>58</v>
      </c>
      <c r="K37" s="67" t="s">
        <v>59</v>
      </c>
      <c r="L37" s="67" t="s">
        <v>60</v>
      </c>
      <c r="M37" s="67" t="s">
        <v>61</v>
      </c>
      <c r="N37" s="67" t="s">
        <v>62</v>
      </c>
      <c r="O37" s="67" t="s">
        <v>63</v>
      </c>
    </row>
    <row r="38" spans="1:15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1.39</v>
      </c>
      <c r="G38" s="68">
        <v>1.98</v>
      </c>
      <c r="H38" s="68">
        <v>2.2599999999999998</v>
      </c>
      <c r="I38" s="68">
        <v>5.28</v>
      </c>
      <c r="J38" s="68">
        <v>3.5215387572226771</v>
      </c>
      <c r="K38" s="68">
        <v>4.2</v>
      </c>
      <c r="L38" s="68">
        <v>0</v>
      </c>
      <c r="M38" s="68">
        <v>0</v>
      </c>
      <c r="N38" s="68">
        <v>2.3937675600366877</v>
      </c>
      <c r="O38" s="68">
        <v>55</v>
      </c>
    </row>
    <row r="39" spans="1:15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1.39</v>
      </c>
      <c r="G39" s="68">
        <v>1.98</v>
      </c>
      <c r="H39" s="68">
        <v>2.2599999999999998</v>
      </c>
      <c r="I39" s="68">
        <v>5.27</v>
      </c>
      <c r="J39" s="68">
        <v>3.6197010053780398</v>
      </c>
      <c r="K39" s="68">
        <v>4.5</v>
      </c>
      <c r="L39" s="68">
        <v>0</v>
      </c>
      <c r="M39" s="68">
        <v>0</v>
      </c>
      <c r="N39" s="68">
        <v>2.6134801095333615</v>
      </c>
      <c r="O39" s="68">
        <v>55.6</v>
      </c>
    </row>
    <row r="40" spans="1:15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1.39</v>
      </c>
      <c r="G40" s="68">
        <v>1.98</v>
      </c>
      <c r="H40" s="68">
        <v>2.2599999999999998</v>
      </c>
      <c r="I40" s="68">
        <v>5.26</v>
      </c>
      <c r="J40" s="68">
        <v>3.9478755284665992</v>
      </c>
      <c r="K40" s="68">
        <v>4.0999999999999996</v>
      </c>
      <c r="L40" s="68">
        <v>0</v>
      </c>
      <c r="M40" s="68">
        <v>0</v>
      </c>
      <c r="N40" s="68">
        <v>2.5697520558085283</v>
      </c>
      <c r="O40" s="68">
        <v>55</v>
      </c>
    </row>
    <row r="41" spans="1:15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1.39</v>
      </c>
      <c r="G41" s="68">
        <v>1.98</v>
      </c>
      <c r="H41" s="68">
        <v>2.2599999999999998</v>
      </c>
      <c r="I41" s="68">
        <v>5.25</v>
      </c>
      <c r="J41" s="68">
        <v>3.7959166230396404</v>
      </c>
      <c r="K41" s="68">
        <v>4.0999999999999996</v>
      </c>
      <c r="L41" s="68">
        <v>0</v>
      </c>
      <c r="M41" s="68">
        <v>0</v>
      </c>
      <c r="N41" s="68">
        <v>2.4728021609002955</v>
      </c>
      <c r="O41" s="68">
        <v>54.9</v>
      </c>
    </row>
    <row r="43" spans="1:15" ht="22.5" x14ac:dyDescent="0.25">
      <c r="A43" t="s">
        <v>80</v>
      </c>
      <c r="B43" s="8">
        <f>CellCount_Viability!A9</f>
        <v>46275</v>
      </c>
      <c r="F43" s="67" t="s">
        <v>73</v>
      </c>
      <c r="G43" s="67" t="s">
        <v>55</v>
      </c>
      <c r="H43" s="67" t="s">
        <v>56</v>
      </c>
      <c r="I43" s="67" t="s">
        <v>57</v>
      </c>
      <c r="J43" s="67" t="s">
        <v>58</v>
      </c>
      <c r="K43" s="67" t="s">
        <v>59</v>
      </c>
      <c r="L43" s="67" t="s">
        <v>60</v>
      </c>
      <c r="M43" s="67" t="s">
        <v>61</v>
      </c>
      <c r="N43" s="67" t="s">
        <v>62</v>
      </c>
      <c r="O43" s="67" t="s">
        <v>63</v>
      </c>
    </row>
    <row r="44" spans="1:15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1.39</v>
      </c>
      <c r="G44" s="68">
        <v>1.98</v>
      </c>
      <c r="H44" s="68">
        <v>2.2599999999999998</v>
      </c>
      <c r="I44" s="68">
        <v>5.28</v>
      </c>
      <c r="J44" s="68">
        <v>3.3311853108863159</v>
      </c>
      <c r="K44" s="68">
        <v>3.5</v>
      </c>
      <c r="L44" s="68">
        <v>0</v>
      </c>
      <c r="M44" s="68">
        <v>0</v>
      </c>
      <c r="N44" s="68">
        <v>2.3937675600366877</v>
      </c>
      <c r="O44" s="68">
        <v>62</v>
      </c>
    </row>
    <row r="45" spans="1:15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1.39</v>
      </c>
      <c r="G45" s="68">
        <v>1.98</v>
      </c>
      <c r="H45" s="68">
        <v>2.2599999999999998</v>
      </c>
      <c r="I45" s="68">
        <v>5.27</v>
      </c>
      <c r="J45" s="68">
        <v>3.4186065050792593</v>
      </c>
      <c r="K45" s="68">
        <v>3.4</v>
      </c>
      <c r="L45" s="68">
        <v>0</v>
      </c>
      <c r="M45" s="68">
        <v>0</v>
      </c>
      <c r="N45" s="68">
        <v>2.613480109533362</v>
      </c>
      <c r="O45" s="68">
        <v>61.5</v>
      </c>
    </row>
    <row r="46" spans="1:15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1.39</v>
      </c>
      <c r="G46" s="68">
        <v>1.98</v>
      </c>
      <c r="H46" s="68">
        <v>2.2599999999999998</v>
      </c>
      <c r="I46" s="68">
        <v>5.26</v>
      </c>
      <c r="J46" s="68">
        <v>3.9478755284665992</v>
      </c>
      <c r="K46" s="68">
        <v>3.1</v>
      </c>
      <c r="L46" s="68">
        <v>0</v>
      </c>
      <c r="M46" s="68">
        <v>0</v>
      </c>
      <c r="N46" s="68">
        <v>2.5697520558085287</v>
      </c>
      <c r="O46" s="68">
        <v>60.5</v>
      </c>
    </row>
    <row r="47" spans="1:15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1.39</v>
      </c>
      <c r="G47" s="68">
        <v>1.98</v>
      </c>
      <c r="H47" s="68">
        <v>2.2599999999999998</v>
      </c>
      <c r="I47" s="68">
        <v>5.25</v>
      </c>
      <c r="J47" s="68">
        <v>3.6933242818764072</v>
      </c>
      <c r="K47" s="68">
        <v>3.5</v>
      </c>
      <c r="L47" s="68">
        <v>0</v>
      </c>
      <c r="M47" s="68">
        <v>0</v>
      </c>
      <c r="N47" s="68">
        <v>2.4728021609002959</v>
      </c>
      <c r="O47" s="68">
        <v>60.5</v>
      </c>
    </row>
    <row r="49" spans="1:15" ht="22.5" x14ac:dyDescent="0.25">
      <c r="A49" t="s">
        <v>81</v>
      </c>
      <c r="B49" s="8">
        <f>CellCount_Viability!A10</f>
        <v>46276</v>
      </c>
      <c r="F49" s="67" t="s">
        <v>73</v>
      </c>
      <c r="G49" s="67" t="s">
        <v>55</v>
      </c>
      <c r="H49" s="67" t="s">
        <v>56</v>
      </c>
      <c r="I49" s="67" t="s">
        <v>57</v>
      </c>
      <c r="J49" s="67" t="s">
        <v>58</v>
      </c>
      <c r="K49" s="67" t="s">
        <v>59</v>
      </c>
      <c r="L49" s="67" t="s">
        <v>60</v>
      </c>
      <c r="M49" s="67" t="s">
        <v>61</v>
      </c>
      <c r="N49" s="67" t="s">
        <v>62</v>
      </c>
      <c r="O49" s="67" t="s">
        <v>63</v>
      </c>
    </row>
    <row r="50" spans="1:15" x14ac:dyDescent="0.25">
      <c r="A50" s="104" t="s">
        <v>64</v>
      </c>
      <c r="B50" s="105"/>
      <c r="C50" s="104" t="s">
        <v>65</v>
      </c>
      <c r="D50" s="105"/>
      <c r="E50" s="67" t="s">
        <v>66</v>
      </c>
      <c r="F50" s="68">
        <v>1.39</v>
      </c>
      <c r="G50" s="68">
        <v>1.98</v>
      </c>
      <c r="H50" s="68">
        <v>2.2599999999999998</v>
      </c>
      <c r="I50" s="68">
        <v>5.28</v>
      </c>
      <c r="J50" s="68">
        <v>3.4073266894208603</v>
      </c>
      <c r="K50" s="68">
        <v>3.4644985098721235</v>
      </c>
      <c r="L50" s="68">
        <v>0</v>
      </c>
      <c r="M50" s="68">
        <v>0</v>
      </c>
      <c r="N50" s="68">
        <v>2.4526306967589013</v>
      </c>
      <c r="O50" s="68">
        <v>63.5</v>
      </c>
    </row>
    <row r="51" spans="1:15" x14ac:dyDescent="0.25">
      <c r="A51" s="104" t="s">
        <v>67</v>
      </c>
      <c r="B51" s="105"/>
      <c r="C51" s="104" t="s">
        <v>68</v>
      </c>
      <c r="D51" s="105"/>
      <c r="E51" s="67" t="s">
        <v>66</v>
      </c>
      <c r="F51" s="68">
        <v>1.39</v>
      </c>
      <c r="G51" s="68">
        <v>1.98</v>
      </c>
      <c r="H51" s="68">
        <v>2.2599999999999998</v>
      </c>
      <c r="I51" s="68">
        <v>5.27</v>
      </c>
      <c r="J51" s="68">
        <v>3.4186065050792593</v>
      </c>
      <c r="K51" s="68">
        <v>3.47713241316269</v>
      </c>
      <c r="L51" s="68">
        <v>0</v>
      </c>
      <c r="M51" s="68">
        <v>0</v>
      </c>
      <c r="N51" s="68">
        <v>2.6777460138661495</v>
      </c>
      <c r="O51" s="68">
        <v>62.9</v>
      </c>
    </row>
    <row r="52" spans="1:15" x14ac:dyDescent="0.25">
      <c r="A52" s="104" t="s">
        <v>69</v>
      </c>
      <c r="B52" s="105"/>
      <c r="C52" s="104" t="s">
        <v>70</v>
      </c>
      <c r="D52" s="105"/>
      <c r="E52" s="67" t="s">
        <v>66</v>
      </c>
      <c r="F52" s="68">
        <v>1.39</v>
      </c>
      <c r="G52" s="68">
        <v>1.98</v>
      </c>
      <c r="H52" s="68">
        <v>2.2599999999999998</v>
      </c>
      <c r="I52" s="68">
        <v>5.26</v>
      </c>
      <c r="J52" s="68">
        <v>3.7400926059157258</v>
      </c>
      <c r="K52" s="68">
        <v>3.323504237982061</v>
      </c>
      <c r="L52" s="68">
        <v>0</v>
      </c>
      <c r="M52" s="68">
        <v>0</v>
      </c>
      <c r="N52" s="68">
        <v>2.6329426801316891</v>
      </c>
      <c r="O52" s="68">
        <v>61.5</v>
      </c>
    </row>
    <row r="53" spans="1:15" x14ac:dyDescent="0.25">
      <c r="A53" s="104" t="s">
        <v>71</v>
      </c>
      <c r="B53" s="105"/>
      <c r="C53" s="104" t="s">
        <v>72</v>
      </c>
      <c r="D53" s="105"/>
      <c r="E53" s="67" t="s">
        <v>66</v>
      </c>
      <c r="F53" s="68">
        <v>1.39</v>
      </c>
      <c r="G53" s="68">
        <v>1.98</v>
      </c>
      <c r="H53" s="68">
        <v>2.2599999999999998</v>
      </c>
      <c r="I53" s="68">
        <v>5.25</v>
      </c>
      <c r="J53" s="68">
        <v>3.5907319407131735</v>
      </c>
      <c r="K53" s="68">
        <v>3.4888492284203627</v>
      </c>
      <c r="L53" s="68">
        <v>0</v>
      </c>
      <c r="M53" s="68">
        <v>0</v>
      </c>
      <c r="N53" s="68">
        <v>2.5336087714142375</v>
      </c>
      <c r="O53" s="68">
        <v>62</v>
      </c>
    </row>
    <row r="55" spans="1:15" ht="22.5" x14ac:dyDescent="0.25">
      <c r="A55" t="s">
        <v>137</v>
      </c>
      <c r="B55" s="8">
        <f>CellCount_Viability!A11</f>
        <v>46277</v>
      </c>
      <c r="F55" s="67" t="s">
        <v>73</v>
      </c>
      <c r="G55" s="67" t="s">
        <v>55</v>
      </c>
      <c r="H55" s="67" t="s">
        <v>56</v>
      </c>
      <c r="I55" s="67" t="s">
        <v>57</v>
      </c>
      <c r="J55" s="67" t="s">
        <v>58</v>
      </c>
      <c r="K55" s="67" t="s">
        <v>59</v>
      </c>
      <c r="L55" s="67" t="s">
        <v>60</v>
      </c>
      <c r="M55" s="67" t="s">
        <v>61</v>
      </c>
      <c r="N55" s="67" t="s">
        <v>62</v>
      </c>
      <c r="O55" s="67" t="s">
        <v>63</v>
      </c>
    </row>
    <row r="56" spans="1:15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1.39</v>
      </c>
      <c r="G56" s="68">
        <v>1.98</v>
      </c>
      <c r="H56" s="68">
        <v>2.2599999999999998</v>
      </c>
      <c r="I56" s="68">
        <v>5.28</v>
      </c>
      <c r="J56" s="68">
        <v>3.3311853108863159</v>
      </c>
      <c r="K56" s="68">
        <v>3.3263133841222383</v>
      </c>
      <c r="L56" s="68">
        <v>0</v>
      </c>
      <c r="M56" s="68">
        <v>0</v>
      </c>
      <c r="N56" s="68">
        <v>2.4428201739718656</v>
      </c>
      <c r="O56" s="68">
        <v>65</v>
      </c>
    </row>
    <row r="57" spans="1:15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1.39</v>
      </c>
      <c r="G57" s="68">
        <v>1.98</v>
      </c>
      <c r="H57" s="68">
        <v>2.2599999999999998</v>
      </c>
      <c r="I57" s="68">
        <v>5.27</v>
      </c>
      <c r="J57" s="68">
        <v>3.5191537552286496</v>
      </c>
      <c r="K57" s="68">
        <v>3.3384433710422412</v>
      </c>
      <c r="L57" s="68">
        <v>0</v>
      </c>
      <c r="M57" s="68">
        <v>0</v>
      </c>
      <c r="N57" s="68">
        <v>2.6670350298106849</v>
      </c>
      <c r="O57" s="68">
        <v>66</v>
      </c>
    </row>
    <row r="58" spans="1:15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1.39</v>
      </c>
      <c r="G58" s="68">
        <v>1.98</v>
      </c>
      <c r="H58" s="68">
        <v>2.2599999999999998</v>
      </c>
      <c r="I58" s="68">
        <v>5.26</v>
      </c>
      <c r="J58" s="68">
        <v>3.532309683364852</v>
      </c>
      <c r="K58" s="68">
        <v>3.1909428153844863</v>
      </c>
      <c r="L58" s="68">
        <v>0</v>
      </c>
      <c r="M58" s="68">
        <v>0</v>
      </c>
      <c r="N58" s="68">
        <v>2.6224109094111623</v>
      </c>
      <c r="O58" s="68">
        <v>64.5</v>
      </c>
    </row>
    <row r="59" spans="1:15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1.39</v>
      </c>
      <c r="G59" s="68">
        <v>1.98</v>
      </c>
      <c r="H59" s="68">
        <v>2.2599999999999998</v>
      </c>
      <c r="I59" s="68">
        <v>5.25</v>
      </c>
      <c r="J59" s="68">
        <v>3.1803625760602392</v>
      </c>
      <c r="K59" s="68">
        <v>3.3496928489392088</v>
      </c>
      <c r="L59" s="68">
        <v>0</v>
      </c>
      <c r="M59" s="68">
        <v>0</v>
      </c>
      <c r="N59" s="68">
        <v>2.5234743363285808</v>
      </c>
      <c r="O59" s="68">
        <v>64.8</v>
      </c>
    </row>
    <row r="61" spans="1:15" ht="22.5" x14ac:dyDescent="0.25">
      <c r="A61" t="s">
        <v>138</v>
      </c>
      <c r="B61" s="8">
        <f>CellCount_Viability!A12</f>
        <v>46278</v>
      </c>
      <c r="F61" s="67" t="s">
        <v>73</v>
      </c>
      <c r="G61" s="67" t="s">
        <v>55</v>
      </c>
      <c r="H61" s="67" t="s">
        <v>56</v>
      </c>
      <c r="I61" s="67" t="s">
        <v>57</v>
      </c>
      <c r="J61" s="67" t="s">
        <v>58</v>
      </c>
      <c r="K61" s="67" t="s">
        <v>59</v>
      </c>
      <c r="L61" s="67" t="s">
        <v>60</v>
      </c>
      <c r="M61" s="67" t="s">
        <v>61</v>
      </c>
      <c r="N61" s="67" t="s">
        <v>62</v>
      </c>
      <c r="O61" s="67" t="s">
        <v>63</v>
      </c>
    </row>
    <row r="62" spans="1:15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1.39</v>
      </c>
      <c r="G62" s="68">
        <v>1.98</v>
      </c>
      <c r="H62" s="68">
        <v>2.2599999999999998</v>
      </c>
      <c r="I62" s="68">
        <v>5.28</v>
      </c>
      <c r="J62" s="68">
        <v>3.1408318645499547</v>
      </c>
      <c r="K62" s="68">
        <v>3.2226745398098244</v>
      </c>
      <c r="L62" s="68">
        <v>0</v>
      </c>
      <c r="M62" s="68">
        <v>0</v>
      </c>
      <c r="N62" s="68">
        <v>2.4133886056107587</v>
      </c>
      <c r="O62" s="68">
        <v>66.8</v>
      </c>
    </row>
    <row r="63" spans="1:15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1.39</v>
      </c>
      <c r="G63" s="68">
        <v>1.98</v>
      </c>
      <c r="H63" s="68">
        <v>2.2599999999999998</v>
      </c>
      <c r="I63" s="68">
        <v>5.27</v>
      </c>
      <c r="J63" s="68">
        <v>3.5191537552286496</v>
      </c>
      <c r="K63" s="68">
        <v>3.2344265894519042</v>
      </c>
      <c r="L63" s="68">
        <v>0</v>
      </c>
      <c r="M63" s="68">
        <v>0</v>
      </c>
      <c r="N63" s="68">
        <v>2.6349020776442909</v>
      </c>
      <c r="O63" s="68">
        <v>66.7</v>
      </c>
    </row>
    <row r="64" spans="1:15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1.39</v>
      </c>
      <c r="G64" s="68">
        <v>1.98</v>
      </c>
      <c r="H64" s="68">
        <v>2.2599999999999998</v>
      </c>
      <c r="I64" s="68">
        <v>5.26</v>
      </c>
      <c r="J64" s="68">
        <v>3.3245267608139786</v>
      </c>
      <c r="K64" s="68">
        <v>3.0915217484363051</v>
      </c>
      <c r="L64" s="68">
        <v>0</v>
      </c>
      <c r="M64" s="68">
        <v>0</v>
      </c>
      <c r="N64" s="68">
        <v>2.5908155972495819</v>
      </c>
      <c r="O64" s="68">
        <v>65.8</v>
      </c>
    </row>
    <row r="65" spans="1:15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1.39</v>
      </c>
      <c r="G65" s="68">
        <v>1.98</v>
      </c>
      <c r="H65" s="68">
        <v>2.2599999999999998</v>
      </c>
      <c r="I65" s="68">
        <v>5.25</v>
      </c>
      <c r="J65" s="68">
        <v>2.9751778937337723</v>
      </c>
      <c r="K65" s="68">
        <v>3.2453255643283434</v>
      </c>
      <c r="L65" s="68">
        <v>0</v>
      </c>
      <c r="M65" s="68">
        <v>0</v>
      </c>
      <c r="N65" s="68">
        <v>2.4930710310716093</v>
      </c>
      <c r="O65" s="68">
        <v>65.7</v>
      </c>
    </row>
    <row r="67" spans="1:15" ht="22.5" x14ac:dyDescent="0.25">
      <c r="A67" t="s">
        <v>139</v>
      </c>
      <c r="B67" s="8">
        <f>CellCount_Viability!A13</f>
        <v>0</v>
      </c>
      <c r="F67" s="67" t="s">
        <v>73</v>
      </c>
      <c r="G67" s="67" t="s">
        <v>55</v>
      </c>
      <c r="H67" s="67" t="s">
        <v>56</v>
      </c>
      <c r="I67" s="67" t="s">
        <v>57</v>
      </c>
      <c r="J67" s="67" t="s">
        <v>58</v>
      </c>
      <c r="K67" s="67" t="s">
        <v>59</v>
      </c>
      <c r="L67" s="67" t="s">
        <v>60</v>
      </c>
      <c r="M67" s="67" t="s">
        <v>61</v>
      </c>
      <c r="N67" s="67" t="s">
        <v>62</v>
      </c>
      <c r="O67" s="67" t="s">
        <v>63</v>
      </c>
    </row>
    <row r="68" spans="1:15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 t="e">
        <v>#N/A</v>
      </c>
      <c r="I68" s="68" t="e">
        <v>#N/A</v>
      </c>
      <c r="J68" s="68" t="e">
        <v>#N/A</v>
      </c>
      <c r="K68" s="68" t="e">
        <v>#N/A</v>
      </c>
      <c r="L68" s="68" t="e">
        <v>#N/A</v>
      </c>
      <c r="M68" s="68" t="e">
        <v>#N/A</v>
      </c>
      <c r="N68" s="68" t="e">
        <v>#N/A</v>
      </c>
      <c r="O68" s="68" t="e">
        <v>#N/A</v>
      </c>
    </row>
    <row r="69" spans="1:15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 t="e">
        <v>#N/A</v>
      </c>
      <c r="I69" s="68" t="e">
        <v>#N/A</v>
      </c>
      <c r="J69" s="68" t="e">
        <v>#N/A</v>
      </c>
      <c r="K69" s="68" t="e">
        <v>#N/A</v>
      </c>
      <c r="L69" s="68" t="e">
        <v>#N/A</v>
      </c>
      <c r="M69" s="68" t="e">
        <v>#N/A</v>
      </c>
      <c r="N69" s="68" t="e">
        <v>#N/A</v>
      </c>
      <c r="O69" s="68" t="e">
        <v>#N/A</v>
      </c>
    </row>
    <row r="70" spans="1:15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 t="e">
        <v>#N/A</v>
      </c>
      <c r="I70" s="68" t="e">
        <v>#N/A</v>
      </c>
      <c r="J70" s="68" t="e">
        <v>#N/A</v>
      </c>
      <c r="K70" s="68" t="e">
        <v>#N/A</v>
      </c>
      <c r="L70" s="68" t="e">
        <v>#N/A</v>
      </c>
      <c r="M70" s="68" t="e">
        <v>#N/A</v>
      </c>
      <c r="N70" s="68" t="e">
        <v>#N/A</v>
      </c>
      <c r="O70" s="68" t="e">
        <v>#N/A</v>
      </c>
    </row>
    <row r="71" spans="1:15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 t="e">
        <v>#N/A</v>
      </c>
      <c r="I71" s="68" t="e">
        <v>#N/A</v>
      </c>
      <c r="J71" s="68" t="e">
        <v>#N/A</v>
      </c>
      <c r="K71" s="68" t="e">
        <v>#N/A</v>
      </c>
      <c r="L71" s="68" t="e">
        <v>#N/A</v>
      </c>
      <c r="M71" s="68" t="e">
        <v>#N/A</v>
      </c>
      <c r="N71" s="68" t="e">
        <v>#N/A</v>
      </c>
      <c r="O71" s="68" t="e">
        <v>#N/A</v>
      </c>
    </row>
    <row r="73" spans="1:15" ht="22.5" x14ac:dyDescent="0.25">
      <c r="A73" t="s">
        <v>140</v>
      </c>
      <c r="B73" s="8">
        <f>CellCount_Viability!A14</f>
        <v>0</v>
      </c>
      <c r="F73" s="67" t="s">
        <v>73</v>
      </c>
      <c r="G73" s="67" t="s">
        <v>55</v>
      </c>
      <c r="H73" s="67" t="s">
        <v>56</v>
      </c>
      <c r="I73" s="67" t="s">
        <v>57</v>
      </c>
      <c r="J73" s="67" t="s">
        <v>58</v>
      </c>
      <c r="K73" s="67" t="s">
        <v>59</v>
      </c>
      <c r="L73" s="67" t="s">
        <v>60</v>
      </c>
      <c r="M73" s="67" t="s">
        <v>61</v>
      </c>
      <c r="N73" s="67" t="s">
        <v>62</v>
      </c>
      <c r="O73" s="67" t="s">
        <v>63</v>
      </c>
    </row>
    <row r="74" spans="1:15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 t="e">
        <v>#N/A</v>
      </c>
      <c r="I74" s="68" t="e">
        <v>#N/A</v>
      </c>
      <c r="J74" s="68" t="e">
        <v>#N/A</v>
      </c>
      <c r="K74" s="68" t="e">
        <v>#N/A</v>
      </c>
      <c r="L74" s="68" t="e">
        <v>#N/A</v>
      </c>
      <c r="M74" s="68" t="e">
        <v>#N/A</v>
      </c>
      <c r="N74" s="68" t="e">
        <v>#N/A</v>
      </c>
      <c r="O74" s="68" t="e">
        <v>#N/A</v>
      </c>
    </row>
    <row r="75" spans="1:15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 t="e">
        <v>#N/A</v>
      </c>
      <c r="I75" s="68" t="e">
        <v>#N/A</v>
      </c>
      <c r="J75" s="68" t="e">
        <v>#N/A</v>
      </c>
      <c r="K75" s="68" t="e">
        <v>#N/A</v>
      </c>
      <c r="L75" s="68" t="e">
        <v>#N/A</v>
      </c>
      <c r="M75" s="68" t="e">
        <v>#N/A</v>
      </c>
      <c r="N75" s="68" t="e">
        <v>#N/A</v>
      </c>
      <c r="O75" s="68" t="e">
        <v>#N/A</v>
      </c>
    </row>
    <row r="76" spans="1:15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 t="e">
        <v>#N/A</v>
      </c>
      <c r="I76" s="68" t="e">
        <v>#N/A</v>
      </c>
      <c r="J76" s="68" t="e">
        <v>#N/A</v>
      </c>
      <c r="K76" s="68" t="e">
        <v>#N/A</v>
      </c>
      <c r="L76" s="68" t="e">
        <v>#N/A</v>
      </c>
      <c r="M76" s="68" t="e">
        <v>#N/A</v>
      </c>
      <c r="N76" s="68" t="e">
        <v>#N/A</v>
      </c>
      <c r="O76" s="68" t="e">
        <v>#N/A</v>
      </c>
    </row>
    <row r="77" spans="1:15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 t="e">
        <v>#N/A</v>
      </c>
      <c r="I77" s="68" t="e">
        <v>#N/A</v>
      </c>
      <c r="J77" s="68" t="e">
        <v>#N/A</v>
      </c>
      <c r="K77" s="68" t="e">
        <v>#N/A</v>
      </c>
      <c r="L77" s="68" t="e">
        <v>#N/A</v>
      </c>
      <c r="M77" s="68" t="e">
        <v>#N/A</v>
      </c>
      <c r="N77" s="68" t="e">
        <v>#N/A</v>
      </c>
      <c r="O77" s="68" t="e">
        <v>#N/A</v>
      </c>
    </row>
    <row r="79" spans="1:15" ht="22.5" x14ac:dyDescent="0.25">
      <c r="A79" t="s">
        <v>141</v>
      </c>
      <c r="B79" s="8">
        <f>CellCount_Viability!A15</f>
        <v>0</v>
      </c>
      <c r="F79" s="67" t="s">
        <v>73</v>
      </c>
      <c r="G79" s="67" t="s">
        <v>55</v>
      </c>
      <c r="H79" s="67" t="s">
        <v>56</v>
      </c>
      <c r="I79" s="67" t="s">
        <v>57</v>
      </c>
      <c r="J79" s="67" t="s">
        <v>58</v>
      </c>
      <c r="K79" s="67" t="s">
        <v>59</v>
      </c>
      <c r="L79" s="67" t="s">
        <v>60</v>
      </c>
      <c r="M79" s="67" t="s">
        <v>61</v>
      </c>
      <c r="N79" s="67" t="s">
        <v>62</v>
      </c>
      <c r="O79" s="67" t="s">
        <v>63</v>
      </c>
    </row>
    <row r="80" spans="1:15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 t="e">
        <v>#N/A</v>
      </c>
      <c r="I80" s="68" t="e">
        <v>#N/A</v>
      </c>
      <c r="J80" s="68" t="e">
        <v>#N/A</v>
      </c>
      <c r="K80" s="68" t="e">
        <v>#N/A</v>
      </c>
      <c r="L80" s="68" t="e">
        <v>#N/A</v>
      </c>
      <c r="M80" s="68" t="e">
        <v>#N/A</v>
      </c>
      <c r="N80" s="68" t="e">
        <v>#N/A</v>
      </c>
      <c r="O80" s="68" t="e">
        <v>#N/A</v>
      </c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 t="e">
        <v>#N/A</v>
      </c>
      <c r="I81" s="68" t="e">
        <v>#N/A</v>
      </c>
      <c r="J81" s="68" t="e">
        <v>#N/A</v>
      </c>
      <c r="K81" s="68" t="e">
        <v>#N/A</v>
      </c>
      <c r="L81" s="68" t="e">
        <v>#N/A</v>
      </c>
      <c r="M81" s="68" t="e">
        <v>#N/A</v>
      </c>
      <c r="N81" s="68" t="e">
        <v>#N/A</v>
      </c>
      <c r="O81" s="68" t="e">
        <v>#N/A</v>
      </c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 t="e">
        <v>#N/A</v>
      </c>
      <c r="I82" s="68" t="e">
        <v>#N/A</v>
      </c>
      <c r="J82" s="68" t="e">
        <v>#N/A</v>
      </c>
      <c r="K82" s="68" t="e">
        <v>#N/A</v>
      </c>
      <c r="L82" s="68" t="e">
        <v>#N/A</v>
      </c>
      <c r="M82" s="68" t="e">
        <v>#N/A</v>
      </c>
      <c r="N82" s="68" t="e">
        <v>#N/A</v>
      </c>
      <c r="O82" s="68" t="e">
        <v>#N/A</v>
      </c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 t="e">
        <v>#N/A</v>
      </c>
      <c r="I83" s="68" t="e">
        <v>#N/A</v>
      </c>
      <c r="J83" s="68" t="e">
        <v>#N/A</v>
      </c>
      <c r="K83" s="68" t="e">
        <v>#N/A</v>
      </c>
      <c r="L83" s="68" t="e">
        <v>#N/A</v>
      </c>
      <c r="M83" s="68" t="e">
        <v>#N/A</v>
      </c>
      <c r="N83" s="68" t="e">
        <v>#N/A</v>
      </c>
      <c r="O83" s="68" t="e">
        <v>#N/A</v>
      </c>
    </row>
    <row r="85" spans="1:15" ht="22.5" x14ac:dyDescent="0.25">
      <c r="A85" t="s">
        <v>142</v>
      </c>
      <c r="B85" s="8">
        <f>CellCount_Viability!A16</f>
        <v>0</v>
      </c>
      <c r="F85" s="67" t="s">
        <v>73</v>
      </c>
      <c r="G85" s="67" t="s">
        <v>55</v>
      </c>
      <c r="H85" s="67" t="s">
        <v>56</v>
      </c>
      <c r="I85" s="67" t="s">
        <v>57</v>
      </c>
      <c r="J85" s="67" t="s">
        <v>58</v>
      </c>
      <c r="K85" s="67" t="s">
        <v>59</v>
      </c>
      <c r="L85" s="67" t="s">
        <v>60</v>
      </c>
      <c r="M85" s="67" t="s">
        <v>61</v>
      </c>
      <c r="N85" s="67" t="s">
        <v>62</v>
      </c>
      <c r="O85" s="67" t="s">
        <v>63</v>
      </c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 t="e">
        <v>#N/A</v>
      </c>
      <c r="I86" s="68" t="e">
        <v>#N/A</v>
      </c>
      <c r="J86" s="68" t="e">
        <v>#N/A</v>
      </c>
      <c r="K86" s="68" t="e">
        <v>#N/A</v>
      </c>
      <c r="L86" s="68" t="e">
        <v>#N/A</v>
      </c>
      <c r="M86" s="68" t="e">
        <v>#N/A</v>
      </c>
      <c r="N86" s="68" t="e">
        <v>#N/A</v>
      </c>
      <c r="O86" s="68" t="e">
        <v>#N/A</v>
      </c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 t="e">
        <v>#N/A</v>
      </c>
      <c r="I87" s="68" t="e">
        <v>#N/A</v>
      </c>
      <c r="J87" s="68" t="e">
        <v>#N/A</v>
      </c>
      <c r="K87" s="68" t="e">
        <v>#N/A</v>
      </c>
      <c r="L87" s="68" t="e">
        <v>#N/A</v>
      </c>
      <c r="M87" s="68" t="e">
        <v>#N/A</v>
      </c>
      <c r="N87" s="68" t="e">
        <v>#N/A</v>
      </c>
      <c r="O87" s="68" t="e">
        <v>#N/A</v>
      </c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 t="e">
        <v>#N/A</v>
      </c>
      <c r="I88" s="68" t="e">
        <v>#N/A</v>
      </c>
      <c r="J88" s="68" t="e">
        <v>#N/A</v>
      </c>
      <c r="K88" s="68" t="e">
        <v>#N/A</v>
      </c>
      <c r="L88" s="68" t="e">
        <v>#N/A</v>
      </c>
      <c r="M88" s="68" t="e">
        <v>#N/A</v>
      </c>
      <c r="N88" s="68" t="e">
        <v>#N/A</v>
      </c>
      <c r="O88" s="68" t="e">
        <v>#N/A</v>
      </c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 t="e">
        <v>#N/A</v>
      </c>
      <c r="I89" s="68" t="e">
        <v>#N/A</v>
      </c>
      <c r="J89" s="68" t="e">
        <v>#N/A</v>
      </c>
      <c r="K89" s="68" t="e">
        <v>#N/A</v>
      </c>
      <c r="L89" s="68" t="e">
        <v>#N/A</v>
      </c>
      <c r="M89" s="68" t="e">
        <v>#N/A</v>
      </c>
      <c r="N89" s="68" t="e">
        <v>#N/A</v>
      </c>
      <c r="O89" s="68" t="e">
        <v>#N/A</v>
      </c>
    </row>
    <row r="91" spans="1:15" ht="22.5" x14ac:dyDescent="0.25">
      <c r="A91" t="s">
        <v>143</v>
      </c>
      <c r="B91" s="8">
        <f>CellCount_Viability!A17</f>
        <v>0</v>
      </c>
      <c r="F91" s="67" t="s">
        <v>73</v>
      </c>
      <c r="G91" s="67" t="s">
        <v>55</v>
      </c>
      <c r="H91" s="67" t="s">
        <v>56</v>
      </c>
      <c r="I91" s="67" t="s">
        <v>57</v>
      </c>
      <c r="J91" s="67" t="s">
        <v>58</v>
      </c>
      <c r="K91" s="67" t="s">
        <v>59</v>
      </c>
      <c r="L91" s="67" t="s">
        <v>60</v>
      </c>
      <c r="M91" s="67" t="s">
        <v>61</v>
      </c>
      <c r="N91" s="67" t="s">
        <v>62</v>
      </c>
      <c r="O91" s="67" t="s">
        <v>63</v>
      </c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 t="e">
        <v>#N/A</v>
      </c>
      <c r="I92" s="68" t="e">
        <v>#N/A</v>
      </c>
      <c r="J92" s="68" t="e">
        <v>#N/A</v>
      </c>
      <c r="K92" s="68" t="e">
        <v>#N/A</v>
      </c>
      <c r="L92" s="68" t="e">
        <v>#N/A</v>
      </c>
      <c r="M92" s="68" t="e">
        <v>#N/A</v>
      </c>
      <c r="N92" s="68" t="e">
        <v>#N/A</v>
      </c>
      <c r="O92" s="68" t="e">
        <v>#N/A</v>
      </c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 t="e">
        <v>#N/A</v>
      </c>
      <c r="I93" s="68" t="e">
        <v>#N/A</v>
      </c>
      <c r="J93" s="68" t="e">
        <v>#N/A</v>
      </c>
      <c r="K93" s="68" t="e">
        <v>#N/A</v>
      </c>
      <c r="L93" s="68" t="e">
        <v>#N/A</v>
      </c>
      <c r="M93" s="68" t="e">
        <v>#N/A</v>
      </c>
      <c r="N93" s="68" t="e">
        <v>#N/A</v>
      </c>
      <c r="O93" s="68" t="e">
        <v>#N/A</v>
      </c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 t="e">
        <v>#N/A</v>
      </c>
      <c r="I94" s="68" t="e">
        <v>#N/A</v>
      </c>
      <c r="J94" s="68" t="e">
        <v>#N/A</v>
      </c>
      <c r="K94" s="68" t="e">
        <v>#N/A</v>
      </c>
      <c r="L94" s="68" t="e">
        <v>#N/A</v>
      </c>
      <c r="M94" s="68" t="e">
        <v>#N/A</v>
      </c>
      <c r="N94" s="68" t="e">
        <v>#N/A</v>
      </c>
      <c r="O94" s="68" t="e">
        <v>#N/A</v>
      </c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 t="e">
        <v>#N/A</v>
      </c>
      <c r="I95" s="68" t="e">
        <v>#N/A</v>
      </c>
      <c r="J95" s="68" t="e">
        <v>#N/A</v>
      </c>
      <c r="K95" s="68" t="e">
        <v>#N/A</v>
      </c>
      <c r="L95" s="68" t="e">
        <v>#N/A</v>
      </c>
      <c r="M95" s="68" t="e">
        <v>#N/A</v>
      </c>
      <c r="N95" s="68" t="e">
        <v>#N/A</v>
      </c>
      <c r="O95" s="68" t="e">
        <v>#N/A</v>
      </c>
    </row>
    <row r="97" spans="1:15" ht="22.5" x14ac:dyDescent="0.25">
      <c r="A97" t="s">
        <v>144</v>
      </c>
      <c r="B97" s="8">
        <f>CellCount_Viability!A18</f>
        <v>0</v>
      </c>
      <c r="F97" s="67" t="s">
        <v>73</v>
      </c>
      <c r="G97" s="67" t="s">
        <v>55</v>
      </c>
      <c r="H97" s="67" t="s">
        <v>56</v>
      </c>
      <c r="I97" s="67" t="s">
        <v>57</v>
      </c>
      <c r="J97" s="67" t="s">
        <v>58</v>
      </c>
      <c r="K97" s="67" t="s">
        <v>59</v>
      </c>
      <c r="L97" s="67" t="s">
        <v>60</v>
      </c>
      <c r="M97" s="67" t="s">
        <v>61</v>
      </c>
      <c r="N97" s="67" t="s">
        <v>62</v>
      </c>
      <c r="O97" s="67" t="s">
        <v>63</v>
      </c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 t="e">
        <v>#N/A</v>
      </c>
      <c r="I98" s="68" t="e">
        <v>#N/A</v>
      </c>
      <c r="J98" s="68" t="e">
        <v>#N/A</v>
      </c>
      <c r="K98" s="68" t="e">
        <v>#N/A</v>
      </c>
      <c r="L98" s="68" t="e">
        <v>#N/A</v>
      </c>
      <c r="M98" s="68" t="e">
        <v>#N/A</v>
      </c>
      <c r="N98" s="68" t="e">
        <v>#N/A</v>
      </c>
      <c r="O98" s="68" t="e">
        <v>#N/A</v>
      </c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 t="e">
        <v>#N/A</v>
      </c>
      <c r="I99" s="68" t="e">
        <v>#N/A</v>
      </c>
      <c r="J99" s="68" t="e">
        <v>#N/A</v>
      </c>
      <c r="K99" s="68" t="e">
        <v>#N/A</v>
      </c>
      <c r="L99" s="68" t="e">
        <v>#N/A</v>
      </c>
      <c r="M99" s="68" t="e">
        <v>#N/A</v>
      </c>
      <c r="N99" s="68" t="e">
        <v>#N/A</v>
      </c>
      <c r="O99" s="68" t="e">
        <v>#N/A</v>
      </c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 t="e">
        <v>#N/A</v>
      </c>
      <c r="I100" s="68" t="e">
        <v>#N/A</v>
      </c>
      <c r="J100" s="68" t="e">
        <v>#N/A</v>
      </c>
      <c r="K100" s="68" t="e">
        <v>#N/A</v>
      </c>
      <c r="L100" s="68" t="e">
        <v>#N/A</v>
      </c>
      <c r="M100" s="68" t="e">
        <v>#N/A</v>
      </c>
      <c r="N100" s="68" t="e">
        <v>#N/A</v>
      </c>
      <c r="O100" s="68" t="e">
        <v>#N/A</v>
      </c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 t="e">
        <v>#N/A</v>
      </c>
      <c r="I101" s="68" t="e">
        <v>#N/A</v>
      </c>
      <c r="J101" s="68" t="e">
        <v>#N/A</v>
      </c>
      <c r="K101" s="68" t="e">
        <v>#N/A</v>
      </c>
      <c r="L101" s="68" t="e">
        <v>#N/A</v>
      </c>
      <c r="M101" s="68" t="e">
        <v>#N/A</v>
      </c>
      <c r="N101" s="68" t="e">
        <v>#N/A</v>
      </c>
      <c r="O101" s="68" t="e">
        <v>#N/A</v>
      </c>
    </row>
    <row r="103" spans="1:15" ht="22.5" x14ac:dyDescent="0.25">
      <c r="A103" t="s">
        <v>145</v>
      </c>
      <c r="B103" s="8">
        <f>CellCount_Viability!A19</f>
        <v>0</v>
      </c>
      <c r="F103" s="67" t="s">
        <v>73</v>
      </c>
      <c r="G103" s="67" t="s">
        <v>55</v>
      </c>
      <c r="H103" s="67" t="s">
        <v>56</v>
      </c>
      <c r="I103" s="67" t="s">
        <v>57</v>
      </c>
      <c r="J103" s="67" t="s">
        <v>58</v>
      </c>
      <c r="K103" s="67" t="s">
        <v>59</v>
      </c>
      <c r="L103" s="67" t="s">
        <v>60</v>
      </c>
      <c r="M103" s="67" t="s">
        <v>61</v>
      </c>
      <c r="N103" s="67" t="s">
        <v>62</v>
      </c>
      <c r="O103" s="67" t="s">
        <v>63</v>
      </c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 t="e">
        <v>#N/A</v>
      </c>
      <c r="I104" s="68" t="e">
        <v>#N/A</v>
      </c>
      <c r="J104" s="68" t="e">
        <v>#N/A</v>
      </c>
      <c r="K104" s="68" t="e">
        <v>#N/A</v>
      </c>
      <c r="L104" s="68" t="e">
        <v>#N/A</v>
      </c>
      <c r="M104" s="68" t="e">
        <v>#N/A</v>
      </c>
      <c r="N104" s="68" t="e">
        <v>#N/A</v>
      </c>
      <c r="O104" s="68" t="e">
        <v>#N/A</v>
      </c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 t="e">
        <v>#N/A</v>
      </c>
      <c r="I105" s="68" t="e">
        <v>#N/A</v>
      </c>
      <c r="J105" s="68" t="e">
        <v>#N/A</v>
      </c>
      <c r="K105" s="68" t="e">
        <v>#N/A</v>
      </c>
      <c r="L105" s="68" t="e">
        <v>#N/A</v>
      </c>
      <c r="M105" s="68" t="e">
        <v>#N/A</v>
      </c>
      <c r="N105" s="68" t="e">
        <v>#N/A</v>
      </c>
      <c r="O105" s="68" t="e">
        <v>#N/A</v>
      </c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 t="e">
        <v>#N/A</v>
      </c>
      <c r="I106" s="68" t="e">
        <v>#N/A</v>
      </c>
      <c r="J106" s="68" t="e">
        <v>#N/A</v>
      </c>
      <c r="K106" s="68" t="e">
        <v>#N/A</v>
      </c>
      <c r="L106" s="68" t="e">
        <v>#N/A</v>
      </c>
      <c r="M106" s="68" t="e">
        <v>#N/A</v>
      </c>
      <c r="N106" s="68" t="e">
        <v>#N/A</v>
      </c>
      <c r="O106" s="68" t="e">
        <v>#N/A</v>
      </c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 t="e">
        <v>#N/A</v>
      </c>
      <c r="I107" s="68" t="e">
        <v>#N/A</v>
      </c>
      <c r="J107" s="68" t="e">
        <v>#N/A</v>
      </c>
      <c r="K107" s="68" t="e">
        <v>#N/A</v>
      </c>
      <c r="L107" s="68" t="e">
        <v>#N/A</v>
      </c>
      <c r="M107" s="68" t="e">
        <v>#N/A</v>
      </c>
      <c r="N107" s="68" t="e">
        <v>#N/A</v>
      </c>
      <c r="O107" s="68" t="e">
        <v>#N/A</v>
      </c>
    </row>
    <row r="109" spans="1:15" ht="22.5" x14ac:dyDescent="0.25">
      <c r="A109" t="s">
        <v>146</v>
      </c>
      <c r="B109" s="8">
        <f>CellCount_Viability!A20</f>
        <v>0</v>
      </c>
      <c r="F109" s="67" t="s">
        <v>73</v>
      </c>
      <c r="G109" s="67" t="s">
        <v>55</v>
      </c>
      <c r="H109" s="67" t="s">
        <v>56</v>
      </c>
      <c r="I109" s="67" t="s">
        <v>57</v>
      </c>
      <c r="J109" s="67" t="s">
        <v>58</v>
      </c>
      <c r="K109" s="67" t="s">
        <v>59</v>
      </c>
      <c r="L109" s="67" t="s">
        <v>60</v>
      </c>
      <c r="M109" s="67" t="s">
        <v>61</v>
      </c>
      <c r="N109" s="67" t="s">
        <v>62</v>
      </c>
      <c r="O109" s="67" t="s">
        <v>63</v>
      </c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 t="e">
        <v>#N/A</v>
      </c>
      <c r="I110" s="68" t="e">
        <v>#N/A</v>
      </c>
      <c r="J110" s="68" t="e">
        <v>#N/A</v>
      </c>
      <c r="K110" s="68" t="e">
        <v>#N/A</v>
      </c>
      <c r="L110" s="68" t="e">
        <v>#N/A</v>
      </c>
      <c r="M110" s="68" t="e">
        <v>#N/A</v>
      </c>
      <c r="N110" s="68" t="e">
        <v>#N/A</v>
      </c>
      <c r="O110" s="68" t="e">
        <v>#N/A</v>
      </c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 t="e">
        <v>#N/A</v>
      </c>
      <c r="I111" s="68" t="e">
        <v>#N/A</v>
      </c>
      <c r="J111" s="68" t="e">
        <v>#N/A</v>
      </c>
      <c r="K111" s="68" t="e">
        <v>#N/A</v>
      </c>
      <c r="L111" s="68" t="e">
        <v>#N/A</v>
      </c>
      <c r="M111" s="68" t="e">
        <v>#N/A</v>
      </c>
      <c r="N111" s="68" t="e">
        <v>#N/A</v>
      </c>
      <c r="O111" s="68" t="e">
        <v>#N/A</v>
      </c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 t="e">
        <v>#N/A</v>
      </c>
      <c r="I112" s="68" t="e">
        <v>#N/A</v>
      </c>
      <c r="J112" s="68" t="e">
        <v>#N/A</v>
      </c>
      <c r="K112" s="68" t="e">
        <v>#N/A</v>
      </c>
      <c r="L112" s="68" t="e">
        <v>#N/A</v>
      </c>
      <c r="M112" s="68" t="e">
        <v>#N/A</v>
      </c>
      <c r="N112" s="68" t="e">
        <v>#N/A</v>
      </c>
      <c r="O112" s="68" t="e">
        <v>#N/A</v>
      </c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 t="e">
        <v>#N/A</v>
      </c>
      <c r="I113" s="68" t="e">
        <v>#N/A</v>
      </c>
      <c r="J113" s="68" t="e">
        <v>#N/A</v>
      </c>
      <c r="K113" s="68" t="e">
        <v>#N/A</v>
      </c>
      <c r="L113" s="68" t="e">
        <v>#N/A</v>
      </c>
      <c r="M113" s="68" t="e">
        <v>#N/A</v>
      </c>
      <c r="N113" s="68" t="e">
        <v>#N/A</v>
      </c>
      <c r="O113" s="68" t="e">
        <v>#N/A</v>
      </c>
    </row>
    <row r="115" spans="1:15" ht="22.5" x14ac:dyDescent="0.25">
      <c r="A115" t="s">
        <v>147</v>
      </c>
      <c r="B115" s="8">
        <f>CellCount_Viability!A21</f>
        <v>0</v>
      </c>
      <c r="F115" s="67" t="s">
        <v>73</v>
      </c>
      <c r="G115" s="67" t="s">
        <v>55</v>
      </c>
      <c r="H115" s="67" t="s">
        <v>56</v>
      </c>
      <c r="I115" s="67" t="s">
        <v>57</v>
      </c>
      <c r="J115" s="67" t="s">
        <v>58</v>
      </c>
      <c r="K115" s="67" t="s">
        <v>59</v>
      </c>
      <c r="L115" s="67" t="s">
        <v>60</v>
      </c>
      <c r="M115" s="67" t="s">
        <v>61</v>
      </c>
      <c r="N115" s="67" t="s">
        <v>62</v>
      </c>
      <c r="O115" s="67" t="s">
        <v>63</v>
      </c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 t="e">
        <v>#N/A</v>
      </c>
      <c r="I116" s="68" t="e">
        <v>#N/A</v>
      </c>
      <c r="J116" s="68" t="e">
        <v>#N/A</v>
      </c>
      <c r="K116" s="68" t="e">
        <v>#N/A</v>
      </c>
      <c r="L116" s="68" t="e">
        <v>#N/A</v>
      </c>
      <c r="M116" s="68" t="e">
        <v>#N/A</v>
      </c>
      <c r="N116" s="68" t="e">
        <v>#N/A</v>
      </c>
      <c r="O116" s="68" t="e">
        <v>#N/A</v>
      </c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 t="e">
        <v>#N/A</v>
      </c>
      <c r="I117" s="68" t="e">
        <v>#N/A</v>
      </c>
      <c r="J117" s="68" t="e">
        <v>#N/A</v>
      </c>
      <c r="K117" s="68" t="e">
        <v>#N/A</v>
      </c>
      <c r="L117" s="68" t="e">
        <v>#N/A</v>
      </c>
      <c r="M117" s="68" t="e">
        <v>#N/A</v>
      </c>
      <c r="N117" s="68" t="e">
        <v>#N/A</v>
      </c>
      <c r="O117" s="68" t="e">
        <v>#N/A</v>
      </c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 t="e">
        <v>#N/A</v>
      </c>
      <c r="I118" s="68" t="e">
        <v>#N/A</v>
      </c>
      <c r="J118" s="68" t="e">
        <v>#N/A</v>
      </c>
      <c r="K118" s="68" t="e">
        <v>#N/A</v>
      </c>
      <c r="L118" s="68" t="e">
        <v>#N/A</v>
      </c>
      <c r="M118" s="68" t="e">
        <v>#N/A</v>
      </c>
      <c r="N118" s="68" t="e">
        <v>#N/A</v>
      </c>
      <c r="O118" s="68" t="e">
        <v>#N/A</v>
      </c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 t="e">
        <v>#N/A</v>
      </c>
      <c r="I119" s="68" t="e">
        <v>#N/A</v>
      </c>
      <c r="J119" s="68" t="e">
        <v>#N/A</v>
      </c>
      <c r="K119" s="68" t="e">
        <v>#N/A</v>
      </c>
      <c r="L119" s="68" t="e">
        <v>#N/A</v>
      </c>
      <c r="M119" s="68" t="e">
        <v>#N/A</v>
      </c>
      <c r="N119" s="68" t="e">
        <v>#N/A</v>
      </c>
      <c r="O119" s="68" t="e">
        <v>#N/A</v>
      </c>
    </row>
  </sheetData>
  <mergeCells count="162">
    <mergeCell ref="A5:B5"/>
    <mergeCell ref="C5:D5"/>
    <mergeCell ref="A6:B6"/>
    <mergeCell ref="C6:D6"/>
    <mergeCell ref="A2:B2"/>
    <mergeCell ref="C2:D2"/>
    <mergeCell ref="A3:B3"/>
    <mergeCell ref="C3:D3"/>
    <mergeCell ref="A4:B4"/>
    <mergeCell ref="C4:D4"/>
    <mergeCell ref="A11:B11"/>
    <mergeCell ref="C11:D11"/>
    <mergeCell ref="A14:B14"/>
    <mergeCell ref="C14:D14"/>
    <mergeCell ref="A15:B15"/>
    <mergeCell ref="C15:D15"/>
    <mergeCell ref="A8:B8"/>
    <mergeCell ref="C8:D8"/>
    <mergeCell ref="A9:B9"/>
    <mergeCell ref="C9:D9"/>
    <mergeCell ref="A10:B10"/>
    <mergeCell ref="C10:D10"/>
    <mergeCell ref="A21:B21"/>
    <mergeCell ref="C21:D21"/>
    <mergeCell ref="A22:B22"/>
    <mergeCell ref="C22:D22"/>
    <mergeCell ref="A23:B23"/>
    <mergeCell ref="C23:D23"/>
    <mergeCell ref="A16:B16"/>
    <mergeCell ref="C16:D16"/>
    <mergeCell ref="A17:B17"/>
    <mergeCell ref="C17:D17"/>
    <mergeCell ref="A20:B20"/>
    <mergeCell ref="C20:D20"/>
    <mergeCell ref="A29:B29"/>
    <mergeCell ref="C29:D29"/>
    <mergeCell ref="A32:B32"/>
    <mergeCell ref="C32:D32"/>
    <mergeCell ref="A33:B33"/>
    <mergeCell ref="C33:D33"/>
    <mergeCell ref="A26:B26"/>
    <mergeCell ref="C26:D26"/>
    <mergeCell ref="A27:B27"/>
    <mergeCell ref="C27:D27"/>
    <mergeCell ref="A28:B28"/>
    <mergeCell ref="C28:D28"/>
    <mergeCell ref="A39:B39"/>
    <mergeCell ref="C39:D39"/>
    <mergeCell ref="A40:B40"/>
    <mergeCell ref="C40:D40"/>
    <mergeCell ref="A41:B41"/>
    <mergeCell ref="C41:D41"/>
    <mergeCell ref="A34:B34"/>
    <mergeCell ref="C34:D34"/>
    <mergeCell ref="A35:B35"/>
    <mergeCell ref="C35:D35"/>
    <mergeCell ref="A38:B38"/>
    <mergeCell ref="C38:D38"/>
    <mergeCell ref="A47:B47"/>
    <mergeCell ref="C47:D47"/>
    <mergeCell ref="A50:B50"/>
    <mergeCell ref="C50:D50"/>
    <mergeCell ref="A51:B51"/>
    <mergeCell ref="C51:D51"/>
    <mergeCell ref="A44:B44"/>
    <mergeCell ref="C44:D44"/>
    <mergeCell ref="A45:B45"/>
    <mergeCell ref="C45:D45"/>
    <mergeCell ref="A46:B46"/>
    <mergeCell ref="C46:D46"/>
    <mergeCell ref="A56:B56"/>
    <mergeCell ref="C56:D56"/>
    <mergeCell ref="A57:B57"/>
    <mergeCell ref="C57:D57"/>
    <mergeCell ref="A58:B58"/>
    <mergeCell ref="C58:D58"/>
    <mergeCell ref="A52:B52"/>
    <mergeCell ref="C52:D52"/>
    <mergeCell ref="A53:B53"/>
    <mergeCell ref="C53:D53"/>
    <mergeCell ref="A64:B64"/>
    <mergeCell ref="C64:D64"/>
    <mergeCell ref="A65:B65"/>
    <mergeCell ref="C65:D65"/>
    <mergeCell ref="A68:B68"/>
    <mergeCell ref="C68:D68"/>
    <mergeCell ref="A59:B59"/>
    <mergeCell ref="C59:D59"/>
    <mergeCell ref="A62:B62"/>
    <mergeCell ref="C62:D62"/>
    <mergeCell ref="A63:B63"/>
    <mergeCell ref="C63:D63"/>
    <mergeCell ref="A74:B74"/>
    <mergeCell ref="C74:D74"/>
    <mergeCell ref="A75:B75"/>
    <mergeCell ref="C75:D75"/>
    <mergeCell ref="A76:B76"/>
    <mergeCell ref="C76:D76"/>
    <mergeCell ref="A69:B69"/>
    <mergeCell ref="C69:D69"/>
    <mergeCell ref="A70:B70"/>
    <mergeCell ref="C70:D70"/>
    <mergeCell ref="A71:B71"/>
    <mergeCell ref="C71:D71"/>
    <mergeCell ref="A82:B82"/>
    <mergeCell ref="C82:D82"/>
    <mergeCell ref="A83:B83"/>
    <mergeCell ref="C83:D83"/>
    <mergeCell ref="A86:B86"/>
    <mergeCell ref="C86:D86"/>
    <mergeCell ref="A77:B77"/>
    <mergeCell ref="C77:D77"/>
    <mergeCell ref="A80:B80"/>
    <mergeCell ref="C80:D80"/>
    <mergeCell ref="A81:B81"/>
    <mergeCell ref="C81:D81"/>
    <mergeCell ref="A92:B92"/>
    <mergeCell ref="C92:D92"/>
    <mergeCell ref="A93:B93"/>
    <mergeCell ref="C93:D93"/>
    <mergeCell ref="A94:B94"/>
    <mergeCell ref="C94:D94"/>
    <mergeCell ref="A87:B87"/>
    <mergeCell ref="C87:D87"/>
    <mergeCell ref="A88:B88"/>
    <mergeCell ref="C88:D88"/>
    <mergeCell ref="A89:B89"/>
    <mergeCell ref="C89:D89"/>
    <mergeCell ref="A100:B100"/>
    <mergeCell ref="C100:D100"/>
    <mergeCell ref="A101:B101"/>
    <mergeCell ref="C101:D101"/>
    <mergeCell ref="A104:B104"/>
    <mergeCell ref="C104:D104"/>
    <mergeCell ref="A95:B95"/>
    <mergeCell ref="C95:D95"/>
    <mergeCell ref="A98:B98"/>
    <mergeCell ref="C98:D98"/>
    <mergeCell ref="A99:B99"/>
    <mergeCell ref="C99:D99"/>
    <mergeCell ref="A110:B110"/>
    <mergeCell ref="C110:D110"/>
    <mergeCell ref="A111:B111"/>
    <mergeCell ref="C111:D111"/>
    <mergeCell ref="A112:B112"/>
    <mergeCell ref="C112:D112"/>
    <mergeCell ref="A105:B105"/>
    <mergeCell ref="C105:D105"/>
    <mergeCell ref="A106:B106"/>
    <mergeCell ref="C106:D106"/>
    <mergeCell ref="A107:B107"/>
    <mergeCell ref="C107:D107"/>
    <mergeCell ref="A118:B118"/>
    <mergeCell ref="C118:D118"/>
    <mergeCell ref="A119:B119"/>
    <mergeCell ref="C119:D119"/>
    <mergeCell ref="A113:B113"/>
    <mergeCell ref="C113:D113"/>
    <mergeCell ref="A116:B116"/>
    <mergeCell ref="C116:D116"/>
    <mergeCell ref="A117:B117"/>
    <mergeCell ref="C117:D1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F236-FC3B-409C-8F31-23EC54C3DDAA}">
  <sheetPr codeName="Sheet9"/>
  <dimension ref="A1:O119"/>
  <sheetViews>
    <sheetView topLeftCell="A57" workbookViewId="0">
      <selection activeCell="F56" sqref="F56:O59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15" ht="33.6" customHeight="1" x14ac:dyDescent="0.25">
      <c r="A1" t="s">
        <v>54</v>
      </c>
      <c r="B1" s="8">
        <f>CellCount_Viability!A2</f>
        <v>46268</v>
      </c>
      <c r="F1" s="67" t="s">
        <v>148</v>
      </c>
      <c r="G1" s="67" t="s">
        <v>63</v>
      </c>
      <c r="H1" s="67" t="s">
        <v>149</v>
      </c>
      <c r="I1" s="67" t="s">
        <v>150</v>
      </c>
      <c r="J1" s="67" t="s">
        <v>151</v>
      </c>
      <c r="K1" s="67" t="s">
        <v>152</v>
      </c>
      <c r="L1" s="67" t="s">
        <v>153</v>
      </c>
      <c r="M1" s="67" t="s">
        <v>154</v>
      </c>
      <c r="N1" s="67" t="s">
        <v>155</v>
      </c>
      <c r="O1" s="67" t="s">
        <v>156</v>
      </c>
    </row>
    <row r="2" spans="1:15" ht="9.1999999999999993" customHeight="1" x14ac:dyDescent="0.25">
      <c r="A2" s="104" t="s">
        <v>82</v>
      </c>
      <c r="B2" s="105"/>
      <c r="C2" s="104" t="s">
        <v>157</v>
      </c>
      <c r="D2" s="105"/>
      <c r="E2" s="67" t="s">
        <v>66</v>
      </c>
      <c r="F2" s="68">
        <v>0</v>
      </c>
      <c r="G2" s="68">
        <v>0</v>
      </c>
      <c r="H2" s="68">
        <v>0</v>
      </c>
      <c r="I2" s="68">
        <v>0</v>
      </c>
      <c r="J2" s="68">
        <v>0.49</v>
      </c>
      <c r="K2" s="68">
        <v>0</v>
      </c>
      <c r="L2" s="68">
        <v>3.58</v>
      </c>
      <c r="M2" s="68">
        <v>0</v>
      </c>
      <c r="N2" s="68">
        <v>0</v>
      </c>
      <c r="O2" s="68">
        <v>0</v>
      </c>
    </row>
    <row r="3" spans="1:15" ht="9.1999999999999993" customHeight="1" x14ac:dyDescent="0.25">
      <c r="A3" s="104" t="s">
        <v>84</v>
      </c>
      <c r="B3" s="105"/>
      <c r="C3" s="104" t="s">
        <v>158</v>
      </c>
      <c r="D3" s="105"/>
      <c r="E3" s="67" t="s">
        <v>66</v>
      </c>
      <c r="F3" s="68">
        <v>0.14000000000000001</v>
      </c>
      <c r="G3" s="68">
        <v>0</v>
      </c>
      <c r="H3" s="68">
        <v>0</v>
      </c>
      <c r="I3" s="68">
        <v>0</v>
      </c>
      <c r="J3" s="68">
        <v>0.48</v>
      </c>
      <c r="K3" s="68">
        <v>0</v>
      </c>
      <c r="L3" s="68">
        <v>3.46</v>
      </c>
      <c r="M3" s="68">
        <v>0</v>
      </c>
      <c r="N3" s="68">
        <v>0</v>
      </c>
      <c r="O3" s="68">
        <v>0</v>
      </c>
    </row>
    <row r="4" spans="1:15" ht="9.1999999999999993" customHeight="1" x14ac:dyDescent="0.25">
      <c r="A4" s="104" t="s">
        <v>86</v>
      </c>
      <c r="B4" s="105"/>
      <c r="C4" s="104" t="s">
        <v>159</v>
      </c>
      <c r="D4" s="105"/>
      <c r="E4" s="67" t="s">
        <v>66</v>
      </c>
      <c r="F4" s="68">
        <v>0</v>
      </c>
      <c r="G4" s="68">
        <v>0</v>
      </c>
      <c r="H4" s="68">
        <v>0</v>
      </c>
      <c r="I4" s="68">
        <v>0</v>
      </c>
      <c r="J4" s="68">
        <v>0.51</v>
      </c>
      <c r="K4" s="68">
        <v>0</v>
      </c>
      <c r="L4" s="68">
        <v>3.65</v>
      </c>
      <c r="M4" s="68">
        <v>0</v>
      </c>
      <c r="N4" s="68">
        <v>0</v>
      </c>
      <c r="O4" s="68">
        <v>0</v>
      </c>
    </row>
    <row r="5" spans="1:15" ht="9.1999999999999993" customHeight="1" x14ac:dyDescent="0.25">
      <c r="A5" s="104" t="s">
        <v>88</v>
      </c>
      <c r="B5" s="105"/>
      <c r="C5" s="104" t="s">
        <v>160</v>
      </c>
      <c r="D5" s="105"/>
      <c r="E5" s="67" t="s">
        <v>66</v>
      </c>
      <c r="F5" s="68">
        <v>0</v>
      </c>
      <c r="G5" s="68">
        <v>0</v>
      </c>
      <c r="H5" s="68">
        <v>0</v>
      </c>
      <c r="I5" s="68">
        <v>0</v>
      </c>
      <c r="J5" s="68">
        <v>0.47</v>
      </c>
      <c r="K5" s="68">
        <v>0</v>
      </c>
      <c r="L5" s="68">
        <v>3.64</v>
      </c>
      <c r="M5" s="68">
        <v>0</v>
      </c>
      <c r="N5" s="68">
        <v>0</v>
      </c>
      <c r="O5" s="68">
        <v>0</v>
      </c>
    </row>
    <row r="6" spans="1:15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ht="22.5" x14ac:dyDescent="0.25">
      <c r="A7" t="s">
        <v>74</v>
      </c>
      <c r="B7" s="8">
        <f>CellCount_Viability!A3</f>
        <v>46269</v>
      </c>
      <c r="F7" s="67" t="s">
        <v>148</v>
      </c>
      <c r="G7" s="67" t="s">
        <v>63</v>
      </c>
      <c r="H7" s="67" t="s">
        <v>149</v>
      </c>
      <c r="I7" s="67" t="s">
        <v>150</v>
      </c>
      <c r="J7" s="67" t="s">
        <v>151</v>
      </c>
      <c r="K7" s="67" t="s">
        <v>152</v>
      </c>
      <c r="L7" s="67" t="s">
        <v>153</v>
      </c>
      <c r="M7" s="67" t="s">
        <v>154</v>
      </c>
      <c r="N7" s="67" t="s">
        <v>155</v>
      </c>
      <c r="O7" s="67" t="s">
        <v>156</v>
      </c>
    </row>
    <row r="8" spans="1:15" ht="9.1999999999999993" customHeight="1" x14ac:dyDescent="0.25">
      <c r="A8" s="104" t="s">
        <v>82</v>
      </c>
      <c r="B8" s="105"/>
      <c r="C8" s="104" t="s">
        <v>157</v>
      </c>
      <c r="D8" s="105"/>
      <c r="E8" s="67" t="s">
        <v>66</v>
      </c>
      <c r="F8" s="68">
        <v>0.52</v>
      </c>
      <c r="G8" s="68">
        <v>0</v>
      </c>
      <c r="H8" s="68">
        <v>0</v>
      </c>
      <c r="I8" s="68">
        <v>0.13</v>
      </c>
      <c r="J8" s="68">
        <v>2.09</v>
      </c>
      <c r="K8" s="68">
        <v>0.05</v>
      </c>
      <c r="L8" s="68">
        <v>20.37</v>
      </c>
      <c r="M8" s="68">
        <v>0</v>
      </c>
      <c r="N8" s="68">
        <v>0</v>
      </c>
      <c r="O8" s="68">
        <v>0</v>
      </c>
    </row>
    <row r="9" spans="1:15" ht="9.1999999999999993" customHeight="1" x14ac:dyDescent="0.25">
      <c r="A9" s="104" t="s">
        <v>84</v>
      </c>
      <c r="B9" s="105"/>
      <c r="C9" s="104" t="s">
        <v>158</v>
      </c>
      <c r="D9" s="105"/>
      <c r="E9" s="67" t="s">
        <v>66</v>
      </c>
      <c r="F9" s="68">
        <v>0.49</v>
      </c>
      <c r="G9" s="68">
        <v>0</v>
      </c>
      <c r="H9" s="68">
        <v>0</v>
      </c>
      <c r="I9" s="68">
        <v>0.14000000000000001</v>
      </c>
      <c r="J9" s="68">
        <v>2.2400000000000002</v>
      </c>
      <c r="K9" s="68">
        <v>0.09</v>
      </c>
      <c r="L9" s="68">
        <v>21.61</v>
      </c>
      <c r="M9" s="68">
        <v>0</v>
      </c>
      <c r="N9" s="68">
        <v>0</v>
      </c>
      <c r="O9" s="68">
        <v>0</v>
      </c>
    </row>
    <row r="10" spans="1:15" ht="9.1999999999999993" customHeight="1" x14ac:dyDescent="0.25">
      <c r="A10" s="104" t="s">
        <v>86</v>
      </c>
      <c r="B10" s="105"/>
      <c r="C10" s="104" t="s">
        <v>159</v>
      </c>
      <c r="D10" s="105"/>
      <c r="E10" s="67" t="s">
        <v>66</v>
      </c>
      <c r="F10" s="68">
        <v>0.47</v>
      </c>
      <c r="G10" s="68">
        <v>0</v>
      </c>
      <c r="H10" s="68">
        <v>0</v>
      </c>
      <c r="I10" s="68">
        <v>0.13</v>
      </c>
      <c r="J10" s="68">
        <v>1.98</v>
      </c>
      <c r="K10" s="68">
        <v>0.06</v>
      </c>
      <c r="L10" s="68">
        <v>19.38</v>
      </c>
      <c r="M10" s="68">
        <v>0</v>
      </c>
      <c r="N10" s="68">
        <v>0</v>
      </c>
      <c r="O10" s="68">
        <v>0</v>
      </c>
    </row>
    <row r="11" spans="1:15" ht="9.1999999999999993" customHeight="1" x14ac:dyDescent="0.25">
      <c r="A11" s="104" t="s">
        <v>88</v>
      </c>
      <c r="B11" s="105"/>
      <c r="C11" s="104" t="s">
        <v>160</v>
      </c>
      <c r="D11" s="105"/>
      <c r="E11" s="67" t="s">
        <v>66</v>
      </c>
      <c r="F11" s="68">
        <v>0.47</v>
      </c>
      <c r="G11" s="68">
        <v>0</v>
      </c>
      <c r="H11" s="68">
        <v>0</v>
      </c>
      <c r="I11" s="68">
        <v>0.13</v>
      </c>
      <c r="J11" s="68">
        <v>1.98</v>
      </c>
      <c r="K11" s="68">
        <v>0.06</v>
      </c>
      <c r="L11" s="68">
        <v>19.38</v>
      </c>
      <c r="M11" s="68">
        <v>0</v>
      </c>
      <c r="N11" s="68">
        <v>0</v>
      </c>
      <c r="O11" s="68">
        <v>0</v>
      </c>
    </row>
    <row r="13" spans="1:15" ht="22.5" x14ac:dyDescent="0.25">
      <c r="A13" t="s">
        <v>75</v>
      </c>
      <c r="B13" s="8">
        <f>CellCount_Viability!A4</f>
        <v>46270</v>
      </c>
      <c r="F13" s="67" t="s">
        <v>148</v>
      </c>
      <c r="G13" s="67" t="s">
        <v>63</v>
      </c>
      <c r="H13" s="67" t="s">
        <v>149</v>
      </c>
      <c r="I13" s="67" t="s">
        <v>150</v>
      </c>
      <c r="J13" s="67" t="s">
        <v>151</v>
      </c>
      <c r="K13" s="67" t="s">
        <v>152</v>
      </c>
      <c r="L13" s="67" t="s">
        <v>153</v>
      </c>
      <c r="M13" s="67" t="s">
        <v>154</v>
      </c>
      <c r="N13" s="67" t="s">
        <v>155</v>
      </c>
      <c r="O13" s="67" t="s">
        <v>156</v>
      </c>
    </row>
    <row r="14" spans="1:15" ht="12.75" customHeight="1" x14ac:dyDescent="0.25">
      <c r="A14" s="104" t="s">
        <v>82</v>
      </c>
      <c r="B14" s="105"/>
      <c r="C14" s="104" t="s">
        <v>157</v>
      </c>
      <c r="D14" s="105"/>
      <c r="E14" s="67" t="s">
        <v>66</v>
      </c>
      <c r="F14">
        <v>6.41</v>
      </c>
      <c r="G14">
        <v>0</v>
      </c>
      <c r="H14">
        <v>4.3400000000000001E-2</v>
      </c>
      <c r="I14">
        <v>0.24159999999999998</v>
      </c>
      <c r="J14">
        <v>4.2972000000000001</v>
      </c>
      <c r="K14">
        <v>1.2962000000000002</v>
      </c>
      <c r="L14">
        <v>33.5884</v>
      </c>
      <c r="M14">
        <v>0.1736</v>
      </c>
      <c r="N14">
        <v>1.1718</v>
      </c>
      <c r="O14">
        <v>2.1297000000000001</v>
      </c>
    </row>
    <row r="15" spans="1:15" ht="9.1999999999999993" customHeight="1" x14ac:dyDescent="0.25">
      <c r="A15" s="104" t="s">
        <v>84</v>
      </c>
      <c r="B15" s="105"/>
      <c r="C15" s="104" t="s">
        <v>158</v>
      </c>
      <c r="D15" s="105"/>
      <c r="E15" s="67" t="s">
        <v>66</v>
      </c>
      <c r="F15">
        <v>6.6124999999999998</v>
      </c>
      <c r="G15">
        <v>0</v>
      </c>
      <c r="H15">
        <v>4.65E-2</v>
      </c>
      <c r="I15">
        <v>0.25780000000000003</v>
      </c>
      <c r="J15">
        <v>4.5681000000000003</v>
      </c>
      <c r="K15">
        <v>1.3579000000000001</v>
      </c>
      <c r="L15">
        <v>35.622</v>
      </c>
      <c r="M15">
        <v>0.1767</v>
      </c>
      <c r="N15">
        <v>1.1160000000000001</v>
      </c>
      <c r="O15">
        <v>1.9127000000000001</v>
      </c>
    </row>
    <row r="16" spans="1:15" ht="9.1999999999999993" customHeight="1" x14ac:dyDescent="0.25">
      <c r="A16" s="104" t="s">
        <v>86</v>
      </c>
      <c r="B16" s="105"/>
      <c r="C16" s="104" t="s">
        <v>159</v>
      </c>
      <c r="D16" s="105"/>
      <c r="E16" s="67" t="s">
        <v>66</v>
      </c>
      <c r="F16">
        <v>5.6841999999999997</v>
      </c>
      <c r="G16">
        <v>0</v>
      </c>
      <c r="H16">
        <v>3.7199999999999997E-2</v>
      </c>
      <c r="I16">
        <v>0.2354</v>
      </c>
      <c r="J16">
        <v>4.1344999999999992</v>
      </c>
      <c r="K16">
        <v>1.1512</v>
      </c>
      <c r="L16">
        <v>32.421700000000001</v>
      </c>
      <c r="M16">
        <v>0.1643</v>
      </c>
      <c r="N16">
        <v>1.1811</v>
      </c>
      <c r="O16">
        <v>2.3746</v>
      </c>
    </row>
    <row r="17" spans="1:15" ht="9.1999999999999993" customHeight="1" x14ac:dyDescent="0.25">
      <c r="A17" s="104" t="s">
        <v>88</v>
      </c>
      <c r="B17" s="105"/>
      <c r="C17" s="104" t="s">
        <v>160</v>
      </c>
      <c r="D17" s="105"/>
      <c r="E17" s="67" t="s">
        <v>66</v>
      </c>
      <c r="F17">
        <v>5.8453999999999997</v>
      </c>
      <c r="G17">
        <v>0</v>
      </c>
      <c r="H17">
        <v>3.7199999999999997E-2</v>
      </c>
      <c r="I17">
        <v>0.24159999999999998</v>
      </c>
      <c r="J17">
        <v>4.2213000000000003</v>
      </c>
      <c r="K17">
        <v>1.1791</v>
      </c>
      <c r="L17">
        <v>33.174999999999997</v>
      </c>
      <c r="M17">
        <v>0.17050000000000001</v>
      </c>
      <c r="N17">
        <v>1.1718</v>
      </c>
      <c r="O17">
        <v>2.4645000000000001</v>
      </c>
    </row>
    <row r="19" spans="1:15" ht="22.5" x14ac:dyDescent="0.25">
      <c r="A19" t="s">
        <v>76</v>
      </c>
      <c r="B19" s="8">
        <f>CellCount_Viability!A5</f>
        <v>46271</v>
      </c>
      <c r="F19" s="67" t="s">
        <v>148</v>
      </c>
      <c r="G19" s="67" t="s">
        <v>63</v>
      </c>
      <c r="H19" s="67" t="s">
        <v>149</v>
      </c>
      <c r="I19" s="67" t="s">
        <v>150</v>
      </c>
      <c r="J19" s="67" t="s">
        <v>151</v>
      </c>
      <c r="K19" s="67" t="s">
        <v>152</v>
      </c>
      <c r="L19" s="67" t="s">
        <v>153</v>
      </c>
      <c r="M19" s="67" t="s">
        <v>154</v>
      </c>
      <c r="N19" s="67" t="s">
        <v>155</v>
      </c>
      <c r="O19" s="67" t="s">
        <v>156</v>
      </c>
    </row>
    <row r="20" spans="1:15" ht="9.1999999999999993" customHeight="1" x14ac:dyDescent="0.25">
      <c r="A20" s="104" t="s">
        <v>82</v>
      </c>
      <c r="B20" s="105"/>
      <c r="C20" s="104" t="s">
        <v>157</v>
      </c>
      <c r="D20" s="105"/>
      <c r="E20" s="67" t="s">
        <v>66</v>
      </c>
      <c r="F20" s="68">
        <v>11.92</v>
      </c>
      <c r="G20" s="68">
        <v>0</v>
      </c>
      <c r="H20" s="68">
        <v>8.4000000000000005E-2</v>
      </c>
      <c r="I20" s="68">
        <v>0.34599999999999997</v>
      </c>
      <c r="J20" s="68">
        <v>6.3620000000000001</v>
      </c>
      <c r="K20" s="68">
        <v>2.4620000000000002</v>
      </c>
      <c r="L20" s="68">
        <v>45.954000000000001</v>
      </c>
      <c r="M20" s="68">
        <v>0.33600000000000002</v>
      </c>
      <c r="N20" s="68">
        <v>2.2679999999999998</v>
      </c>
      <c r="O20" s="68">
        <v>4.1219999999999999</v>
      </c>
    </row>
    <row r="21" spans="1:15" ht="9.1999999999999993" customHeight="1" x14ac:dyDescent="0.25">
      <c r="A21" s="104" t="s">
        <v>84</v>
      </c>
      <c r="B21" s="105"/>
      <c r="C21" s="104" t="s">
        <v>158</v>
      </c>
      <c r="D21" s="105"/>
      <c r="E21" s="67" t="s">
        <v>66</v>
      </c>
      <c r="F21" s="68">
        <v>12.34</v>
      </c>
      <c r="G21" s="68">
        <v>0</v>
      </c>
      <c r="H21" s="68">
        <v>0.09</v>
      </c>
      <c r="I21" s="68">
        <v>0.36799999999999999</v>
      </c>
      <c r="J21" s="68">
        <v>6.7459999999999996</v>
      </c>
      <c r="K21" s="68">
        <v>2.5439999999999996</v>
      </c>
      <c r="L21" s="68">
        <v>48.730000000000004</v>
      </c>
      <c r="M21" s="68">
        <v>0.34199999999999997</v>
      </c>
      <c r="N21" s="68">
        <v>2.16</v>
      </c>
      <c r="O21" s="68">
        <v>3.702</v>
      </c>
    </row>
    <row r="22" spans="1:15" ht="9.1999999999999993" customHeight="1" x14ac:dyDescent="0.25">
      <c r="A22" s="104" t="s">
        <v>86</v>
      </c>
      <c r="B22" s="105"/>
      <c r="C22" s="104" t="s">
        <v>159</v>
      </c>
      <c r="D22" s="105"/>
      <c r="E22" s="67" t="s">
        <v>66</v>
      </c>
      <c r="F22" s="68">
        <v>10.562000000000001</v>
      </c>
      <c r="G22" s="68">
        <v>0</v>
      </c>
      <c r="H22" s="68">
        <v>7.1999999999999995E-2</v>
      </c>
      <c r="I22" s="68">
        <v>0.33399999999999996</v>
      </c>
      <c r="J22" s="68">
        <v>6.1499999999999986</v>
      </c>
      <c r="K22" s="68">
        <v>2.1720000000000002</v>
      </c>
      <c r="L22" s="68">
        <v>44.622</v>
      </c>
      <c r="M22" s="68">
        <v>0.318</v>
      </c>
      <c r="N22" s="68">
        <v>2.286</v>
      </c>
      <c r="O22" s="68">
        <v>4.5960000000000001</v>
      </c>
    </row>
    <row r="23" spans="1:15" ht="9.1999999999999993" customHeight="1" x14ac:dyDescent="0.25">
      <c r="A23" s="104" t="s">
        <v>88</v>
      </c>
      <c r="B23" s="105"/>
      <c r="C23" s="104" t="s">
        <v>160</v>
      </c>
      <c r="D23" s="105"/>
      <c r="E23" s="67" t="s">
        <v>66</v>
      </c>
      <c r="F23" s="68">
        <v>10.874000000000001</v>
      </c>
      <c r="G23" s="68">
        <v>0</v>
      </c>
      <c r="H23" s="68">
        <v>7.1999999999999995E-2</v>
      </c>
      <c r="I23" s="68">
        <v>0.34599999999999997</v>
      </c>
      <c r="J23" s="68">
        <v>6.3179999999999996</v>
      </c>
      <c r="K23" s="68">
        <v>2.226</v>
      </c>
      <c r="L23" s="68">
        <v>46.08</v>
      </c>
      <c r="M23" s="68">
        <v>0.33</v>
      </c>
      <c r="N23" s="68">
        <v>2.2679999999999998</v>
      </c>
      <c r="O23" s="68">
        <v>4.7699999999999996</v>
      </c>
    </row>
    <row r="25" spans="1:15" ht="22.5" x14ac:dyDescent="0.25">
      <c r="A25" t="s">
        <v>77</v>
      </c>
      <c r="B25" s="8">
        <f>CellCount_Viability!A6</f>
        <v>46272</v>
      </c>
      <c r="F25" s="67" t="s">
        <v>148</v>
      </c>
      <c r="G25" s="67" t="s">
        <v>63</v>
      </c>
      <c r="H25" s="67" t="s">
        <v>149</v>
      </c>
      <c r="I25" s="67" t="s">
        <v>150</v>
      </c>
      <c r="J25" s="67" t="s">
        <v>151</v>
      </c>
      <c r="K25" s="67" t="s">
        <v>152</v>
      </c>
      <c r="L25" s="67" t="s">
        <v>153</v>
      </c>
      <c r="M25" s="67" t="s">
        <v>154</v>
      </c>
      <c r="N25" s="67" t="s">
        <v>155</v>
      </c>
      <c r="O25" s="67" t="s">
        <v>156</v>
      </c>
    </row>
    <row r="26" spans="1:15" ht="13.9" customHeight="1" x14ac:dyDescent="0.25">
      <c r="A26" s="104" t="s">
        <v>106</v>
      </c>
      <c r="B26" s="105"/>
      <c r="C26" s="104" t="s">
        <v>107</v>
      </c>
      <c r="D26" s="105"/>
      <c r="E26" s="67" t="s">
        <v>66</v>
      </c>
      <c r="F26" s="68">
        <v>19.52</v>
      </c>
      <c r="G26" s="68">
        <v>0</v>
      </c>
      <c r="H26" s="68">
        <v>0.14000000000000001</v>
      </c>
      <c r="I26" s="68">
        <v>0.49</v>
      </c>
      <c r="J26" s="68">
        <v>9.2100000000000009</v>
      </c>
      <c r="K26" s="68">
        <v>4.07</v>
      </c>
      <c r="L26" s="68">
        <v>63.01</v>
      </c>
      <c r="M26" s="68">
        <v>0.56000000000000005</v>
      </c>
      <c r="N26" s="68">
        <v>3.78</v>
      </c>
      <c r="O26" s="68">
        <v>6.87</v>
      </c>
    </row>
    <row r="27" spans="1:15" ht="13.9" customHeight="1" x14ac:dyDescent="0.25">
      <c r="A27" s="104" t="s">
        <v>108</v>
      </c>
      <c r="B27" s="105"/>
      <c r="C27" s="104" t="s">
        <v>109</v>
      </c>
      <c r="D27" s="105"/>
      <c r="E27" s="67" t="s">
        <v>66</v>
      </c>
      <c r="F27" s="68">
        <v>20.239999999999998</v>
      </c>
      <c r="G27" s="68">
        <v>0</v>
      </c>
      <c r="H27" s="68">
        <v>0.15</v>
      </c>
      <c r="I27" s="68">
        <v>0.52</v>
      </c>
      <c r="J27" s="68">
        <v>9.75</v>
      </c>
      <c r="K27" s="68">
        <v>4.18</v>
      </c>
      <c r="L27" s="68">
        <v>66.81</v>
      </c>
      <c r="M27" s="68">
        <v>0.56999999999999995</v>
      </c>
      <c r="N27" s="68">
        <v>3.6</v>
      </c>
      <c r="O27" s="68">
        <v>6.17</v>
      </c>
    </row>
    <row r="28" spans="1:15" ht="13.9" customHeight="1" x14ac:dyDescent="0.25">
      <c r="A28" s="104" t="s">
        <v>110</v>
      </c>
      <c r="B28" s="105"/>
      <c r="C28" s="104" t="s">
        <v>111</v>
      </c>
      <c r="D28" s="105"/>
      <c r="E28" s="67" t="s">
        <v>66</v>
      </c>
      <c r="F28" s="68">
        <v>17.29</v>
      </c>
      <c r="G28" s="68">
        <v>0</v>
      </c>
      <c r="H28" s="68">
        <v>0.12</v>
      </c>
      <c r="I28" s="68">
        <v>0.47</v>
      </c>
      <c r="J28" s="68">
        <v>8.93</v>
      </c>
      <c r="K28" s="68">
        <v>3.58</v>
      </c>
      <c r="L28" s="68">
        <v>61.45</v>
      </c>
      <c r="M28" s="68">
        <v>0.53</v>
      </c>
      <c r="N28" s="68">
        <v>3.81</v>
      </c>
      <c r="O28" s="68">
        <v>7.66</v>
      </c>
    </row>
    <row r="29" spans="1:15" ht="13.9" customHeight="1" x14ac:dyDescent="0.25">
      <c r="A29" s="104" t="s">
        <v>112</v>
      </c>
      <c r="B29" s="105"/>
      <c r="C29" s="104" t="s">
        <v>113</v>
      </c>
      <c r="D29" s="105"/>
      <c r="E29" s="67" t="s">
        <v>66</v>
      </c>
      <c r="F29" s="68">
        <v>17.809999999999999</v>
      </c>
      <c r="G29" s="68">
        <v>0</v>
      </c>
      <c r="H29" s="68">
        <v>0.12</v>
      </c>
      <c r="I29" s="68">
        <v>0.49</v>
      </c>
      <c r="J29" s="68">
        <v>9.2100000000000009</v>
      </c>
      <c r="K29" s="68">
        <v>3.67</v>
      </c>
      <c r="L29" s="68">
        <v>63.88</v>
      </c>
      <c r="M29" s="68">
        <v>0.55000000000000004</v>
      </c>
      <c r="N29" s="68">
        <v>3.78</v>
      </c>
      <c r="O29" s="68">
        <v>7.95</v>
      </c>
    </row>
    <row r="31" spans="1:15" ht="22.5" x14ac:dyDescent="0.25">
      <c r="A31" t="s">
        <v>78</v>
      </c>
      <c r="B31" s="8">
        <f>CellCount_Viability!A7</f>
        <v>46273</v>
      </c>
      <c r="F31" s="67" t="s">
        <v>148</v>
      </c>
      <c r="G31" s="67" t="s">
        <v>63</v>
      </c>
      <c r="H31" s="67" t="s">
        <v>149</v>
      </c>
      <c r="I31" s="67" t="s">
        <v>150</v>
      </c>
      <c r="J31" s="67" t="s">
        <v>151</v>
      </c>
      <c r="K31" s="67" t="s">
        <v>152</v>
      </c>
      <c r="L31" s="67" t="s">
        <v>153</v>
      </c>
      <c r="M31" s="67" t="s">
        <v>154</v>
      </c>
      <c r="N31" s="67" t="s">
        <v>155</v>
      </c>
      <c r="O31" s="67" t="s">
        <v>156</v>
      </c>
    </row>
    <row r="32" spans="1:15" ht="13.9" customHeight="1" x14ac:dyDescent="0.25">
      <c r="A32" s="104" t="s">
        <v>114</v>
      </c>
      <c r="B32" s="105"/>
      <c r="C32" s="104" t="s">
        <v>115</v>
      </c>
      <c r="D32" s="105"/>
      <c r="E32" s="67" t="s">
        <v>66</v>
      </c>
      <c r="F32" s="68">
        <v>27.49</v>
      </c>
      <c r="G32" s="68">
        <v>0</v>
      </c>
      <c r="H32" s="68">
        <v>0.18</v>
      </c>
      <c r="I32" s="68">
        <v>0.59</v>
      </c>
      <c r="J32" s="68">
        <v>11.12</v>
      </c>
      <c r="K32" s="68">
        <v>5.31</v>
      </c>
      <c r="L32" s="68">
        <v>69.510000000000005</v>
      </c>
      <c r="M32" s="68">
        <v>0.75</v>
      </c>
      <c r="N32" s="68">
        <v>5.23</v>
      </c>
      <c r="O32" s="68">
        <v>10.49</v>
      </c>
    </row>
    <row r="33" spans="1:15" ht="13.9" customHeight="1" x14ac:dyDescent="0.25">
      <c r="A33" s="104" t="s">
        <v>116</v>
      </c>
      <c r="B33" s="105"/>
      <c r="C33" s="104" t="s">
        <v>117</v>
      </c>
      <c r="D33" s="105"/>
      <c r="E33" s="67" t="s">
        <v>66</v>
      </c>
      <c r="F33" s="68">
        <v>27.5</v>
      </c>
      <c r="G33" s="68">
        <v>0</v>
      </c>
      <c r="H33" s="68">
        <v>0.18</v>
      </c>
      <c r="I33" s="68">
        <v>0.59</v>
      </c>
      <c r="J33" s="68">
        <v>11.22</v>
      </c>
      <c r="K33" s="68">
        <v>5.32</v>
      </c>
      <c r="L33" s="68">
        <v>70.06</v>
      </c>
      <c r="M33" s="68">
        <v>0.75</v>
      </c>
      <c r="N33" s="68">
        <v>5.31</v>
      </c>
      <c r="O33" s="68">
        <v>10.84</v>
      </c>
    </row>
    <row r="34" spans="1:15" ht="13.9" customHeight="1" x14ac:dyDescent="0.25">
      <c r="A34" s="104" t="s">
        <v>118</v>
      </c>
      <c r="B34" s="105"/>
      <c r="C34" s="104" t="s">
        <v>119</v>
      </c>
      <c r="D34" s="105"/>
      <c r="E34" s="67" t="s">
        <v>66</v>
      </c>
      <c r="F34" s="68">
        <v>24.44</v>
      </c>
      <c r="G34" s="68">
        <v>0</v>
      </c>
      <c r="H34" s="68">
        <v>0.16</v>
      </c>
      <c r="I34" s="68">
        <v>0.55000000000000004</v>
      </c>
      <c r="J34" s="68">
        <v>10.71</v>
      </c>
      <c r="K34" s="68">
        <v>4.7300000000000004</v>
      </c>
      <c r="L34" s="68">
        <v>66.87</v>
      </c>
      <c r="M34" s="68">
        <v>0.71</v>
      </c>
      <c r="N34" s="68">
        <v>5.46</v>
      </c>
      <c r="O34" s="68">
        <v>12.63</v>
      </c>
    </row>
    <row r="35" spans="1:15" ht="13.9" customHeight="1" x14ac:dyDescent="0.25">
      <c r="A35" s="104" t="s">
        <v>120</v>
      </c>
      <c r="B35" s="105"/>
      <c r="C35" s="104" t="s">
        <v>121</v>
      </c>
      <c r="D35" s="105"/>
      <c r="E35" s="67" t="s">
        <v>66</v>
      </c>
      <c r="F35" s="68">
        <v>24.38</v>
      </c>
      <c r="G35" s="68">
        <v>0</v>
      </c>
      <c r="H35" s="68">
        <v>0.16</v>
      </c>
      <c r="I35" s="68">
        <v>0.55000000000000004</v>
      </c>
      <c r="J35" s="68">
        <v>10.71</v>
      </c>
      <c r="K35" s="68">
        <v>4.71</v>
      </c>
      <c r="L35" s="68">
        <v>66.86</v>
      </c>
      <c r="M35" s="68">
        <v>0.7</v>
      </c>
      <c r="N35" s="68">
        <v>5.37</v>
      </c>
      <c r="O35" s="68">
        <v>12.52</v>
      </c>
    </row>
    <row r="37" spans="1:15" ht="22.5" x14ac:dyDescent="0.25">
      <c r="A37" t="s">
        <v>79</v>
      </c>
      <c r="B37" s="8">
        <f>CellCount_Viability!A8</f>
        <v>46274</v>
      </c>
      <c r="F37" s="67" t="s">
        <v>148</v>
      </c>
      <c r="G37" s="67" t="s">
        <v>63</v>
      </c>
      <c r="H37" s="67" t="s">
        <v>149</v>
      </c>
      <c r="I37" s="67" t="s">
        <v>150</v>
      </c>
      <c r="J37" s="67" t="s">
        <v>151</v>
      </c>
      <c r="K37" s="67" t="s">
        <v>152</v>
      </c>
      <c r="L37" s="67" t="s">
        <v>153</v>
      </c>
      <c r="M37" s="67" t="s">
        <v>154</v>
      </c>
      <c r="N37" s="67" t="s">
        <v>155</v>
      </c>
      <c r="O37" s="67" t="s">
        <v>156</v>
      </c>
    </row>
    <row r="38" spans="1:15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32.286000000000001</v>
      </c>
      <c r="G38" s="68">
        <v>0</v>
      </c>
      <c r="H38" s="68">
        <v>0.20200000000000001</v>
      </c>
      <c r="I38" s="68">
        <v>0.65049999999999997</v>
      </c>
      <c r="J38" s="68">
        <v>12.0495</v>
      </c>
      <c r="K38" s="68">
        <v>5.9864999999999995</v>
      </c>
      <c r="L38" s="68">
        <v>71.974000000000004</v>
      </c>
      <c r="M38" s="68">
        <v>0.79400000000000004</v>
      </c>
      <c r="N38" s="68">
        <v>6.33</v>
      </c>
      <c r="O38" s="68">
        <v>12.7835</v>
      </c>
    </row>
    <row r="39" spans="1:15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32.389499999999998</v>
      </c>
      <c r="G39" s="68">
        <v>0</v>
      </c>
      <c r="H39" s="68">
        <v>0.20200000000000001</v>
      </c>
      <c r="I39" s="68">
        <v>0.65049999999999997</v>
      </c>
      <c r="J39" s="68">
        <v>12.1165</v>
      </c>
      <c r="K39" s="68">
        <v>5.9910000000000005</v>
      </c>
      <c r="L39" s="68">
        <v>72.117000000000004</v>
      </c>
      <c r="M39" s="68">
        <v>0.78849999999999998</v>
      </c>
      <c r="N39" s="68">
        <v>6.2944999999999993</v>
      </c>
      <c r="O39" s="68">
        <v>12.93</v>
      </c>
    </row>
    <row r="40" spans="1:15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29.230499999999999</v>
      </c>
      <c r="G40" s="68">
        <v>0</v>
      </c>
      <c r="H40" s="68">
        <v>0.182</v>
      </c>
      <c r="I40" s="68">
        <v>0.6160000000000001</v>
      </c>
      <c r="J40" s="68">
        <v>11.81</v>
      </c>
      <c r="K40" s="68">
        <v>5.4119999999999999</v>
      </c>
      <c r="L40" s="68">
        <v>70.247</v>
      </c>
      <c r="M40" s="68">
        <v>0.75950000000000006</v>
      </c>
      <c r="N40" s="68">
        <v>6.5325000000000006</v>
      </c>
      <c r="O40" s="68">
        <v>14.758500000000002</v>
      </c>
    </row>
    <row r="41" spans="1:15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29.3795</v>
      </c>
      <c r="G41" s="68">
        <v>0</v>
      </c>
      <c r="H41" s="68">
        <v>0.182</v>
      </c>
      <c r="I41" s="68">
        <v>0.62150000000000005</v>
      </c>
      <c r="J41" s="68">
        <v>11.8925</v>
      </c>
      <c r="K41" s="68">
        <v>5.4139999999999997</v>
      </c>
      <c r="L41" s="68">
        <v>70.6935</v>
      </c>
      <c r="M41" s="68">
        <v>0.74950000000000006</v>
      </c>
      <c r="N41" s="68">
        <v>6.2170000000000005</v>
      </c>
      <c r="O41" s="68">
        <v>13.801499999999999</v>
      </c>
    </row>
    <row r="43" spans="1:15" ht="22.5" x14ac:dyDescent="0.25">
      <c r="A43" t="s">
        <v>80</v>
      </c>
      <c r="B43" s="8">
        <f>CellCount_Viability!A9</f>
        <v>46275</v>
      </c>
      <c r="F43" s="67" t="s">
        <v>148</v>
      </c>
      <c r="G43" s="67" t="s">
        <v>63</v>
      </c>
      <c r="H43" s="67" t="s">
        <v>149</v>
      </c>
      <c r="I43" s="67" t="s">
        <v>150</v>
      </c>
      <c r="J43" s="67" t="s">
        <v>151</v>
      </c>
      <c r="K43" s="67" t="s">
        <v>152</v>
      </c>
      <c r="L43" s="67" t="s">
        <v>153</v>
      </c>
      <c r="M43" s="67" t="s">
        <v>154</v>
      </c>
      <c r="N43" s="67" t="s">
        <v>155</v>
      </c>
      <c r="O43" s="67" t="s">
        <v>156</v>
      </c>
    </row>
    <row r="44" spans="1:15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36.21</v>
      </c>
      <c r="G44" s="68">
        <v>0</v>
      </c>
      <c r="H44" s="68">
        <v>0.22</v>
      </c>
      <c r="I44" s="68">
        <v>0.7</v>
      </c>
      <c r="J44" s="68">
        <v>12.81</v>
      </c>
      <c r="K44" s="68">
        <v>6.54</v>
      </c>
      <c r="L44" s="68">
        <v>73.989999999999995</v>
      </c>
      <c r="M44" s="68">
        <v>0.83</v>
      </c>
      <c r="N44" s="68">
        <v>7.23</v>
      </c>
      <c r="O44" s="68">
        <v>14.66</v>
      </c>
    </row>
    <row r="45" spans="1:15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36.39</v>
      </c>
      <c r="G45" s="68">
        <v>0</v>
      </c>
      <c r="H45" s="68">
        <v>0.22</v>
      </c>
      <c r="I45" s="68">
        <v>0.7</v>
      </c>
      <c r="J45" s="68">
        <v>12.85</v>
      </c>
      <c r="K45" s="68">
        <v>6.54</v>
      </c>
      <c r="L45" s="68">
        <v>73.8</v>
      </c>
      <c r="M45" s="68">
        <v>0.82</v>
      </c>
      <c r="N45" s="68">
        <v>7.1</v>
      </c>
      <c r="O45" s="68">
        <v>14.64</v>
      </c>
    </row>
    <row r="46" spans="1:15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33.15</v>
      </c>
      <c r="G46" s="68">
        <v>0</v>
      </c>
      <c r="H46" s="68">
        <v>0.2</v>
      </c>
      <c r="I46" s="68">
        <v>0.67</v>
      </c>
      <c r="J46" s="68">
        <v>12.71</v>
      </c>
      <c r="K46" s="68">
        <v>5.97</v>
      </c>
      <c r="L46" s="68">
        <v>73.010000000000005</v>
      </c>
      <c r="M46" s="68">
        <v>0.8</v>
      </c>
      <c r="N46" s="68">
        <v>7.41</v>
      </c>
      <c r="O46" s="68">
        <v>16.5</v>
      </c>
    </row>
    <row r="47" spans="1:15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33.47</v>
      </c>
      <c r="G47" s="68">
        <v>0</v>
      </c>
      <c r="H47" s="68">
        <v>0.2</v>
      </c>
      <c r="I47" s="68">
        <v>0.68</v>
      </c>
      <c r="J47" s="68">
        <v>12.86</v>
      </c>
      <c r="K47" s="68">
        <v>5.99</v>
      </c>
      <c r="L47" s="68">
        <v>73.83</v>
      </c>
      <c r="M47" s="68">
        <v>0.79</v>
      </c>
      <c r="N47" s="68">
        <v>6.91</v>
      </c>
      <c r="O47" s="68">
        <v>14.85</v>
      </c>
    </row>
    <row r="49" spans="1:15" ht="22.5" x14ac:dyDescent="0.25">
      <c r="A49" t="s">
        <v>81</v>
      </c>
      <c r="B49" s="8">
        <f>CellCount_Viability!A10</f>
        <v>46276</v>
      </c>
      <c r="F49" s="67" t="s">
        <v>148</v>
      </c>
      <c r="G49" s="67" t="s">
        <v>63</v>
      </c>
      <c r="H49" s="67" t="s">
        <v>149</v>
      </c>
      <c r="I49" s="67" t="s">
        <v>150</v>
      </c>
      <c r="J49" s="67" t="s">
        <v>151</v>
      </c>
      <c r="K49" s="67" t="s">
        <v>152</v>
      </c>
      <c r="L49" s="67" t="s">
        <v>153</v>
      </c>
      <c r="M49" s="67" t="s">
        <v>154</v>
      </c>
      <c r="N49" s="67" t="s">
        <v>155</v>
      </c>
      <c r="O49" s="67" t="s">
        <v>156</v>
      </c>
    </row>
    <row r="50" spans="1:15" x14ac:dyDescent="0.25">
      <c r="A50" s="104" t="s">
        <v>64</v>
      </c>
      <c r="B50" s="105"/>
      <c r="C50" s="104" t="s">
        <v>65</v>
      </c>
      <c r="D50" s="105"/>
      <c r="E50" s="67" t="s">
        <v>66</v>
      </c>
      <c r="F50" s="68">
        <v>37.298500000000004</v>
      </c>
      <c r="G50" s="68">
        <v>0</v>
      </c>
      <c r="H50" s="68">
        <v>0.22</v>
      </c>
      <c r="I50" s="68">
        <v>0.7034999999999999</v>
      </c>
      <c r="J50" s="68">
        <v>12.852</v>
      </c>
      <c r="K50" s="68">
        <v>6.5715000000000003</v>
      </c>
      <c r="L50" s="68">
        <v>73.745000000000005</v>
      </c>
      <c r="M50" s="68">
        <v>0.80899999999999994</v>
      </c>
      <c r="N50" s="68">
        <v>7.258</v>
      </c>
      <c r="O50" s="68">
        <v>14.929500000000001</v>
      </c>
    </row>
    <row r="51" spans="1:15" x14ac:dyDescent="0.25">
      <c r="A51" s="104" t="s">
        <v>67</v>
      </c>
      <c r="B51" s="105"/>
      <c r="C51" s="104" t="s">
        <v>68</v>
      </c>
      <c r="D51" s="105"/>
      <c r="E51" s="67" t="s">
        <v>66</v>
      </c>
      <c r="F51" s="68">
        <v>37.734000000000002</v>
      </c>
      <c r="G51" s="68">
        <v>0</v>
      </c>
      <c r="H51" s="68">
        <v>0.2235</v>
      </c>
      <c r="I51" s="68">
        <v>0.70699999999999996</v>
      </c>
      <c r="J51" s="68">
        <v>13.018000000000001</v>
      </c>
      <c r="K51" s="68">
        <v>6.6204999999999998</v>
      </c>
      <c r="L51" s="68">
        <v>74.5</v>
      </c>
      <c r="M51" s="68">
        <v>0.80599999999999994</v>
      </c>
      <c r="N51" s="68">
        <v>7.2225000000000001</v>
      </c>
      <c r="O51" s="68">
        <v>15.112500000000001</v>
      </c>
    </row>
    <row r="52" spans="1:15" x14ac:dyDescent="0.25">
      <c r="A52" s="104" t="s">
        <v>69</v>
      </c>
      <c r="B52" s="105"/>
      <c r="C52" s="104" t="s">
        <v>70</v>
      </c>
      <c r="D52" s="105"/>
      <c r="E52" s="67" t="s">
        <v>66</v>
      </c>
      <c r="F52" s="68">
        <v>34.640999999999998</v>
      </c>
      <c r="G52" s="68">
        <v>0</v>
      </c>
      <c r="H52" s="68">
        <v>0.20350000000000001</v>
      </c>
      <c r="I52" s="68">
        <v>0.68400000000000005</v>
      </c>
      <c r="J52" s="68">
        <v>12.951500000000001</v>
      </c>
      <c r="K52" s="68">
        <v>6.0785</v>
      </c>
      <c r="L52" s="68">
        <v>73.962000000000003</v>
      </c>
      <c r="M52" s="68">
        <v>0.79300000000000004</v>
      </c>
      <c r="N52" s="68">
        <v>7.5324999999999998</v>
      </c>
      <c r="O52" s="68">
        <v>17.137</v>
      </c>
    </row>
    <row r="53" spans="1:15" x14ac:dyDescent="0.25">
      <c r="A53" s="104" t="s">
        <v>71</v>
      </c>
      <c r="B53" s="105"/>
      <c r="C53" s="104" t="s">
        <v>72</v>
      </c>
      <c r="D53" s="105"/>
      <c r="E53" s="67" t="s">
        <v>66</v>
      </c>
      <c r="F53" s="68">
        <v>34.467500000000001</v>
      </c>
      <c r="G53" s="68">
        <v>0</v>
      </c>
      <c r="H53" s="68">
        <v>0.2</v>
      </c>
      <c r="I53" s="68">
        <v>0.6835</v>
      </c>
      <c r="J53" s="68">
        <v>12.856499999999999</v>
      </c>
      <c r="K53" s="68">
        <v>6.0250000000000004</v>
      </c>
      <c r="L53" s="68">
        <v>73.427499999999995</v>
      </c>
      <c r="M53" s="68">
        <v>0.77600000000000002</v>
      </c>
      <c r="N53" s="68">
        <v>7.1585000000000001</v>
      </c>
      <c r="O53" s="68">
        <v>16.0505</v>
      </c>
    </row>
    <row r="55" spans="1:15" ht="22.5" x14ac:dyDescent="0.25">
      <c r="A55" t="s">
        <v>137</v>
      </c>
      <c r="B55" s="8">
        <f>CellCount_Viability!A11</f>
        <v>46277</v>
      </c>
      <c r="F55" s="67" t="s">
        <v>148</v>
      </c>
      <c r="G55" s="67" t="s">
        <v>63</v>
      </c>
      <c r="H55" s="67" t="s">
        <v>149</v>
      </c>
      <c r="I55" s="67" t="s">
        <v>150</v>
      </c>
      <c r="J55" s="67" t="s">
        <v>151</v>
      </c>
      <c r="K55" s="67" t="s">
        <v>152</v>
      </c>
      <c r="L55" s="67" t="s">
        <v>153</v>
      </c>
      <c r="M55" s="67" t="s">
        <v>154</v>
      </c>
      <c r="N55" s="67" t="s">
        <v>155</v>
      </c>
      <c r="O55" s="67" t="s">
        <v>156</v>
      </c>
    </row>
    <row r="56" spans="1:15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38.387</v>
      </c>
      <c r="G56" s="68">
        <v>0</v>
      </c>
      <c r="H56" s="68">
        <v>0.22</v>
      </c>
      <c r="I56" s="68">
        <v>0.70699999999999996</v>
      </c>
      <c r="J56" s="68">
        <v>12.894</v>
      </c>
      <c r="K56" s="68">
        <v>6.6029999999999998</v>
      </c>
      <c r="L56" s="68">
        <v>73.5</v>
      </c>
      <c r="M56" s="68">
        <v>0.78800000000000003</v>
      </c>
      <c r="N56" s="68">
        <v>7.2859999999999996</v>
      </c>
      <c r="O56" s="68">
        <v>15.199</v>
      </c>
    </row>
    <row r="57" spans="1:15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39.077999999999996</v>
      </c>
      <c r="G57" s="68">
        <v>0</v>
      </c>
      <c r="H57" s="68">
        <v>0.22700000000000001</v>
      </c>
      <c r="I57" s="68">
        <v>0.71399999999999997</v>
      </c>
      <c r="J57" s="68">
        <v>13.186</v>
      </c>
      <c r="K57" s="68">
        <v>6.7009999999999996</v>
      </c>
      <c r="L57" s="68">
        <v>75.2</v>
      </c>
      <c r="M57" s="68">
        <v>0.79200000000000004</v>
      </c>
      <c r="N57" s="68">
        <v>7.3449999999999998</v>
      </c>
      <c r="O57" s="68">
        <v>15.585000000000001</v>
      </c>
    </row>
    <row r="58" spans="1:15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36.131999999999998</v>
      </c>
      <c r="G58" s="68">
        <v>0</v>
      </c>
      <c r="H58" s="68">
        <v>0.20699999999999999</v>
      </c>
      <c r="I58" s="68">
        <v>0.69799999999999995</v>
      </c>
      <c r="J58" s="68">
        <v>13.193</v>
      </c>
      <c r="K58" s="68">
        <v>6.1870000000000003</v>
      </c>
      <c r="L58" s="68">
        <v>74.914000000000001</v>
      </c>
      <c r="M58" s="68">
        <v>0.78600000000000003</v>
      </c>
      <c r="N58" s="68">
        <v>7.6550000000000002</v>
      </c>
      <c r="O58" s="68">
        <v>17.774000000000001</v>
      </c>
    </row>
    <row r="59" spans="1:15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35.464999999999996</v>
      </c>
      <c r="G59" s="68">
        <v>0</v>
      </c>
      <c r="H59" s="68">
        <v>0.2</v>
      </c>
      <c r="I59" s="68">
        <v>0.68699999999999994</v>
      </c>
      <c r="J59" s="68">
        <v>12.853</v>
      </c>
      <c r="K59" s="68">
        <v>6.06</v>
      </c>
      <c r="L59" s="68">
        <v>73.025000000000006</v>
      </c>
      <c r="M59" s="68">
        <v>0.76200000000000001</v>
      </c>
      <c r="N59" s="68">
        <v>7.407</v>
      </c>
      <c r="O59" s="68">
        <v>17.251000000000001</v>
      </c>
    </row>
    <row r="61" spans="1:15" ht="22.5" x14ac:dyDescent="0.25">
      <c r="A61" t="s">
        <v>138</v>
      </c>
      <c r="B61" s="8">
        <f>CellCount_Viability!A12</f>
        <v>46278</v>
      </c>
      <c r="F61" s="67" t="s">
        <v>148</v>
      </c>
      <c r="G61" s="67" t="s">
        <v>63</v>
      </c>
      <c r="H61" s="67" t="s">
        <v>149</v>
      </c>
      <c r="I61" s="67" t="s">
        <v>150</v>
      </c>
      <c r="J61" s="67" t="s">
        <v>151</v>
      </c>
      <c r="K61" s="67" t="s">
        <v>152</v>
      </c>
      <c r="L61" s="67" t="s">
        <v>153</v>
      </c>
      <c r="M61" s="67" t="s">
        <v>154</v>
      </c>
      <c r="N61" s="67" t="s">
        <v>155</v>
      </c>
      <c r="O61" s="67" t="s">
        <v>156</v>
      </c>
    </row>
    <row r="62" spans="1:15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39.32</v>
      </c>
      <c r="G62" s="68">
        <v>0</v>
      </c>
      <c r="H62" s="68">
        <v>0.22</v>
      </c>
      <c r="I62" s="68">
        <v>0.71</v>
      </c>
      <c r="J62" s="68">
        <v>12.93</v>
      </c>
      <c r="K62" s="68">
        <v>6.63</v>
      </c>
      <c r="L62" s="68">
        <v>73.290000000000006</v>
      </c>
      <c r="M62" s="68">
        <v>0.77</v>
      </c>
      <c r="N62" s="68">
        <v>7.31</v>
      </c>
      <c r="O62" s="68">
        <v>15.43</v>
      </c>
    </row>
    <row r="63" spans="1:15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40.229999999999997</v>
      </c>
      <c r="G63" s="68">
        <v>0</v>
      </c>
      <c r="H63" s="68">
        <v>0.23</v>
      </c>
      <c r="I63" s="68">
        <v>0.72</v>
      </c>
      <c r="J63" s="68">
        <v>13.33</v>
      </c>
      <c r="K63" s="68">
        <v>6.77</v>
      </c>
      <c r="L63" s="68">
        <v>75.8</v>
      </c>
      <c r="M63" s="68">
        <v>0.78</v>
      </c>
      <c r="N63" s="68">
        <v>7.45</v>
      </c>
      <c r="O63" s="68">
        <v>15.99</v>
      </c>
    </row>
    <row r="64" spans="1:15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37.409999999999997</v>
      </c>
      <c r="G64" s="68">
        <v>0</v>
      </c>
      <c r="H64" s="68">
        <v>0.21</v>
      </c>
      <c r="I64" s="68">
        <v>0.71</v>
      </c>
      <c r="J64" s="68">
        <v>13.4</v>
      </c>
      <c r="K64" s="68">
        <v>6.28</v>
      </c>
      <c r="L64" s="68">
        <v>75.73</v>
      </c>
      <c r="M64" s="68">
        <v>0.78</v>
      </c>
      <c r="N64" s="68">
        <v>7.76</v>
      </c>
      <c r="O64" s="68">
        <v>18.32</v>
      </c>
    </row>
    <row r="65" spans="1:15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36.32</v>
      </c>
      <c r="G65" s="68">
        <v>0</v>
      </c>
      <c r="H65" s="68">
        <v>0.2</v>
      </c>
      <c r="I65" s="68">
        <v>0.69</v>
      </c>
      <c r="J65" s="68">
        <v>12.85</v>
      </c>
      <c r="K65" s="68">
        <v>6.09</v>
      </c>
      <c r="L65" s="68">
        <v>72.680000000000007</v>
      </c>
      <c r="M65" s="68">
        <v>0.75</v>
      </c>
      <c r="N65" s="68">
        <v>7.62</v>
      </c>
      <c r="O65" s="68">
        <v>18.28</v>
      </c>
    </row>
    <row r="67" spans="1:15" ht="22.5" x14ac:dyDescent="0.25">
      <c r="A67" t="s">
        <v>139</v>
      </c>
      <c r="B67" s="8">
        <f>CellCount_Viability!A13</f>
        <v>0</v>
      </c>
      <c r="F67" s="67" t="s">
        <v>148</v>
      </c>
      <c r="G67" s="67" t="s">
        <v>63</v>
      </c>
      <c r="H67" s="67" t="s">
        <v>149</v>
      </c>
      <c r="I67" s="67" t="s">
        <v>150</v>
      </c>
      <c r="J67" s="67" t="s">
        <v>151</v>
      </c>
      <c r="K67" s="67" t="s">
        <v>152</v>
      </c>
      <c r="L67" s="67" t="s">
        <v>153</v>
      </c>
      <c r="M67" s="67" t="s">
        <v>154</v>
      </c>
      <c r="N67" s="67" t="s">
        <v>155</v>
      </c>
      <c r="O67" s="67" t="s">
        <v>156</v>
      </c>
    </row>
    <row r="68" spans="1:15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 t="e">
        <v>#N/A</v>
      </c>
      <c r="I68" s="68" t="e">
        <v>#N/A</v>
      </c>
      <c r="J68" s="68" t="e">
        <v>#N/A</v>
      </c>
      <c r="K68" s="68" t="e">
        <v>#N/A</v>
      </c>
      <c r="L68" s="68" t="e">
        <v>#N/A</v>
      </c>
      <c r="M68" s="68" t="e">
        <v>#N/A</v>
      </c>
      <c r="N68" s="68" t="e">
        <v>#N/A</v>
      </c>
      <c r="O68" s="68" t="e">
        <v>#N/A</v>
      </c>
    </row>
    <row r="69" spans="1:15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 t="e">
        <v>#N/A</v>
      </c>
      <c r="I69" s="68" t="e">
        <v>#N/A</v>
      </c>
      <c r="J69" s="68" t="e">
        <v>#N/A</v>
      </c>
      <c r="K69" s="68" t="e">
        <v>#N/A</v>
      </c>
      <c r="L69" s="68" t="e">
        <v>#N/A</v>
      </c>
      <c r="M69" s="68" t="e">
        <v>#N/A</v>
      </c>
      <c r="N69" s="68" t="e">
        <v>#N/A</v>
      </c>
      <c r="O69" s="68" t="e">
        <v>#N/A</v>
      </c>
    </row>
    <row r="70" spans="1:15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 t="e">
        <v>#N/A</v>
      </c>
      <c r="I70" s="68" t="e">
        <v>#N/A</v>
      </c>
      <c r="J70" s="68" t="e">
        <v>#N/A</v>
      </c>
      <c r="K70" s="68" t="e">
        <v>#N/A</v>
      </c>
      <c r="L70" s="68" t="e">
        <v>#N/A</v>
      </c>
      <c r="M70" s="68" t="e">
        <v>#N/A</v>
      </c>
      <c r="N70" s="68" t="e">
        <v>#N/A</v>
      </c>
      <c r="O70" s="68" t="e">
        <v>#N/A</v>
      </c>
    </row>
    <row r="71" spans="1:15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 t="e">
        <v>#N/A</v>
      </c>
      <c r="I71" s="68" t="e">
        <v>#N/A</v>
      </c>
      <c r="J71" s="68" t="e">
        <v>#N/A</v>
      </c>
      <c r="K71" s="68" t="e">
        <v>#N/A</v>
      </c>
      <c r="L71" s="68" t="e">
        <v>#N/A</v>
      </c>
      <c r="M71" s="68" t="e">
        <v>#N/A</v>
      </c>
      <c r="N71" s="68" t="e">
        <v>#N/A</v>
      </c>
      <c r="O71" s="68" t="e">
        <v>#N/A</v>
      </c>
    </row>
    <row r="73" spans="1:15" ht="22.5" x14ac:dyDescent="0.25">
      <c r="A73" t="s">
        <v>140</v>
      </c>
      <c r="B73" s="8">
        <f>CellCount_Viability!A14</f>
        <v>0</v>
      </c>
      <c r="F73" s="67" t="s">
        <v>148</v>
      </c>
      <c r="G73" s="67" t="s">
        <v>63</v>
      </c>
      <c r="H73" s="67" t="s">
        <v>149</v>
      </c>
      <c r="I73" s="67" t="s">
        <v>150</v>
      </c>
      <c r="J73" s="67" t="s">
        <v>151</v>
      </c>
      <c r="K73" s="67" t="s">
        <v>152</v>
      </c>
      <c r="L73" s="67" t="s">
        <v>153</v>
      </c>
      <c r="M73" s="67" t="s">
        <v>154</v>
      </c>
      <c r="N73" s="67" t="s">
        <v>155</v>
      </c>
      <c r="O73" s="67" t="s">
        <v>156</v>
      </c>
    </row>
    <row r="74" spans="1:15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 t="e">
        <v>#N/A</v>
      </c>
      <c r="I74" s="68" t="e">
        <v>#N/A</v>
      </c>
      <c r="J74" s="68" t="e">
        <v>#N/A</v>
      </c>
      <c r="K74" s="68" t="e">
        <v>#N/A</v>
      </c>
      <c r="L74" s="68" t="e">
        <v>#N/A</v>
      </c>
      <c r="M74" s="68" t="e">
        <v>#N/A</v>
      </c>
      <c r="N74" s="68" t="e">
        <v>#N/A</v>
      </c>
      <c r="O74" s="68" t="e">
        <v>#N/A</v>
      </c>
    </row>
    <row r="75" spans="1:15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 t="e">
        <v>#N/A</v>
      </c>
      <c r="I75" s="68" t="e">
        <v>#N/A</v>
      </c>
      <c r="J75" s="68" t="e">
        <v>#N/A</v>
      </c>
      <c r="K75" s="68" t="e">
        <v>#N/A</v>
      </c>
      <c r="L75" s="68" t="e">
        <v>#N/A</v>
      </c>
      <c r="M75" s="68" t="e">
        <v>#N/A</v>
      </c>
      <c r="N75" s="68" t="e">
        <v>#N/A</v>
      </c>
      <c r="O75" s="68" t="e">
        <v>#N/A</v>
      </c>
    </row>
    <row r="76" spans="1:15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 t="e">
        <v>#N/A</v>
      </c>
      <c r="I76" s="68" t="e">
        <v>#N/A</v>
      </c>
      <c r="J76" s="68" t="e">
        <v>#N/A</v>
      </c>
      <c r="K76" s="68" t="e">
        <v>#N/A</v>
      </c>
      <c r="L76" s="68" t="e">
        <v>#N/A</v>
      </c>
      <c r="M76" s="68" t="e">
        <v>#N/A</v>
      </c>
      <c r="N76" s="68" t="e">
        <v>#N/A</v>
      </c>
      <c r="O76" s="68" t="e">
        <v>#N/A</v>
      </c>
    </row>
    <row r="77" spans="1:15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 t="e">
        <v>#N/A</v>
      </c>
      <c r="I77" s="68" t="e">
        <v>#N/A</v>
      </c>
      <c r="J77" s="68" t="e">
        <v>#N/A</v>
      </c>
      <c r="K77" s="68" t="e">
        <v>#N/A</v>
      </c>
      <c r="L77" s="68" t="e">
        <v>#N/A</v>
      </c>
      <c r="M77" s="68" t="e">
        <v>#N/A</v>
      </c>
      <c r="N77" s="68" t="e">
        <v>#N/A</v>
      </c>
      <c r="O77" s="68" t="e">
        <v>#N/A</v>
      </c>
    </row>
    <row r="79" spans="1:15" ht="22.5" x14ac:dyDescent="0.25">
      <c r="A79" t="s">
        <v>141</v>
      </c>
      <c r="B79" s="8">
        <f>CellCount_Viability!A15</f>
        <v>0</v>
      </c>
      <c r="F79" s="67" t="s">
        <v>148</v>
      </c>
      <c r="G79" s="67" t="s">
        <v>63</v>
      </c>
      <c r="H79" s="67" t="s">
        <v>149</v>
      </c>
      <c r="I79" s="67" t="s">
        <v>150</v>
      </c>
      <c r="J79" s="67" t="s">
        <v>151</v>
      </c>
      <c r="K79" s="67" t="s">
        <v>152</v>
      </c>
      <c r="L79" s="67" t="s">
        <v>153</v>
      </c>
      <c r="M79" s="67" t="s">
        <v>154</v>
      </c>
      <c r="N79" s="67" t="s">
        <v>155</v>
      </c>
      <c r="O79" s="67" t="s">
        <v>156</v>
      </c>
    </row>
    <row r="80" spans="1:15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 t="e">
        <v>#N/A</v>
      </c>
      <c r="I80" s="68" t="e">
        <v>#N/A</v>
      </c>
      <c r="J80" s="68" t="e">
        <v>#N/A</v>
      </c>
      <c r="K80" s="68" t="e">
        <v>#N/A</v>
      </c>
      <c r="L80" s="68" t="e">
        <v>#N/A</v>
      </c>
      <c r="M80" s="68" t="e">
        <v>#N/A</v>
      </c>
      <c r="N80" s="68" t="e">
        <v>#N/A</v>
      </c>
      <c r="O80" s="68" t="e">
        <v>#N/A</v>
      </c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 t="e">
        <v>#N/A</v>
      </c>
      <c r="I81" s="68" t="e">
        <v>#N/A</v>
      </c>
      <c r="J81" s="68" t="e">
        <v>#N/A</v>
      </c>
      <c r="K81" s="68" t="e">
        <v>#N/A</v>
      </c>
      <c r="L81" s="68" t="e">
        <v>#N/A</v>
      </c>
      <c r="M81" s="68" t="e">
        <v>#N/A</v>
      </c>
      <c r="N81" s="68" t="e">
        <v>#N/A</v>
      </c>
      <c r="O81" s="68" t="e">
        <v>#N/A</v>
      </c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 t="e">
        <v>#N/A</v>
      </c>
      <c r="I82" s="68" t="e">
        <v>#N/A</v>
      </c>
      <c r="J82" s="68" t="e">
        <v>#N/A</v>
      </c>
      <c r="K82" s="68" t="e">
        <v>#N/A</v>
      </c>
      <c r="L82" s="68" t="e">
        <v>#N/A</v>
      </c>
      <c r="M82" s="68" t="e">
        <v>#N/A</v>
      </c>
      <c r="N82" s="68" t="e">
        <v>#N/A</v>
      </c>
      <c r="O82" s="68" t="e">
        <v>#N/A</v>
      </c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 t="e">
        <v>#N/A</v>
      </c>
      <c r="I83" s="68" t="e">
        <v>#N/A</v>
      </c>
      <c r="J83" s="68" t="e">
        <v>#N/A</v>
      </c>
      <c r="K83" s="68" t="e">
        <v>#N/A</v>
      </c>
      <c r="L83" s="68" t="e">
        <v>#N/A</v>
      </c>
      <c r="M83" s="68" t="e">
        <v>#N/A</v>
      </c>
      <c r="N83" s="68" t="e">
        <v>#N/A</v>
      </c>
      <c r="O83" s="68" t="e">
        <v>#N/A</v>
      </c>
    </row>
    <row r="85" spans="1:15" ht="22.5" x14ac:dyDescent="0.25">
      <c r="A85" t="s">
        <v>142</v>
      </c>
      <c r="B85" s="8">
        <f>CellCount_Viability!A16</f>
        <v>0</v>
      </c>
      <c r="F85" s="67" t="s">
        <v>148</v>
      </c>
      <c r="G85" s="67" t="s">
        <v>63</v>
      </c>
      <c r="H85" s="67" t="s">
        <v>149</v>
      </c>
      <c r="I85" s="67" t="s">
        <v>150</v>
      </c>
      <c r="J85" s="67" t="s">
        <v>151</v>
      </c>
      <c r="K85" s="67" t="s">
        <v>152</v>
      </c>
      <c r="L85" s="67" t="s">
        <v>153</v>
      </c>
      <c r="M85" s="67" t="s">
        <v>154</v>
      </c>
      <c r="N85" s="67" t="s">
        <v>155</v>
      </c>
      <c r="O85" s="67" t="s">
        <v>156</v>
      </c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 t="e">
        <v>#N/A</v>
      </c>
      <c r="I86" s="68" t="e">
        <v>#N/A</v>
      </c>
      <c r="J86" s="68" t="e">
        <v>#N/A</v>
      </c>
      <c r="K86" s="68" t="e">
        <v>#N/A</v>
      </c>
      <c r="L86" s="68" t="e">
        <v>#N/A</v>
      </c>
      <c r="M86" s="68" t="e">
        <v>#N/A</v>
      </c>
      <c r="N86" s="68" t="e">
        <v>#N/A</v>
      </c>
      <c r="O86" s="68" t="e">
        <v>#N/A</v>
      </c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 t="e">
        <v>#N/A</v>
      </c>
      <c r="I87" s="68" t="e">
        <v>#N/A</v>
      </c>
      <c r="J87" s="68" t="e">
        <v>#N/A</v>
      </c>
      <c r="K87" s="68" t="e">
        <v>#N/A</v>
      </c>
      <c r="L87" s="68" t="e">
        <v>#N/A</v>
      </c>
      <c r="M87" s="68" t="e">
        <v>#N/A</v>
      </c>
      <c r="N87" s="68" t="e">
        <v>#N/A</v>
      </c>
      <c r="O87" s="68" t="e">
        <v>#N/A</v>
      </c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 t="e">
        <v>#N/A</v>
      </c>
      <c r="I88" s="68" t="e">
        <v>#N/A</v>
      </c>
      <c r="J88" s="68" t="e">
        <v>#N/A</v>
      </c>
      <c r="K88" s="68" t="e">
        <v>#N/A</v>
      </c>
      <c r="L88" s="68" t="e">
        <v>#N/A</v>
      </c>
      <c r="M88" s="68" t="e">
        <v>#N/A</v>
      </c>
      <c r="N88" s="68" t="e">
        <v>#N/A</v>
      </c>
      <c r="O88" s="68" t="e">
        <v>#N/A</v>
      </c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 t="e">
        <v>#N/A</v>
      </c>
      <c r="I89" s="68" t="e">
        <v>#N/A</v>
      </c>
      <c r="J89" s="68" t="e">
        <v>#N/A</v>
      </c>
      <c r="K89" s="68" t="e">
        <v>#N/A</v>
      </c>
      <c r="L89" s="68" t="e">
        <v>#N/A</v>
      </c>
      <c r="M89" s="68" t="e">
        <v>#N/A</v>
      </c>
      <c r="N89" s="68" t="e">
        <v>#N/A</v>
      </c>
      <c r="O89" s="68" t="e">
        <v>#N/A</v>
      </c>
    </row>
    <row r="91" spans="1:15" ht="22.5" x14ac:dyDescent="0.25">
      <c r="A91" t="s">
        <v>143</v>
      </c>
      <c r="B91" s="8">
        <f>CellCount_Viability!A17</f>
        <v>0</v>
      </c>
      <c r="F91" s="67" t="s">
        <v>148</v>
      </c>
      <c r="G91" s="67" t="s">
        <v>63</v>
      </c>
      <c r="H91" s="67" t="s">
        <v>149</v>
      </c>
      <c r="I91" s="67" t="s">
        <v>150</v>
      </c>
      <c r="J91" s="67" t="s">
        <v>151</v>
      </c>
      <c r="K91" s="67" t="s">
        <v>152</v>
      </c>
      <c r="L91" s="67" t="s">
        <v>153</v>
      </c>
      <c r="M91" s="67" t="s">
        <v>154</v>
      </c>
      <c r="N91" s="67" t="s">
        <v>155</v>
      </c>
      <c r="O91" s="67" t="s">
        <v>156</v>
      </c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 t="e">
        <v>#N/A</v>
      </c>
      <c r="I92" s="68" t="e">
        <v>#N/A</v>
      </c>
      <c r="J92" s="68" t="e">
        <v>#N/A</v>
      </c>
      <c r="K92" s="68" t="e">
        <v>#N/A</v>
      </c>
      <c r="L92" s="68" t="e">
        <v>#N/A</v>
      </c>
      <c r="M92" s="68" t="e">
        <v>#N/A</v>
      </c>
      <c r="N92" s="68" t="e">
        <v>#N/A</v>
      </c>
      <c r="O92" s="68" t="e">
        <v>#N/A</v>
      </c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 t="e">
        <v>#N/A</v>
      </c>
      <c r="I93" s="68" t="e">
        <v>#N/A</v>
      </c>
      <c r="J93" s="68" t="e">
        <v>#N/A</v>
      </c>
      <c r="K93" s="68" t="e">
        <v>#N/A</v>
      </c>
      <c r="L93" s="68" t="e">
        <v>#N/A</v>
      </c>
      <c r="M93" s="68" t="e">
        <v>#N/A</v>
      </c>
      <c r="N93" s="68" t="e">
        <v>#N/A</v>
      </c>
      <c r="O93" s="68" t="e">
        <v>#N/A</v>
      </c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 t="e">
        <v>#N/A</v>
      </c>
      <c r="I94" s="68" t="e">
        <v>#N/A</v>
      </c>
      <c r="J94" s="68" t="e">
        <v>#N/A</v>
      </c>
      <c r="K94" s="68" t="e">
        <v>#N/A</v>
      </c>
      <c r="L94" s="68" t="e">
        <v>#N/A</v>
      </c>
      <c r="M94" s="68" t="e">
        <v>#N/A</v>
      </c>
      <c r="N94" s="68" t="e">
        <v>#N/A</v>
      </c>
      <c r="O94" s="68" t="e">
        <v>#N/A</v>
      </c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 t="e">
        <v>#N/A</v>
      </c>
      <c r="I95" s="68" t="e">
        <v>#N/A</v>
      </c>
      <c r="J95" s="68" t="e">
        <v>#N/A</v>
      </c>
      <c r="K95" s="68" t="e">
        <v>#N/A</v>
      </c>
      <c r="L95" s="68" t="e">
        <v>#N/A</v>
      </c>
      <c r="M95" s="68" t="e">
        <v>#N/A</v>
      </c>
      <c r="N95" s="68" t="e">
        <v>#N/A</v>
      </c>
      <c r="O95" s="68" t="e">
        <v>#N/A</v>
      </c>
    </row>
    <row r="97" spans="1:15" ht="22.5" x14ac:dyDescent="0.25">
      <c r="A97" t="s">
        <v>144</v>
      </c>
      <c r="B97" s="8">
        <f>CellCount_Viability!A18</f>
        <v>0</v>
      </c>
      <c r="F97" s="67" t="s">
        <v>148</v>
      </c>
      <c r="G97" s="67" t="s">
        <v>63</v>
      </c>
      <c r="H97" s="67" t="s">
        <v>149</v>
      </c>
      <c r="I97" s="67" t="s">
        <v>150</v>
      </c>
      <c r="J97" s="67" t="s">
        <v>151</v>
      </c>
      <c r="K97" s="67" t="s">
        <v>152</v>
      </c>
      <c r="L97" s="67" t="s">
        <v>153</v>
      </c>
      <c r="M97" s="67" t="s">
        <v>154</v>
      </c>
      <c r="N97" s="67" t="s">
        <v>155</v>
      </c>
      <c r="O97" s="67" t="s">
        <v>156</v>
      </c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 t="e">
        <v>#N/A</v>
      </c>
      <c r="I98" s="68" t="e">
        <v>#N/A</v>
      </c>
      <c r="J98" s="68" t="e">
        <v>#N/A</v>
      </c>
      <c r="K98" s="68" t="e">
        <v>#N/A</v>
      </c>
      <c r="L98" s="68" t="e">
        <v>#N/A</v>
      </c>
      <c r="M98" s="68" t="e">
        <v>#N/A</v>
      </c>
      <c r="N98" s="68" t="e">
        <v>#N/A</v>
      </c>
      <c r="O98" s="68" t="e">
        <v>#N/A</v>
      </c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 t="e">
        <v>#N/A</v>
      </c>
      <c r="I99" s="68" t="e">
        <v>#N/A</v>
      </c>
      <c r="J99" s="68" t="e">
        <v>#N/A</v>
      </c>
      <c r="K99" s="68" t="e">
        <v>#N/A</v>
      </c>
      <c r="L99" s="68" t="e">
        <v>#N/A</v>
      </c>
      <c r="M99" s="68" t="e">
        <v>#N/A</v>
      </c>
      <c r="N99" s="68" t="e">
        <v>#N/A</v>
      </c>
      <c r="O99" s="68" t="e">
        <v>#N/A</v>
      </c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 t="e">
        <v>#N/A</v>
      </c>
      <c r="I100" s="68" t="e">
        <v>#N/A</v>
      </c>
      <c r="J100" s="68" t="e">
        <v>#N/A</v>
      </c>
      <c r="K100" s="68" t="e">
        <v>#N/A</v>
      </c>
      <c r="L100" s="68" t="e">
        <v>#N/A</v>
      </c>
      <c r="M100" s="68" t="e">
        <v>#N/A</v>
      </c>
      <c r="N100" s="68" t="e">
        <v>#N/A</v>
      </c>
      <c r="O100" s="68" t="e">
        <v>#N/A</v>
      </c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 t="e">
        <v>#N/A</v>
      </c>
      <c r="I101" s="68" t="e">
        <v>#N/A</v>
      </c>
      <c r="J101" s="68" t="e">
        <v>#N/A</v>
      </c>
      <c r="K101" s="68" t="e">
        <v>#N/A</v>
      </c>
      <c r="L101" s="68" t="e">
        <v>#N/A</v>
      </c>
      <c r="M101" s="68" t="e">
        <v>#N/A</v>
      </c>
      <c r="N101" s="68" t="e">
        <v>#N/A</v>
      </c>
      <c r="O101" s="68" t="e">
        <v>#N/A</v>
      </c>
    </row>
    <row r="103" spans="1:15" ht="22.5" x14ac:dyDescent="0.25">
      <c r="A103" t="s">
        <v>145</v>
      </c>
      <c r="B103" s="8">
        <f>CellCount_Viability!A19</f>
        <v>0</v>
      </c>
      <c r="F103" s="67" t="s">
        <v>148</v>
      </c>
      <c r="G103" s="67" t="s">
        <v>63</v>
      </c>
      <c r="H103" s="67" t="s">
        <v>149</v>
      </c>
      <c r="I103" s="67" t="s">
        <v>150</v>
      </c>
      <c r="J103" s="67" t="s">
        <v>151</v>
      </c>
      <c r="K103" s="67" t="s">
        <v>152</v>
      </c>
      <c r="L103" s="67" t="s">
        <v>153</v>
      </c>
      <c r="M103" s="67" t="s">
        <v>154</v>
      </c>
      <c r="N103" s="67" t="s">
        <v>155</v>
      </c>
      <c r="O103" s="67" t="s">
        <v>156</v>
      </c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 t="e">
        <v>#N/A</v>
      </c>
      <c r="I104" s="68" t="e">
        <v>#N/A</v>
      </c>
      <c r="J104" s="68" t="e">
        <v>#N/A</v>
      </c>
      <c r="K104" s="68" t="e">
        <v>#N/A</v>
      </c>
      <c r="L104" s="68" t="e">
        <v>#N/A</v>
      </c>
      <c r="M104" s="68" t="e">
        <v>#N/A</v>
      </c>
      <c r="N104" s="68" t="e">
        <v>#N/A</v>
      </c>
      <c r="O104" s="68" t="e">
        <v>#N/A</v>
      </c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 t="e">
        <v>#N/A</v>
      </c>
      <c r="I105" s="68" t="e">
        <v>#N/A</v>
      </c>
      <c r="J105" s="68" t="e">
        <v>#N/A</v>
      </c>
      <c r="K105" s="68" t="e">
        <v>#N/A</v>
      </c>
      <c r="L105" s="68" t="e">
        <v>#N/A</v>
      </c>
      <c r="M105" s="68" t="e">
        <v>#N/A</v>
      </c>
      <c r="N105" s="68" t="e">
        <v>#N/A</v>
      </c>
      <c r="O105" s="68" t="e">
        <v>#N/A</v>
      </c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 t="e">
        <v>#N/A</v>
      </c>
      <c r="I106" s="68" t="e">
        <v>#N/A</v>
      </c>
      <c r="J106" s="68" t="e">
        <v>#N/A</v>
      </c>
      <c r="K106" s="68" t="e">
        <v>#N/A</v>
      </c>
      <c r="L106" s="68" t="e">
        <v>#N/A</v>
      </c>
      <c r="M106" s="68" t="e">
        <v>#N/A</v>
      </c>
      <c r="N106" s="68" t="e">
        <v>#N/A</v>
      </c>
      <c r="O106" s="68" t="e">
        <v>#N/A</v>
      </c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 t="e">
        <v>#N/A</v>
      </c>
      <c r="I107" s="68" t="e">
        <v>#N/A</v>
      </c>
      <c r="J107" s="68" t="e">
        <v>#N/A</v>
      </c>
      <c r="K107" s="68" t="e">
        <v>#N/A</v>
      </c>
      <c r="L107" s="68" t="e">
        <v>#N/A</v>
      </c>
      <c r="M107" s="68" t="e">
        <v>#N/A</v>
      </c>
      <c r="N107" s="68" t="e">
        <v>#N/A</v>
      </c>
      <c r="O107" s="68" t="e">
        <v>#N/A</v>
      </c>
    </row>
    <row r="109" spans="1:15" ht="22.5" x14ac:dyDescent="0.25">
      <c r="A109" t="s">
        <v>146</v>
      </c>
      <c r="B109" s="8">
        <f>CellCount_Viability!A20</f>
        <v>0</v>
      </c>
      <c r="F109" s="67" t="s">
        <v>148</v>
      </c>
      <c r="G109" s="67" t="s">
        <v>63</v>
      </c>
      <c r="H109" s="67" t="s">
        <v>149</v>
      </c>
      <c r="I109" s="67" t="s">
        <v>150</v>
      </c>
      <c r="J109" s="67" t="s">
        <v>151</v>
      </c>
      <c r="K109" s="67" t="s">
        <v>152</v>
      </c>
      <c r="L109" s="67" t="s">
        <v>153</v>
      </c>
      <c r="M109" s="67" t="s">
        <v>154</v>
      </c>
      <c r="N109" s="67" t="s">
        <v>155</v>
      </c>
      <c r="O109" s="67" t="s">
        <v>156</v>
      </c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 t="e">
        <v>#N/A</v>
      </c>
      <c r="I110" s="68" t="e">
        <v>#N/A</v>
      </c>
      <c r="J110" s="68" t="e">
        <v>#N/A</v>
      </c>
      <c r="K110" s="68" t="e">
        <v>#N/A</v>
      </c>
      <c r="L110" s="68" t="e">
        <v>#N/A</v>
      </c>
      <c r="M110" s="68" t="e">
        <v>#N/A</v>
      </c>
      <c r="N110" s="68" t="e">
        <v>#N/A</v>
      </c>
      <c r="O110" s="68" t="e">
        <v>#N/A</v>
      </c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 t="e">
        <v>#N/A</v>
      </c>
      <c r="I111" s="68" t="e">
        <v>#N/A</v>
      </c>
      <c r="J111" s="68" t="e">
        <v>#N/A</v>
      </c>
      <c r="K111" s="68" t="e">
        <v>#N/A</v>
      </c>
      <c r="L111" s="68" t="e">
        <v>#N/A</v>
      </c>
      <c r="M111" s="68" t="e">
        <v>#N/A</v>
      </c>
      <c r="N111" s="68" t="e">
        <v>#N/A</v>
      </c>
      <c r="O111" s="68" t="e">
        <v>#N/A</v>
      </c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 t="e">
        <v>#N/A</v>
      </c>
      <c r="I112" s="68" t="e">
        <v>#N/A</v>
      </c>
      <c r="J112" s="68" t="e">
        <v>#N/A</v>
      </c>
      <c r="K112" s="68" t="e">
        <v>#N/A</v>
      </c>
      <c r="L112" s="68" t="e">
        <v>#N/A</v>
      </c>
      <c r="M112" s="68" t="e">
        <v>#N/A</v>
      </c>
      <c r="N112" s="68" t="e">
        <v>#N/A</v>
      </c>
      <c r="O112" s="68" t="e">
        <v>#N/A</v>
      </c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 t="e">
        <v>#N/A</v>
      </c>
      <c r="I113" s="68" t="e">
        <v>#N/A</v>
      </c>
      <c r="J113" s="68" t="e">
        <v>#N/A</v>
      </c>
      <c r="K113" s="68" t="e">
        <v>#N/A</v>
      </c>
      <c r="L113" s="68" t="e">
        <v>#N/A</v>
      </c>
      <c r="M113" s="68" t="e">
        <v>#N/A</v>
      </c>
      <c r="N113" s="68" t="e">
        <v>#N/A</v>
      </c>
      <c r="O113" s="68" t="e">
        <v>#N/A</v>
      </c>
    </row>
    <row r="115" spans="1:15" ht="22.5" x14ac:dyDescent="0.25">
      <c r="A115" t="s">
        <v>147</v>
      </c>
      <c r="B115" s="8">
        <f>CellCount_Viability!A21</f>
        <v>0</v>
      </c>
      <c r="F115" s="67" t="s">
        <v>148</v>
      </c>
      <c r="G115" s="67" t="s">
        <v>63</v>
      </c>
      <c r="H115" s="67" t="s">
        <v>149</v>
      </c>
      <c r="I115" s="67" t="s">
        <v>150</v>
      </c>
      <c r="J115" s="67" t="s">
        <v>151</v>
      </c>
      <c r="K115" s="67" t="s">
        <v>152</v>
      </c>
      <c r="L115" s="67" t="s">
        <v>153</v>
      </c>
      <c r="M115" s="67" t="s">
        <v>154</v>
      </c>
      <c r="N115" s="67" t="s">
        <v>155</v>
      </c>
      <c r="O115" s="67" t="s">
        <v>156</v>
      </c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 t="e">
        <v>#N/A</v>
      </c>
      <c r="I116" s="68" t="e">
        <v>#N/A</v>
      </c>
      <c r="J116" s="68" t="e">
        <v>#N/A</v>
      </c>
      <c r="K116" s="68" t="e">
        <v>#N/A</v>
      </c>
      <c r="L116" s="68" t="e">
        <v>#N/A</v>
      </c>
      <c r="M116" s="68" t="e">
        <v>#N/A</v>
      </c>
      <c r="N116" s="68" t="e">
        <v>#N/A</v>
      </c>
      <c r="O116" s="68" t="e">
        <v>#N/A</v>
      </c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 t="e">
        <v>#N/A</v>
      </c>
      <c r="I117" s="68" t="e">
        <v>#N/A</v>
      </c>
      <c r="J117" s="68" t="e">
        <v>#N/A</v>
      </c>
      <c r="K117" s="68" t="e">
        <v>#N/A</v>
      </c>
      <c r="L117" s="68" t="e">
        <v>#N/A</v>
      </c>
      <c r="M117" s="68" t="e">
        <v>#N/A</v>
      </c>
      <c r="N117" s="68" t="e">
        <v>#N/A</v>
      </c>
      <c r="O117" s="68" t="e">
        <v>#N/A</v>
      </c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 t="e">
        <v>#N/A</v>
      </c>
      <c r="I118" s="68" t="e">
        <v>#N/A</v>
      </c>
      <c r="J118" s="68" t="e">
        <v>#N/A</v>
      </c>
      <c r="K118" s="68" t="e">
        <v>#N/A</v>
      </c>
      <c r="L118" s="68" t="e">
        <v>#N/A</v>
      </c>
      <c r="M118" s="68" t="e">
        <v>#N/A</v>
      </c>
      <c r="N118" s="68" t="e">
        <v>#N/A</v>
      </c>
      <c r="O118" s="68" t="e">
        <v>#N/A</v>
      </c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 t="e">
        <v>#N/A</v>
      </c>
      <c r="I119" s="68" t="e">
        <v>#N/A</v>
      </c>
      <c r="J119" s="68" t="e">
        <v>#N/A</v>
      </c>
      <c r="K119" s="68" t="e">
        <v>#N/A</v>
      </c>
      <c r="L119" s="68" t="e">
        <v>#N/A</v>
      </c>
      <c r="M119" s="68" t="e">
        <v>#N/A</v>
      </c>
      <c r="N119" s="68" t="e">
        <v>#N/A</v>
      </c>
      <c r="O119" s="68" t="e">
        <v>#N/A</v>
      </c>
    </row>
  </sheetData>
  <mergeCells count="162">
    <mergeCell ref="A2:B2"/>
    <mergeCell ref="C2:D2"/>
    <mergeCell ref="A3:B3"/>
    <mergeCell ref="C3:D3"/>
    <mergeCell ref="A4:B4"/>
    <mergeCell ref="C4:D4"/>
    <mergeCell ref="A9:B9"/>
    <mergeCell ref="C9:D9"/>
    <mergeCell ref="A10:B10"/>
    <mergeCell ref="C10:D10"/>
    <mergeCell ref="A11:B11"/>
    <mergeCell ref="C11:D11"/>
    <mergeCell ref="A5:B5"/>
    <mergeCell ref="C5:D5"/>
    <mergeCell ref="A6:B6"/>
    <mergeCell ref="C6:D6"/>
    <mergeCell ref="A8:B8"/>
    <mergeCell ref="C8:D8"/>
    <mergeCell ref="A17:B17"/>
    <mergeCell ref="C17:D17"/>
    <mergeCell ref="A20:B20"/>
    <mergeCell ref="C20:D20"/>
    <mergeCell ref="A21:B21"/>
    <mergeCell ref="C21:D21"/>
    <mergeCell ref="A14:B14"/>
    <mergeCell ref="C14:D14"/>
    <mergeCell ref="A15:B15"/>
    <mergeCell ref="C15:D15"/>
    <mergeCell ref="A16:B16"/>
    <mergeCell ref="C16:D16"/>
    <mergeCell ref="A27:B27"/>
    <mergeCell ref="C27:D27"/>
    <mergeCell ref="A28:B28"/>
    <mergeCell ref="C28:D28"/>
    <mergeCell ref="A29:B29"/>
    <mergeCell ref="C29:D29"/>
    <mergeCell ref="A22:B22"/>
    <mergeCell ref="C22:D22"/>
    <mergeCell ref="A23:B23"/>
    <mergeCell ref="C23:D23"/>
    <mergeCell ref="A26:B26"/>
    <mergeCell ref="C26:D26"/>
    <mergeCell ref="A35:B35"/>
    <mergeCell ref="C35:D35"/>
    <mergeCell ref="A38:B38"/>
    <mergeCell ref="C38:D38"/>
    <mergeCell ref="A39:B39"/>
    <mergeCell ref="C39:D39"/>
    <mergeCell ref="A32:B32"/>
    <mergeCell ref="C32:D32"/>
    <mergeCell ref="A33:B33"/>
    <mergeCell ref="C33:D33"/>
    <mergeCell ref="A34:B34"/>
    <mergeCell ref="C34:D34"/>
    <mergeCell ref="A45:B45"/>
    <mergeCell ref="C45:D45"/>
    <mergeCell ref="A46:B46"/>
    <mergeCell ref="C46:D46"/>
    <mergeCell ref="A47:B47"/>
    <mergeCell ref="C47:D47"/>
    <mergeCell ref="A40:B40"/>
    <mergeCell ref="C40:D40"/>
    <mergeCell ref="A41:B41"/>
    <mergeCell ref="C41:D41"/>
    <mergeCell ref="A44:B44"/>
    <mergeCell ref="C44:D44"/>
    <mergeCell ref="A53:B53"/>
    <mergeCell ref="C53:D53"/>
    <mergeCell ref="A56:B56"/>
    <mergeCell ref="C56:D56"/>
    <mergeCell ref="A57:B57"/>
    <mergeCell ref="C57:D57"/>
    <mergeCell ref="A50:B50"/>
    <mergeCell ref="C50:D50"/>
    <mergeCell ref="A51:B51"/>
    <mergeCell ref="C51:D51"/>
    <mergeCell ref="A52:B52"/>
    <mergeCell ref="C52:D52"/>
    <mergeCell ref="A63:B63"/>
    <mergeCell ref="C63:D63"/>
    <mergeCell ref="A64:B64"/>
    <mergeCell ref="C64:D64"/>
    <mergeCell ref="A65:B65"/>
    <mergeCell ref="C65:D65"/>
    <mergeCell ref="A58:B58"/>
    <mergeCell ref="C58:D58"/>
    <mergeCell ref="A59:B59"/>
    <mergeCell ref="C59:D59"/>
    <mergeCell ref="A62:B62"/>
    <mergeCell ref="C62:D62"/>
    <mergeCell ref="A71:B71"/>
    <mergeCell ref="C71:D71"/>
    <mergeCell ref="A74:B74"/>
    <mergeCell ref="C74:D74"/>
    <mergeCell ref="A75:B75"/>
    <mergeCell ref="C75:D75"/>
    <mergeCell ref="A68:B68"/>
    <mergeCell ref="C68:D68"/>
    <mergeCell ref="A69:B69"/>
    <mergeCell ref="C69:D69"/>
    <mergeCell ref="A70:B70"/>
    <mergeCell ref="C70:D70"/>
    <mergeCell ref="A81:B81"/>
    <mergeCell ref="C81:D81"/>
    <mergeCell ref="A82:B82"/>
    <mergeCell ref="C82:D82"/>
    <mergeCell ref="A83:B83"/>
    <mergeCell ref="C83:D83"/>
    <mergeCell ref="A76:B76"/>
    <mergeCell ref="C76:D76"/>
    <mergeCell ref="A77:B77"/>
    <mergeCell ref="C77:D77"/>
    <mergeCell ref="A80:B80"/>
    <mergeCell ref="C80:D80"/>
    <mergeCell ref="A89:B89"/>
    <mergeCell ref="C89:D89"/>
    <mergeCell ref="A92:B92"/>
    <mergeCell ref="C92:D92"/>
    <mergeCell ref="A93:B93"/>
    <mergeCell ref="C93:D93"/>
    <mergeCell ref="A86:B86"/>
    <mergeCell ref="C86:D86"/>
    <mergeCell ref="A87:B87"/>
    <mergeCell ref="C87:D87"/>
    <mergeCell ref="A88:B88"/>
    <mergeCell ref="C88:D88"/>
    <mergeCell ref="A99:B99"/>
    <mergeCell ref="C99:D99"/>
    <mergeCell ref="A100:B100"/>
    <mergeCell ref="C100:D100"/>
    <mergeCell ref="A101:B101"/>
    <mergeCell ref="C101:D101"/>
    <mergeCell ref="A94:B94"/>
    <mergeCell ref="C94:D94"/>
    <mergeCell ref="A95:B95"/>
    <mergeCell ref="C95:D95"/>
    <mergeCell ref="A98:B98"/>
    <mergeCell ref="C98:D98"/>
    <mergeCell ref="A107:B107"/>
    <mergeCell ref="C107:D107"/>
    <mergeCell ref="A110:B110"/>
    <mergeCell ref="C110:D110"/>
    <mergeCell ref="A111:B111"/>
    <mergeCell ref="C111:D111"/>
    <mergeCell ref="A104:B104"/>
    <mergeCell ref="C104:D104"/>
    <mergeCell ref="A105:B105"/>
    <mergeCell ref="C105:D105"/>
    <mergeCell ref="A106:B106"/>
    <mergeCell ref="C106:D106"/>
    <mergeCell ref="A117:B117"/>
    <mergeCell ref="C117:D117"/>
    <mergeCell ref="A118:B118"/>
    <mergeCell ref="C118:D118"/>
    <mergeCell ref="A119:B119"/>
    <mergeCell ref="C119:D119"/>
    <mergeCell ref="A112:B112"/>
    <mergeCell ref="C112:D112"/>
    <mergeCell ref="A113:B113"/>
    <mergeCell ref="C113:D113"/>
    <mergeCell ref="A116:B116"/>
    <mergeCell ref="C116:D1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68A0-3CDF-4E0F-980D-A8E27936F409}">
  <sheetPr codeName="Sheet10"/>
  <dimension ref="A1:O119"/>
  <sheetViews>
    <sheetView topLeftCell="A56" zoomScale="145" zoomScaleNormal="145" workbookViewId="0">
      <selection activeCell="G65" sqref="G65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15" ht="33.6" customHeight="1" x14ac:dyDescent="0.25">
      <c r="A1" t="s">
        <v>54</v>
      </c>
      <c r="B1" s="8">
        <f>CellCount_Viability!A2</f>
        <v>46268</v>
      </c>
      <c r="F1" s="87" t="s">
        <v>185</v>
      </c>
      <c r="G1" s="87" t="s">
        <v>186</v>
      </c>
      <c r="H1" s="67"/>
      <c r="I1" s="67"/>
      <c r="J1" s="67"/>
      <c r="K1" s="67"/>
      <c r="L1" s="67"/>
      <c r="M1" s="67"/>
      <c r="N1" s="67"/>
      <c r="O1" s="67"/>
    </row>
    <row r="2" spans="1:15" ht="9.1999999999999993" customHeight="1" x14ac:dyDescent="0.25">
      <c r="A2" s="106" t="s">
        <v>64</v>
      </c>
      <c r="B2" s="105"/>
      <c r="C2" s="106" t="s">
        <v>181</v>
      </c>
      <c r="D2" s="105"/>
      <c r="E2" s="87" t="s">
        <v>66</v>
      </c>
      <c r="F2" s="68">
        <v>95</v>
      </c>
      <c r="G2" s="68">
        <v>17</v>
      </c>
      <c r="H2" s="68"/>
      <c r="I2" s="68"/>
      <c r="J2" s="68"/>
      <c r="K2" s="68"/>
      <c r="L2" s="68"/>
      <c r="M2" s="68"/>
      <c r="N2" s="68"/>
      <c r="O2" s="68"/>
    </row>
    <row r="3" spans="1:15" ht="9.1999999999999993" customHeight="1" x14ac:dyDescent="0.25">
      <c r="A3" s="106" t="s">
        <v>67</v>
      </c>
      <c r="B3" s="105"/>
      <c r="C3" s="106" t="s">
        <v>182</v>
      </c>
      <c r="D3" s="105"/>
      <c r="E3" s="87" t="s">
        <v>66</v>
      </c>
      <c r="F3" s="68">
        <v>100</v>
      </c>
      <c r="G3" s="68">
        <v>21</v>
      </c>
      <c r="H3" s="68"/>
      <c r="I3" s="68"/>
      <c r="J3" s="68"/>
      <c r="K3" s="68"/>
      <c r="L3" s="68"/>
      <c r="M3" s="68"/>
      <c r="N3" s="68"/>
      <c r="O3" s="68"/>
    </row>
    <row r="4" spans="1:15" ht="9.1999999999999993" customHeight="1" x14ac:dyDescent="0.25">
      <c r="A4" s="106" t="s">
        <v>69</v>
      </c>
      <c r="B4" s="105"/>
      <c r="C4" s="106" t="s">
        <v>183</v>
      </c>
      <c r="D4" s="105"/>
      <c r="E4" s="87" t="s">
        <v>66</v>
      </c>
      <c r="F4" s="68">
        <v>95</v>
      </c>
      <c r="G4" s="68">
        <v>19</v>
      </c>
      <c r="H4" s="68"/>
      <c r="I4" s="68"/>
      <c r="J4" s="68"/>
      <c r="K4" s="68"/>
      <c r="L4" s="68"/>
      <c r="M4" s="68"/>
      <c r="N4" s="68"/>
      <c r="O4" s="68"/>
    </row>
    <row r="5" spans="1:15" ht="9.1999999999999993" customHeight="1" x14ac:dyDescent="0.25">
      <c r="A5" s="106" t="s">
        <v>71</v>
      </c>
      <c r="B5" s="105"/>
      <c r="C5" s="106" t="s">
        <v>184</v>
      </c>
      <c r="D5" s="105"/>
      <c r="E5" s="87" t="s">
        <v>66</v>
      </c>
      <c r="F5" s="68">
        <v>99</v>
      </c>
      <c r="G5" s="68">
        <v>20</v>
      </c>
      <c r="H5" s="68"/>
      <c r="I5" s="68"/>
      <c r="J5" s="68"/>
      <c r="K5" s="68"/>
      <c r="L5" s="68"/>
      <c r="M5" s="68"/>
      <c r="N5" s="68"/>
      <c r="O5" s="68"/>
    </row>
    <row r="6" spans="1:15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ht="22.5" x14ac:dyDescent="0.25">
      <c r="A7" t="s">
        <v>74</v>
      </c>
      <c r="B7" s="8">
        <f>CellCount_Viability!A3</f>
        <v>46269</v>
      </c>
      <c r="F7" s="87" t="s">
        <v>185</v>
      </c>
      <c r="G7" s="87" t="s">
        <v>186</v>
      </c>
      <c r="H7" s="67"/>
      <c r="I7" s="67"/>
      <c r="J7" s="67"/>
      <c r="K7" s="67"/>
      <c r="L7" s="67"/>
      <c r="M7" s="67"/>
      <c r="N7" s="67"/>
      <c r="O7" s="67"/>
    </row>
    <row r="8" spans="1:15" ht="9.1999999999999993" customHeight="1" x14ac:dyDescent="0.25">
      <c r="A8" s="104" t="s">
        <v>82</v>
      </c>
      <c r="B8" s="105"/>
      <c r="C8" s="104" t="s">
        <v>181</v>
      </c>
      <c r="D8" s="105"/>
      <c r="E8" s="67" t="s">
        <v>66</v>
      </c>
      <c r="F8" s="68">
        <v>712</v>
      </c>
      <c r="G8" s="68">
        <v>506</v>
      </c>
      <c r="H8" s="68"/>
      <c r="I8" s="68"/>
      <c r="J8" s="68"/>
      <c r="K8" s="68"/>
      <c r="L8" s="68"/>
      <c r="M8" s="68"/>
      <c r="N8" s="68"/>
      <c r="O8" s="68"/>
    </row>
    <row r="9" spans="1:15" ht="9.1999999999999993" customHeight="1" x14ac:dyDescent="0.25">
      <c r="A9" s="104" t="s">
        <v>84</v>
      </c>
      <c r="B9" s="105"/>
      <c r="C9" s="104" t="s">
        <v>182</v>
      </c>
      <c r="D9" s="105"/>
      <c r="E9" s="67" t="s">
        <v>66</v>
      </c>
      <c r="F9" s="68">
        <v>701</v>
      </c>
      <c r="G9" s="68">
        <v>408</v>
      </c>
      <c r="H9" s="68"/>
      <c r="I9" s="68"/>
      <c r="J9" s="68"/>
      <c r="K9" s="68"/>
      <c r="L9" s="68"/>
      <c r="M9" s="68"/>
      <c r="N9" s="68"/>
      <c r="O9" s="68"/>
    </row>
    <row r="10" spans="1:15" ht="9.1999999999999993" customHeight="1" x14ac:dyDescent="0.25">
      <c r="A10" s="104" t="s">
        <v>86</v>
      </c>
      <c r="B10" s="105"/>
      <c r="C10" s="104" t="s">
        <v>183</v>
      </c>
      <c r="D10" s="105"/>
      <c r="E10" s="67" t="s">
        <v>66</v>
      </c>
      <c r="F10" s="68">
        <v>748</v>
      </c>
      <c r="G10" s="68">
        <v>450</v>
      </c>
      <c r="H10" s="68"/>
      <c r="I10" s="68"/>
      <c r="J10" s="68"/>
      <c r="K10" s="68"/>
      <c r="L10" s="68"/>
      <c r="M10" s="68"/>
      <c r="N10" s="68"/>
      <c r="O10" s="68"/>
    </row>
    <row r="11" spans="1:15" ht="9.1999999999999993" customHeight="1" x14ac:dyDescent="0.25">
      <c r="A11" s="104" t="s">
        <v>88</v>
      </c>
      <c r="B11" s="105"/>
      <c r="C11" s="104" t="s">
        <v>184</v>
      </c>
      <c r="D11" s="105"/>
      <c r="E11" s="67" t="s">
        <v>66</v>
      </c>
      <c r="F11" s="68">
        <v>726</v>
      </c>
      <c r="G11" s="68">
        <v>503</v>
      </c>
      <c r="H11" s="68"/>
      <c r="I11" s="68"/>
      <c r="J11" s="68"/>
      <c r="K11" s="68"/>
      <c r="L11" s="68"/>
      <c r="M11" s="68"/>
      <c r="N11" s="68"/>
      <c r="O11" s="68"/>
    </row>
    <row r="13" spans="1:15" ht="22.5" x14ac:dyDescent="0.25">
      <c r="A13" t="s">
        <v>75</v>
      </c>
      <c r="B13" s="8">
        <f>CellCount_Viability!A4</f>
        <v>46270</v>
      </c>
      <c r="F13" s="87" t="s">
        <v>185</v>
      </c>
      <c r="G13" s="87" t="s">
        <v>186</v>
      </c>
      <c r="H13" s="67"/>
      <c r="I13" s="67"/>
      <c r="J13" s="67"/>
      <c r="K13" s="67"/>
      <c r="L13" s="67"/>
      <c r="M13" s="67"/>
      <c r="N13" s="67"/>
      <c r="O13" s="67"/>
    </row>
    <row r="14" spans="1:15" ht="9.1999999999999993" customHeight="1" x14ac:dyDescent="0.25">
      <c r="A14" s="106" t="s">
        <v>64</v>
      </c>
      <c r="B14" s="105"/>
      <c r="C14" s="106" t="s">
        <v>181</v>
      </c>
      <c r="D14" s="105"/>
      <c r="E14" s="87" t="s">
        <v>66</v>
      </c>
      <c r="F14" s="68">
        <v>2853</v>
      </c>
      <c r="G14" s="68">
        <v>1400</v>
      </c>
      <c r="H14" s="68"/>
      <c r="I14" s="68"/>
      <c r="J14" s="68"/>
      <c r="K14" s="68"/>
      <c r="L14" s="68"/>
      <c r="M14" s="68"/>
      <c r="N14" s="68"/>
      <c r="O14" s="68"/>
    </row>
    <row r="15" spans="1:15" ht="9.1999999999999993" customHeight="1" x14ac:dyDescent="0.25">
      <c r="A15" s="106" t="s">
        <v>67</v>
      </c>
      <c r="B15" s="105"/>
      <c r="C15" s="106" t="s">
        <v>182</v>
      </c>
      <c r="D15" s="105"/>
      <c r="E15" s="87" t="s">
        <v>66</v>
      </c>
      <c r="F15" s="68">
        <v>2765</v>
      </c>
      <c r="G15" s="68">
        <v>1351</v>
      </c>
      <c r="H15" s="68"/>
      <c r="I15" s="68"/>
      <c r="J15" s="68"/>
      <c r="K15" s="68"/>
      <c r="L15" s="68"/>
      <c r="M15" s="68"/>
      <c r="N15" s="68"/>
      <c r="O15" s="68"/>
    </row>
    <row r="16" spans="1:15" ht="9.1999999999999993" customHeight="1" x14ac:dyDescent="0.25">
      <c r="A16" s="106" t="s">
        <v>69</v>
      </c>
      <c r="B16" s="105"/>
      <c r="C16" s="106" t="s">
        <v>183</v>
      </c>
      <c r="D16" s="105"/>
      <c r="E16" s="87" t="s">
        <v>66</v>
      </c>
      <c r="F16" s="68">
        <v>2543</v>
      </c>
      <c r="G16" s="68">
        <v>1425</v>
      </c>
      <c r="H16" s="68"/>
      <c r="I16" s="68"/>
      <c r="J16" s="68"/>
      <c r="K16" s="68"/>
      <c r="L16" s="68"/>
      <c r="M16" s="68"/>
      <c r="N16" s="68"/>
      <c r="O16" s="68"/>
    </row>
    <row r="17" spans="1:15" ht="9.1999999999999993" customHeight="1" x14ac:dyDescent="0.25">
      <c r="A17" s="106" t="s">
        <v>71</v>
      </c>
      <c r="B17" s="105"/>
      <c r="C17" s="106" t="s">
        <v>184</v>
      </c>
      <c r="D17" s="105"/>
      <c r="E17" s="87" t="s">
        <v>66</v>
      </c>
      <c r="F17" s="68">
        <v>2607</v>
      </c>
      <c r="G17" s="68">
        <v>1394</v>
      </c>
      <c r="H17" s="68"/>
      <c r="I17" s="68"/>
      <c r="J17" s="68"/>
      <c r="K17" s="68"/>
      <c r="L17" s="68"/>
      <c r="M17" s="68"/>
      <c r="N17" s="68"/>
      <c r="O17" s="68"/>
    </row>
    <row r="19" spans="1:15" ht="22.5" x14ac:dyDescent="0.25">
      <c r="A19" t="s">
        <v>76</v>
      </c>
      <c r="B19" s="8">
        <f>CellCount_Viability!A5</f>
        <v>46271</v>
      </c>
      <c r="F19" s="87" t="s">
        <v>185</v>
      </c>
      <c r="G19" s="87" t="s">
        <v>186</v>
      </c>
      <c r="H19" s="67"/>
      <c r="I19" s="67"/>
      <c r="J19" s="67"/>
      <c r="K19" s="67"/>
      <c r="L19" s="67"/>
      <c r="M19" s="67"/>
      <c r="N19" s="67"/>
      <c r="O19" s="67"/>
    </row>
    <row r="20" spans="1:15" ht="9.1999999999999993" customHeight="1" x14ac:dyDescent="0.25">
      <c r="A20" s="104" t="s">
        <v>90</v>
      </c>
      <c r="B20" s="105"/>
      <c r="C20" s="104" t="s">
        <v>316</v>
      </c>
      <c r="D20" s="105"/>
      <c r="E20" s="67" t="s">
        <v>66</v>
      </c>
      <c r="F20" s="68">
        <v>5187</v>
      </c>
      <c r="G20" s="68">
        <v>2100</v>
      </c>
      <c r="H20" s="68"/>
      <c r="I20" s="68"/>
      <c r="J20" s="68"/>
      <c r="K20" s="68"/>
      <c r="L20" s="68"/>
      <c r="M20" s="68"/>
      <c r="N20" s="68"/>
      <c r="O20" s="68"/>
    </row>
    <row r="21" spans="1:15" ht="9.1999999999999993" customHeight="1" x14ac:dyDescent="0.25">
      <c r="A21" s="104" t="s">
        <v>92</v>
      </c>
      <c r="B21" s="105"/>
      <c r="C21" s="104" t="s">
        <v>317</v>
      </c>
      <c r="D21" s="105"/>
      <c r="E21" s="67" t="s">
        <v>66</v>
      </c>
      <c r="F21" s="68">
        <v>5010</v>
      </c>
      <c r="G21" s="68">
        <v>2050</v>
      </c>
      <c r="H21" s="68"/>
      <c r="I21" s="68"/>
      <c r="J21" s="68"/>
      <c r="K21" s="68"/>
      <c r="L21" s="68"/>
      <c r="M21" s="68"/>
      <c r="N21" s="68"/>
      <c r="O21" s="68"/>
    </row>
    <row r="22" spans="1:15" ht="9.1999999999999993" customHeight="1" x14ac:dyDescent="0.25">
      <c r="A22" s="104" t="s">
        <v>94</v>
      </c>
      <c r="B22" s="105"/>
      <c r="C22" s="104" t="s">
        <v>318</v>
      </c>
      <c r="D22" s="105"/>
      <c r="E22" s="67" t="s">
        <v>66</v>
      </c>
      <c r="F22" s="68">
        <v>4801</v>
      </c>
      <c r="G22" s="68">
        <v>1907</v>
      </c>
      <c r="H22" s="68"/>
      <c r="I22" s="68"/>
      <c r="J22" s="68"/>
      <c r="K22" s="68"/>
      <c r="L22" s="68"/>
      <c r="M22" s="68"/>
      <c r="N22" s="68"/>
      <c r="O22" s="68"/>
    </row>
    <row r="23" spans="1:15" ht="9.1999999999999993" customHeight="1" x14ac:dyDescent="0.25">
      <c r="A23" s="104" t="s">
        <v>96</v>
      </c>
      <c r="B23" s="105"/>
      <c r="C23" s="104" t="s">
        <v>319</v>
      </c>
      <c r="D23" s="105"/>
      <c r="E23" s="67" t="s">
        <v>66</v>
      </c>
      <c r="F23" s="68">
        <v>4798</v>
      </c>
      <c r="G23" s="68">
        <v>1897</v>
      </c>
      <c r="H23" s="68"/>
      <c r="I23" s="68"/>
      <c r="J23" s="68"/>
      <c r="K23" s="68"/>
      <c r="L23" s="68"/>
      <c r="M23" s="68"/>
      <c r="N23" s="68"/>
      <c r="O23" s="68"/>
    </row>
    <row r="25" spans="1:15" ht="22.5" x14ac:dyDescent="0.25">
      <c r="A25" t="s">
        <v>77</v>
      </c>
      <c r="B25" s="8">
        <f>CellCount_Viability!A6</f>
        <v>46272</v>
      </c>
      <c r="F25" s="87" t="s">
        <v>185</v>
      </c>
      <c r="G25" s="87" t="s">
        <v>186</v>
      </c>
      <c r="H25" s="67"/>
      <c r="I25" s="67"/>
      <c r="J25" s="67"/>
      <c r="K25" s="67"/>
      <c r="L25" s="67"/>
      <c r="M25" s="67"/>
      <c r="N25" s="67"/>
      <c r="O25" s="67"/>
    </row>
    <row r="26" spans="1:15" ht="13.9" customHeight="1" x14ac:dyDescent="0.25">
      <c r="A26" s="104" t="s">
        <v>98</v>
      </c>
      <c r="B26" s="105"/>
      <c r="C26" s="104" t="s">
        <v>320</v>
      </c>
      <c r="D26" s="105"/>
      <c r="E26" s="67" t="s">
        <v>66</v>
      </c>
      <c r="F26" s="68">
        <v>5897</v>
      </c>
      <c r="G26" s="68">
        <v>2187</v>
      </c>
      <c r="H26" s="68"/>
      <c r="I26" s="68"/>
      <c r="J26" s="68"/>
      <c r="K26" s="68"/>
      <c r="L26" s="68"/>
      <c r="M26" s="68"/>
      <c r="N26" s="68"/>
      <c r="O26" s="68"/>
    </row>
    <row r="27" spans="1:15" ht="13.9" customHeight="1" x14ac:dyDescent="0.25">
      <c r="A27" s="104" t="s">
        <v>100</v>
      </c>
      <c r="B27" s="105"/>
      <c r="C27" s="104" t="s">
        <v>321</v>
      </c>
      <c r="D27" s="105"/>
      <c r="E27" s="67" t="s">
        <v>66</v>
      </c>
      <c r="F27" s="68">
        <v>5904</v>
      </c>
      <c r="G27" s="68">
        <v>2250</v>
      </c>
      <c r="H27" s="68"/>
      <c r="I27" s="68"/>
      <c r="J27" s="68"/>
      <c r="K27" s="68"/>
      <c r="L27" s="68"/>
      <c r="M27" s="68"/>
      <c r="N27" s="68"/>
      <c r="O27" s="68"/>
    </row>
    <row r="28" spans="1:15" ht="13.9" customHeight="1" x14ac:dyDescent="0.25">
      <c r="A28" s="104" t="s">
        <v>102</v>
      </c>
      <c r="B28" s="105"/>
      <c r="C28" s="104" t="s">
        <v>322</v>
      </c>
      <c r="D28" s="105"/>
      <c r="E28" s="67" t="s">
        <v>66</v>
      </c>
      <c r="F28" s="68">
        <v>5950</v>
      </c>
      <c r="G28" s="68">
        <v>2050</v>
      </c>
      <c r="H28" s="68"/>
      <c r="I28" s="68"/>
      <c r="J28" s="68"/>
      <c r="K28" s="68"/>
      <c r="L28" s="68"/>
      <c r="M28" s="68"/>
      <c r="N28" s="68"/>
      <c r="O28" s="68"/>
    </row>
    <row r="29" spans="1:15" ht="13.9" customHeight="1" x14ac:dyDescent="0.25">
      <c r="A29" s="104" t="s">
        <v>104</v>
      </c>
      <c r="B29" s="105"/>
      <c r="C29" s="104" t="s">
        <v>323</v>
      </c>
      <c r="D29" s="105"/>
      <c r="E29" s="67" t="s">
        <v>66</v>
      </c>
      <c r="F29" s="68">
        <v>6010</v>
      </c>
      <c r="G29" s="68">
        <v>2069</v>
      </c>
      <c r="H29" s="68"/>
      <c r="I29" s="68"/>
      <c r="J29" s="68"/>
      <c r="K29" s="68"/>
      <c r="L29" s="68"/>
      <c r="M29" s="68"/>
      <c r="N29" s="68"/>
      <c r="O29" s="68"/>
    </row>
    <row r="31" spans="1:15" ht="22.5" x14ac:dyDescent="0.25">
      <c r="A31" t="s">
        <v>78</v>
      </c>
      <c r="B31" s="8">
        <f>CellCount_Viability!A7</f>
        <v>46273</v>
      </c>
      <c r="F31" s="87" t="s">
        <v>185</v>
      </c>
      <c r="G31" s="87" t="s">
        <v>186</v>
      </c>
      <c r="H31" s="67"/>
      <c r="I31" s="67"/>
      <c r="J31" s="67"/>
      <c r="K31" s="67"/>
      <c r="L31" s="67"/>
      <c r="M31" s="67"/>
      <c r="N31" s="67"/>
      <c r="O31" s="67"/>
    </row>
    <row r="32" spans="1:15" ht="13.9" customHeight="1" x14ac:dyDescent="0.25">
      <c r="A32" s="104" t="s">
        <v>106</v>
      </c>
      <c r="B32" s="105"/>
      <c r="C32" s="104" t="s">
        <v>316</v>
      </c>
      <c r="D32" s="105"/>
      <c r="E32" s="67" t="s">
        <v>66</v>
      </c>
      <c r="F32" s="68">
        <v>4908</v>
      </c>
      <c r="G32" s="68">
        <v>1780</v>
      </c>
      <c r="H32" s="68"/>
      <c r="I32" s="68"/>
      <c r="J32" s="68"/>
      <c r="K32" s="68"/>
      <c r="L32" s="68"/>
      <c r="M32" s="68"/>
      <c r="N32" s="68"/>
      <c r="O32" s="68"/>
    </row>
    <row r="33" spans="1:15" ht="13.9" customHeight="1" x14ac:dyDescent="0.25">
      <c r="A33" s="104" t="s">
        <v>108</v>
      </c>
      <c r="B33" s="105"/>
      <c r="C33" s="104" t="s">
        <v>317</v>
      </c>
      <c r="D33" s="105"/>
      <c r="E33" s="67" t="s">
        <v>66</v>
      </c>
      <c r="F33" s="68">
        <v>4980</v>
      </c>
      <c r="G33" s="68">
        <v>1689</v>
      </c>
      <c r="H33" s="68"/>
      <c r="I33" s="68"/>
      <c r="J33" s="68"/>
      <c r="K33" s="68"/>
      <c r="L33" s="68"/>
      <c r="M33" s="68"/>
      <c r="N33" s="68"/>
      <c r="O33" s="68"/>
    </row>
    <row r="34" spans="1:15" ht="13.9" customHeight="1" x14ac:dyDescent="0.25">
      <c r="A34" s="104" t="s">
        <v>110</v>
      </c>
      <c r="B34" s="105"/>
      <c r="C34" s="104" t="s">
        <v>318</v>
      </c>
      <c r="D34" s="105"/>
      <c r="E34" s="67" t="s">
        <v>66</v>
      </c>
      <c r="F34" s="68">
        <v>4789</v>
      </c>
      <c r="G34" s="68">
        <v>1980</v>
      </c>
      <c r="H34" s="68"/>
      <c r="I34" s="68"/>
      <c r="J34" s="68"/>
      <c r="K34" s="68"/>
      <c r="L34" s="68"/>
      <c r="M34" s="68"/>
      <c r="N34" s="68"/>
      <c r="O34" s="68"/>
    </row>
    <row r="35" spans="1:15" ht="13.9" customHeight="1" x14ac:dyDescent="0.25">
      <c r="A35" s="104" t="s">
        <v>112</v>
      </c>
      <c r="B35" s="105"/>
      <c r="C35" s="104" t="s">
        <v>319</v>
      </c>
      <c r="D35" s="105"/>
      <c r="E35" s="67" t="s">
        <v>66</v>
      </c>
      <c r="F35" s="68">
        <v>4684</v>
      </c>
      <c r="G35" s="68">
        <v>1850</v>
      </c>
      <c r="H35" s="68"/>
      <c r="I35" s="68"/>
      <c r="J35" s="68"/>
      <c r="K35" s="68"/>
      <c r="L35" s="68"/>
      <c r="M35" s="68"/>
      <c r="N35" s="68"/>
      <c r="O35" s="68"/>
    </row>
    <row r="37" spans="1:15" ht="22.5" x14ac:dyDescent="0.25">
      <c r="A37" t="s">
        <v>79</v>
      </c>
      <c r="B37" s="8">
        <f>CellCount_Viability!A8</f>
        <v>46274</v>
      </c>
      <c r="F37" s="87" t="s">
        <v>185</v>
      </c>
      <c r="G37" s="87" t="s">
        <v>186</v>
      </c>
      <c r="H37" s="67"/>
      <c r="I37" s="67"/>
      <c r="J37" s="67"/>
      <c r="K37" s="67"/>
      <c r="L37" s="67"/>
      <c r="M37" s="67"/>
      <c r="N37" s="67"/>
      <c r="O37" s="67"/>
    </row>
    <row r="38" spans="1:15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3580</v>
      </c>
      <c r="G38" s="68">
        <v>1540</v>
      </c>
      <c r="H38" s="68"/>
      <c r="I38" s="68"/>
      <c r="J38" s="68"/>
      <c r="K38" s="68"/>
      <c r="L38" s="68"/>
      <c r="M38" s="68"/>
      <c r="N38" s="68"/>
      <c r="O38" s="68"/>
    </row>
    <row r="39" spans="1:15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3498</v>
      </c>
      <c r="G39" s="68">
        <v>1650</v>
      </c>
      <c r="H39" s="68"/>
      <c r="I39" s="68"/>
      <c r="J39" s="68"/>
      <c r="K39" s="68"/>
      <c r="L39" s="68"/>
      <c r="M39" s="68"/>
      <c r="N39" s="68"/>
      <c r="O39" s="68"/>
    </row>
    <row r="40" spans="1:15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3684</v>
      </c>
      <c r="G40" s="68">
        <v>1570</v>
      </c>
      <c r="H40" s="68"/>
      <c r="I40" s="68"/>
      <c r="J40" s="68"/>
      <c r="K40" s="68"/>
      <c r="L40" s="68"/>
      <c r="M40" s="68"/>
      <c r="N40" s="68"/>
      <c r="O40" s="68"/>
    </row>
    <row r="41" spans="1:15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3648</v>
      </c>
      <c r="G41" s="68">
        <v>1823</v>
      </c>
      <c r="H41" s="68"/>
      <c r="I41" s="68"/>
      <c r="J41" s="68"/>
      <c r="K41" s="68"/>
      <c r="L41" s="68"/>
      <c r="M41" s="68"/>
      <c r="N41" s="68"/>
      <c r="O41" s="68"/>
    </row>
    <row r="43" spans="1:15" ht="22.5" x14ac:dyDescent="0.25">
      <c r="A43" t="s">
        <v>80</v>
      </c>
      <c r="B43" s="8">
        <f>CellCount_Viability!A9</f>
        <v>46275</v>
      </c>
      <c r="F43" s="67" t="s">
        <v>73</v>
      </c>
      <c r="G43" s="67" t="s">
        <v>55</v>
      </c>
      <c r="H43" s="67"/>
      <c r="I43" s="67"/>
      <c r="J43" s="67"/>
      <c r="K43" s="67"/>
      <c r="L43" s="67"/>
      <c r="M43" s="67"/>
      <c r="N43" s="67"/>
      <c r="O43" s="67"/>
    </row>
    <row r="44" spans="1:15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2870</v>
      </c>
      <c r="G44" s="68">
        <v>1380</v>
      </c>
      <c r="H44" s="68"/>
      <c r="I44" s="68"/>
      <c r="J44" s="68"/>
      <c r="K44" s="68"/>
      <c r="L44" s="68"/>
      <c r="M44" s="68"/>
      <c r="N44" s="68"/>
      <c r="O44" s="68"/>
    </row>
    <row r="45" spans="1:15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2687</v>
      </c>
      <c r="G45" s="68">
        <v>1408</v>
      </c>
      <c r="H45" s="68"/>
      <c r="I45" s="68"/>
      <c r="J45" s="68"/>
      <c r="K45" s="68"/>
      <c r="L45" s="68"/>
      <c r="M45" s="68"/>
      <c r="N45" s="68"/>
      <c r="O45" s="68"/>
    </row>
    <row r="46" spans="1:15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2450</v>
      </c>
      <c r="G46" s="68">
        <v>1570</v>
      </c>
      <c r="H46" s="68"/>
      <c r="I46" s="68"/>
      <c r="J46" s="68"/>
      <c r="K46" s="68"/>
      <c r="L46" s="68"/>
      <c r="M46" s="68"/>
      <c r="N46" s="68"/>
      <c r="O46" s="68"/>
    </row>
    <row r="47" spans="1:15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2498</v>
      </c>
      <c r="G47" s="68">
        <v>1350</v>
      </c>
      <c r="H47" s="68"/>
      <c r="I47" s="68"/>
      <c r="J47" s="68"/>
      <c r="K47" s="68"/>
      <c r="L47" s="68"/>
      <c r="M47" s="68"/>
      <c r="N47" s="68"/>
      <c r="O47" s="68"/>
    </row>
    <row r="49" spans="1:15" ht="22.5" x14ac:dyDescent="0.25">
      <c r="A49" t="s">
        <v>81</v>
      </c>
      <c r="B49" s="8">
        <f>CellCount_Viability!A10</f>
        <v>46276</v>
      </c>
      <c r="F49" s="67" t="s">
        <v>73</v>
      </c>
      <c r="G49" s="67" t="s">
        <v>55</v>
      </c>
      <c r="H49" s="67"/>
      <c r="I49" s="67"/>
      <c r="J49" s="67"/>
      <c r="K49" s="67"/>
      <c r="L49" s="67"/>
      <c r="M49" s="67"/>
      <c r="N49" s="67"/>
      <c r="O49" s="67"/>
    </row>
    <row r="50" spans="1:15" x14ac:dyDescent="0.25">
      <c r="A50" s="104" t="s">
        <v>114</v>
      </c>
      <c r="B50" s="105"/>
      <c r="C50" s="104" t="s">
        <v>181</v>
      </c>
      <c r="D50" s="105"/>
      <c r="E50" s="67" t="s">
        <v>66</v>
      </c>
      <c r="F50" s="68">
        <v>2198</v>
      </c>
      <c r="G50" s="68">
        <v>1150</v>
      </c>
      <c r="H50" s="68"/>
      <c r="I50" s="68"/>
      <c r="J50" s="68"/>
      <c r="K50" s="68"/>
      <c r="L50" s="68"/>
      <c r="M50" s="68"/>
      <c r="N50" s="68"/>
      <c r="O50" s="68"/>
    </row>
    <row r="51" spans="1:15" x14ac:dyDescent="0.25">
      <c r="A51" s="104" t="s">
        <v>116</v>
      </c>
      <c r="B51" s="105"/>
      <c r="C51" s="104" t="s">
        <v>182</v>
      </c>
      <c r="D51" s="105"/>
      <c r="E51" s="67" t="s">
        <v>66</v>
      </c>
      <c r="F51" s="68">
        <v>2204</v>
      </c>
      <c r="G51" s="68">
        <v>1080</v>
      </c>
      <c r="H51" s="68"/>
      <c r="I51" s="68"/>
      <c r="J51" s="68"/>
      <c r="K51" s="68"/>
      <c r="L51" s="68"/>
      <c r="M51" s="68"/>
      <c r="N51" s="68"/>
      <c r="O51" s="68"/>
    </row>
    <row r="52" spans="1:15" x14ac:dyDescent="0.25">
      <c r="A52" s="104" t="s">
        <v>118</v>
      </c>
      <c r="B52" s="105"/>
      <c r="C52" s="104" t="s">
        <v>183</v>
      </c>
      <c r="D52" s="105"/>
      <c r="E52" s="67" t="s">
        <v>66</v>
      </c>
      <c r="F52" s="68">
        <v>2190</v>
      </c>
      <c r="G52" s="68">
        <v>1308</v>
      </c>
      <c r="H52" s="68"/>
      <c r="I52" s="68"/>
      <c r="J52" s="68"/>
      <c r="K52" s="68"/>
      <c r="L52" s="68"/>
      <c r="M52" s="68"/>
      <c r="N52" s="68"/>
      <c r="O52" s="68"/>
    </row>
    <row r="53" spans="1:15" x14ac:dyDescent="0.25">
      <c r="A53" s="104" t="s">
        <v>120</v>
      </c>
      <c r="B53" s="105"/>
      <c r="C53" s="104" t="s">
        <v>184</v>
      </c>
      <c r="D53" s="105"/>
      <c r="E53" s="67" t="s">
        <v>66</v>
      </c>
      <c r="F53" s="68">
        <v>2250</v>
      </c>
      <c r="G53" s="68">
        <v>1255</v>
      </c>
      <c r="H53" s="68"/>
      <c r="I53" s="68"/>
      <c r="J53" s="68"/>
      <c r="K53" s="68"/>
      <c r="L53" s="68"/>
      <c r="M53" s="68"/>
      <c r="N53" s="68"/>
      <c r="O53" s="68"/>
    </row>
    <row r="55" spans="1:15" ht="22.5" x14ac:dyDescent="0.25">
      <c r="A55" t="s">
        <v>137</v>
      </c>
      <c r="B55" s="8">
        <f>CellCount_Viability!A11</f>
        <v>46277</v>
      </c>
      <c r="F55" s="67" t="s">
        <v>73</v>
      </c>
      <c r="G55" s="67" t="s">
        <v>55</v>
      </c>
      <c r="H55" s="67"/>
      <c r="I55" s="67"/>
      <c r="J55" s="67"/>
      <c r="K55" s="67"/>
      <c r="L55" s="67"/>
      <c r="M55" s="67"/>
      <c r="N55" s="67"/>
      <c r="O55" s="67"/>
    </row>
    <row r="56" spans="1:15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1680</v>
      </c>
      <c r="G56" s="68">
        <v>874</v>
      </c>
      <c r="H56" s="68"/>
      <c r="I56" s="68"/>
      <c r="J56" s="68"/>
      <c r="K56" s="68"/>
      <c r="L56" s="68"/>
      <c r="M56" s="68"/>
      <c r="N56" s="68"/>
      <c r="O56" s="68"/>
    </row>
    <row r="57" spans="1:15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1860</v>
      </c>
      <c r="G57" s="68">
        <v>869</v>
      </c>
      <c r="H57" s="68"/>
      <c r="I57" s="68"/>
      <c r="J57" s="68"/>
      <c r="K57" s="68"/>
      <c r="L57" s="68"/>
      <c r="M57" s="68"/>
      <c r="N57" s="68"/>
      <c r="O57" s="68"/>
    </row>
    <row r="58" spans="1:15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1580</v>
      </c>
      <c r="G58" s="68">
        <v>798</v>
      </c>
      <c r="H58" s="68"/>
      <c r="I58" s="68"/>
      <c r="J58" s="68"/>
      <c r="K58" s="68"/>
      <c r="L58" s="68"/>
      <c r="M58" s="68"/>
      <c r="N58" s="68"/>
      <c r="O58" s="68"/>
    </row>
    <row r="59" spans="1:15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1560</v>
      </c>
      <c r="G59" s="68">
        <v>846</v>
      </c>
      <c r="H59" s="68"/>
      <c r="I59" s="68"/>
      <c r="J59" s="68"/>
      <c r="K59" s="68"/>
      <c r="L59" s="68"/>
      <c r="M59" s="68"/>
      <c r="N59" s="68"/>
      <c r="O59" s="68"/>
    </row>
    <row r="61" spans="1:15" ht="22.5" x14ac:dyDescent="0.25">
      <c r="A61" t="s">
        <v>138</v>
      </c>
      <c r="B61" s="8">
        <f>CellCount_Viability!A12</f>
        <v>46278</v>
      </c>
      <c r="F61" s="67" t="s">
        <v>73</v>
      </c>
      <c r="G61" s="67" t="s">
        <v>55</v>
      </c>
      <c r="H61" s="67"/>
      <c r="I61" s="67"/>
      <c r="J61" s="67"/>
      <c r="K61" s="67"/>
      <c r="L61" s="67"/>
      <c r="M61" s="67"/>
      <c r="N61" s="67"/>
      <c r="O61" s="67"/>
    </row>
    <row r="62" spans="1:15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1280</v>
      </c>
      <c r="G62" s="68">
        <v>685</v>
      </c>
      <c r="H62" s="68"/>
      <c r="I62" s="68"/>
      <c r="J62" s="68"/>
      <c r="K62" s="68"/>
      <c r="L62" s="68"/>
      <c r="M62" s="68"/>
      <c r="N62" s="68"/>
      <c r="O62" s="68"/>
    </row>
    <row r="63" spans="1:15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1187</v>
      </c>
      <c r="G63" s="68">
        <v>648</v>
      </c>
      <c r="H63" s="68"/>
      <c r="I63" s="68"/>
      <c r="J63" s="68"/>
      <c r="K63" s="68"/>
      <c r="L63" s="68"/>
      <c r="M63" s="68"/>
      <c r="N63" s="68"/>
      <c r="O63" s="68"/>
    </row>
    <row r="64" spans="1:15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1265</v>
      </c>
      <c r="G64" s="68">
        <v>687</v>
      </c>
      <c r="H64" s="68"/>
      <c r="I64" s="68"/>
      <c r="J64" s="68"/>
      <c r="K64" s="68"/>
      <c r="L64" s="68"/>
      <c r="M64" s="68"/>
      <c r="N64" s="68"/>
      <c r="O64" s="68"/>
    </row>
    <row r="65" spans="1:15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1186</v>
      </c>
      <c r="G65" s="68">
        <v>684</v>
      </c>
      <c r="H65" s="68"/>
      <c r="I65" s="68"/>
      <c r="J65" s="68"/>
      <c r="K65" s="68"/>
      <c r="L65" s="68"/>
      <c r="M65" s="68"/>
      <c r="N65" s="68"/>
      <c r="O65" s="68"/>
    </row>
    <row r="67" spans="1:15" ht="22.5" x14ac:dyDescent="0.25">
      <c r="A67" t="s">
        <v>139</v>
      </c>
      <c r="B67" s="8">
        <f>CellCount_Viability!A13</f>
        <v>0</v>
      </c>
      <c r="F67" s="67" t="s">
        <v>73</v>
      </c>
      <c r="G67" s="67" t="s">
        <v>55</v>
      </c>
      <c r="H67" s="67"/>
      <c r="I67" s="67"/>
      <c r="J67" s="67"/>
      <c r="K67" s="67"/>
      <c r="L67" s="67"/>
      <c r="M67" s="67"/>
      <c r="N67" s="67"/>
      <c r="O67" s="67"/>
    </row>
    <row r="68" spans="1:15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/>
      <c r="I68" s="68"/>
      <c r="J68" s="68"/>
      <c r="K68" s="68"/>
      <c r="L68" s="68"/>
      <c r="M68" s="68"/>
      <c r="N68" s="68"/>
      <c r="O68" s="68"/>
    </row>
    <row r="69" spans="1:15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/>
      <c r="I69" s="68"/>
      <c r="J69" s="68"/>
      <c r="K69" s="68"/>
      <c r="L69" s="68"/>
      <c r="M69" s="68"/>
      <c r="N69" s="68"/>
      <c r="O69" s="68"/>
    </row>
    <row r="70" spans="1:15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/>
      <c r="I70" s="68"/>
      <c r="J70" s="68"/>
      <c r="K70" s="68"/>
      <c r="L70" s="68"/>
      <c r="M70" s="68"/>
      <c r="N70" s="68"/>
      <c r="O70" s="68"/>
    </row>
    <row r="71" spans="1:15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/>
      <c r="I71" s="68"/>
      <c r="J71" s="68"/>
      <c r="K71" s="68"/>
      <c r="L71" s="68"/>
      <c r="M71" s="68"/>
      <c r="N71" s="68"/>
      <c r="O71" s="68"/>
    </row>
    <row r="73" spans="1:15" ht="22.5" x14ac:dyDescent="0.25">
      <c r="A73" t="s">
        <v>140</v>
      </c>
      <c r="B73" s="8">
        <f>CellCount_Viability!A14</f>
        <v>0</v>
      </c>
      <c r="F73" s="67" t="s">
        <v>73</v>
      </c>
      <c r="G73" s="67" t="s">
        <v>55</v>
      </c>
      <c r="H73" s="67"/>
      <c r="I73" s="67"/>
      <c r="J73" s="67"/>
      <c r="K73" s="67"/>
      <c r="L73" s="67"/>
      <c r="M73" s="67"/>
      <c r="N73" s="67"/>
      <c r="O73" s="67"/>
    </row>
    <row r="74" spans="1:15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/>
      <c r="I74" s="68"/>
      <c r="J74" s="68"/>
      <c r="K74" s="68"/>
      <c r="L74" s="68"/>
      <c r="M74" s="68"/>
      <c r="N74" s="68"/>
      <c r="O74" s="68"/>
    </row>
    <row r="75" spans="1:15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/>
      <c r="I75" s="68"/>
      <c r="J75" s="68"/>
      <c r="K75" s="68"/>
      <c r="L75" s="68"/>
      <c r="M75" s="68"/>
      <c r="N75" s="68"/>
      <c r="O75" s="68"/>
    </row>
    <row r="76" spans="1:15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/>
      <c r="I76" s="68"/>
      <c r="J76" s="68"/>
      <c r="K76" s="68"/>
      <c r="L76" s="68"/>
      <c r="M76" s="68"/>
      <c r="N76" s="68"/>
      <c r="O76" s="68"/>
    </row>
    <row r="77" spans="1:15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/>
      <c r="I77" s="68"/>
      <c r="J77" s="68"/>
      <c r="K77" s="68"/>
      <c r="L77" s="68"/>
      <c r="M77" s="68"/>
      <c r="N77" s="68"/>
      <c r="O77" s="68"/>
    </row>
    <row r="79" spans="1:15" ht="22.5" x14ac:dyDescent="0.25">
      <c r="A79" t="s">
        <v>141</v>
      </c>
      <c r="B79" s="8">
        <f>CellCount_Viability!A15</f>
        <v>0</v>
      </c>
      <c r="F79" s="67" t="s">
        <v>73</v>
      </c>
      <c r="G79" s="67" t="s">
        <v>55</v>
      </c>
      <c r="H79" s="67"/>
      <c r="I79" s="67"/>
      <c r="J79" s="67"/>
      <c r="K79" s="67"/>
      <c r="L79" s="67"/>
      <c r="M79" s="67"/>
      <c r="N79" s="67"/>
      <c r="O79" s="67"/>
    </row>
    <row r="80" spans="1:15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/>
      <c r="I80" s="68"/>
      <c r="J80" s="68"/>
      <c r="K80" s="68"/>
      <c r="L80" s="68"/>
      <c r="M80" s="68"/>
      <c r="N80" s="68"/>
      <c r="O80" s="68"/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/>
      <c r="I81" s="68"/>
      <c r="J81" s="68"/>
      <c r="K81" s="68"/>
      <c r="L81" s="68"/>
      <c r="M81" s="68"/>
      <c r="N81" s="68"/>
      <c r="O81" s="68"/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/>
      <c r="I82" s="68"/>
      <c r="J82" s="68"/>
      <c r="K82" s="68"/>
      <c r="L82" s="68"/>
      <c r="M82" s="68"/>
      <c r="N82" s="68"/>
      <c r="O82" s="68"/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/>
      <c r="I83" s="68"/>
      <c r="J83" s="68"/>
      <c r="K83" s="68"/>
      <c r="L83" s="68"/>
      <c r="M83" s="68"/>
      <c r="N83" s="68"/>
      <c r="O83" s="68"/>
    </row>
    <row r="85" spans="1:15" ht="22.5" x14ac:dyDescent="0.25">
      <c r="A85" t="s">
        <v>142</v>
      </c>
      <c r="B85" s="8">
        <f>CellCount_Viability!A16</f>
        <v>0</v>
      </c>
      <c r="F85" s="67" t="s">
        <v>73</v>
      </c>
      <c r="G85" s="67" t="s">
        <v>55</v>
      </c>
      <c r="H85" s="67"/>
      <c r="I85" s="67"/>
      <c r="J85" s="67"/>
      <c r="K85" s="67"/>
      <c r="L85" s="67"/>
      <c r="M85" s="67"/>
      <c r="N85" s="67"/>
      <c r="O85" s="67"/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/>
      <c r="I86" s="68"/>
      <c r="J86" s="68"/>
      <c r="K86" s="68"/>
      <c r="L86" s="68"/>
      <c r="M86" s="68"/>
      <c r="N86" s="68"/>
      <c r="O86" s="68"/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/>
      <c r="I87" s="68"/>
      <c r="J87" s="68"/>
      <c r="K87" s="68"/>
      <c r="L87" s="68"/>
      <c r="M87" s="68"/>
      <c r="N87" s="68"/>
      <c r="O87" s="68"/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/>
      <c r="I88" s="68"/>
      <c r="J88" s="68"/>
      <c r="K88" s="68"/>
      <c r="L88" s="68"/>
      <c r="M88" s="68"/>
      <c r="N88" s="68"/>
      <c r="O88" s="68"/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/>
      <c r="I89" s="68"/>
      <c r="J89" s="68"/>
      <c r="K89" s="68"/>
      <c r="L89" s="68"/>
      <c r="M89" s="68"/>
      <c r="N89" s="68"/>
      <c r="O89" s="68"/>
    </row>
    <row r="91" spans="1:15" ht="22.5" x14ac:dyDescent="0.25">
      <c r="A91" t="s">
        <v>143</v>
      </c>
      <c r="B91" s="8">
        <f>CellCount_Viability!A17</f>
        <v>0</v>
      </c>
      <c r="F91" s="67" t="s">
        <v>73</v>
      </c>
      <c r="G91" s="67" t="s">
        <v>55</v>
      </c>
      <c r="H91" s="67"/>
      <c r="I91" s="67"/>
      <c r="J91" s="67"/>
      <c r="K91" s="67"/>
      <c r="L91" s="67"/>
      <c r="M91" s="67"/>
      <c r="N91" s="67"/>
      <c r="O91" s="67"/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/>
      <c r="I92" s="68"/>
      <c r="J92" s="68"/>
      <c r="K92" s="68"/>
      <c r="L92" s="68"/>
      <c r="M92" s="68"/>
      <c r="N92" s="68"/>
      <c r="O92" s="68"/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/>
      <c r="I93" s="68"/>
      <c r="J93" s="68"/>
      <c r="K93" s="68"/>
      <c r="L93" s="68"/>
      <c r="M93" s="68"/>
      <c r="N93" s="68"/>
      <c r="O93" s="68"/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/>
      <c r="I94" s="68"/>
      <c r="J94" s="68"/>
      <c r="K94" s="68"/>
      <c r="L94" s="68"/>
      <c r="M94" s="68"/>
      <c r="N94" s="68"/>
      <c r="O94" s="68"/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/>
      <c r="I95" s="68"/>
      <c r="J95" s="68"/>
      <c r="K95" s="68"/>
      <c r="L95" s="68"/>
      <c r="M95" s="68"/>
      <c r="N95" s="68"/>
      <c r="O95" s="68"/>
    </row>
    <row r="97" spans="1:15" ht="22.5" x14ac:dyDescent="0.25">
      <c r="A97" t="s">
        <v>144</v>
      </c>
      <c r="B97" s="8">
        <f>CellCount_Viability!A18</f>
        <v>0</v>
      </c>
      <c r="F97" s="67" t="s">
        <v>73</v>
      </c>
      <c r="G97" s="67" t="s">
        <v>55</v>
      </c>
      <c r="H97" s="67"/>
      <c r="I97" s="67"/>
      <c r="J97" s="67"/>
      <c r="K97" s="67"/>
      <c r="L97" s="67"/>
      <c r="M97" s="67"/>
      <c r="N97" s="67"/>
      <c r="O97" s="67"/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/>
      <c r="I98" s="68"/>
      <c r="J98" s="68"/>
      <c r="K98" s="68"/>
      <c r="L98" s="68"/>
      <c r="M98" s="68"/>
      <c r="N98" s="68"/>
      <c r="O98" s="68"/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/>
      <c r="I99" s="68"/>
      <c r="J99" s="68"/>
      <c r="K99" s="68"/>
      <c r="L99" s="68"/>
      <c r="M99" s="68"/>
      <c r="N99" s="68"/>
      <c r="O99" s="68"/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/>
      <c r="I100" s="68"/>
      <c r="J100" s="68"/>
      <c r="K100" s="68"/>
      <c r="L100" s="68"/>
      <c r="M100" s="68"/>
      <c r="N100" s="68"/>
      <c r="O100" s="68"/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/>
      <c r="I101" s="68"/>
      <c r="J101" s="68"/>
      <c r="K101" s="68"/>
      <c r="L101" s="68"/>
      <c r="M101" s="68"/>
      <c r="N101" s="68"/>
      <c r="O101" s="68"/>
    </row>
    <row r="103" spans="1:15" ht="22.5" x14ac:dyDescent="0.25">
      <c r="A103" t="s">
        <v>145</v>
      </c>
      <c r="B103" s="8">
        <f>CellCount_Viability!A19</f>
        <v>0</v>
      </c>
      <c r="F103" s="67" t="s">
        <v>73</v>
      </c>
      <c r="G103" s="67" t="s">
        <v>55</v>
      </c>
      <c r="H103" s="67"/>
      <c r="I103" s="67"/>
      <c r="J103" s="67"/>
      <c r="K103" s="67"/>
      <c r="L103" s="67"/>
      <c r="M103" s="67"/>
      <c r="N103" s="67"/>
      <c r="O103" s="67"/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/>
      <c r="I104" s="68"/>
      <c r="J104" s="68"/>
      <c r="K104" s="68"/>
      <c r="L104" s="68"/>
      <c r="M104" s="68"/>
      <c r="N104" s="68"/>
      <c r="O104" s="68"/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/>
      <c r="I105" s="68"/>
      <c r="J105" s="68"/>
      <c r="K105" s="68"/>
      <c r="L105" s="68"/>
      <c r="M105" s="68"/>
      <c r="N105" s="68"/>
      <c r="O105" s="68"/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/>
      <c r="I106" s="68"/>
      <c r="J106" s="68"/>
      <c r="K106" s="68"/>
      <c r="L106" s="68"/>
      <c r="M106" s="68"/>
      <c r="N106" s="68"/>
      <c r="O106" s="68"/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/>
      <c r="I107" s="68"/>
      <c r="J107" s="68"/>
      <c r="K107" s="68"/>
      <c r="L107" s="68"/>
      <c r="M107" s="68"/>
      <c r="N107" s="68"/>
      <c r="O107" s="68"/>
    </row>
    <row r="109" spans="1:15" ht="22.5" x14ac:dyDescent="0.25">
      <c r="A109" t="s">
        <v>146</v>
      </c>
      <c r="B109" s="8">
        <f>CellCount_Viability!A20</f>
        <v>0</v>
      </c>
      <c r="F109" s="67" t="s">
        <v>73</v>
      </c>
      <c r="G109" s="67" t="s">
        <v>55</v>
      </c>
      <c r="H109" s="67"/>
      <c r="I109" s="67"/>
      <c r="J109" s="67"/>
      <c r="K109" s="67"/>
      <c r="L109" s="67"/>
      <c r="M109" s="67"/>
      <c r="N109" s="67"/>
      <c r="O109" s="67"/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/>
      <c r="I110" s="68"/>
      <c r="J110" s="68"/>
      <c r="K110" s="68"/>
      <c r="L110" s="68"/>
      <c r="M110" s="68"/>
      <c r="N110" s="68"/>
      <c r="O110" s="68"/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/>
      <c r="I111" s="68"/>
      <c r="J111" s="68"/>
      <c r="K111" s="68"/>
      <c r="L111" s="68"/>
      <c r="M111" s="68"/>
      <c r="N111" s="68"/>
      <c r="O111" s="68"/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/>
      <c r="I112" s="68"/>
      <c r="J112" s="68"/>
      <c r="K112" s="68"/>
      <c r="L112" s="68"/>
      <c r="M112" s="68"/>
      <c r="N112" s="68"/>
      <c r="O112" s="68"/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/>
      <c r="I113" s="68"/>
      <c r="J113" s="68"/>
      <c r="K113" s="68"/>
      <c r="L113" s="68"/>
      <c r="M113" s="68"/>
      <c r="N113" s="68"/>
      <c r="O113" s="68"/>
    </row>
    <row r="115" spans="1:15" ht="22.5" x14ac:dyDescent="0.25">
      <c r="A115" t="s">
        <v>147</v>
      </c>
      <c r="B115" s="8">
        <f>CellCount_Viability!A21</f>
        <v>0</v>
      </c>
      <c r="F115" s="67" t="s">
        <v>73</v>
      </c>
      <c r="G115" s="67" t="s">
        <v>55</v>
      </c>
      <c r="H115" s="67"/>
      <c r="I115" s="67"/>
      <c r="J115" s="67"/>
      <c r="K115" s="67"/>
      <c r="L115" s="67"/>
      <c r="M115" s="67"/>
      <c r="N115" s="67"/>
      <c r="O115" s="67"/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/>
      <c r="I116" s="68"/>
      <c r="J116" s="68"/>
      <c r="K116" s="68"/>
      <c r="L116" s="68"/>
      <c r="M116" s="68"/>
      <c r="N116" s="68"/>
      <c r="O116" s="68"/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/>
      <c r="I117" s="68"/>
      <c r="J117" s="68"/>
      <c r="K117" s="68"/>
      <c r="L117" s="68"/>
      <c r="M117" s="68"/>
      <c r="N117" s="68"/>
      <c r="O117" s="68"/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/>
      <c r="I118" s="68"/>
      <c r="J118" s="68"/>
      <c r="K118" s="68"/>
      <c r="L118" s="68"/>
      <c r="M118" s="68"/>
      <c r="N118" s="68"/>
      <c r="O118" s="68"/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/>
      <c r="I119" s="68"/>
      <c r="J119" s="68"/>
      <c r="K119" s="68"/>
      <c r="L119" s="68"/>
      <c r="M119" s="68"/>
      <c r="N119" s="68"/>
      <c r="O119" s="68"/>
    </row>
  </sheetData>
  <mergeCells count="162">
    <mergeCell ref="A2:B2"/>
    <mergeCell ref="C2:D2"/>
    <mergeCell ref="A3:B3"/>
    <mergeCell ref="C3:D3"/>
    <mergeCell ref="A4:B4"/>
    <mergeCell ref="C4:D4"/>
    <mergeCell ref="A9:B9"/>
    <mergeCell ref="C9:D9"/>
    <mergeCell ref="A10:B10"/>
    <mergeCell ref="C10:D10"/>
    <mergeCell ref="A11:B11"/>
    <mergeCell ref="C11:D11"/>
    <mergeCell ref="A5:B5"/>
    <mergeCell ref="C5:D5"/>
    <mergeCell ref="A6:B6"/>
    <mergeCell ref="C6:D6"/>
    <mergeCell ref="A8:B8"/>
    <mergeCell ref="C8:D8"/>
    <mergeCell ref="A17:B17"/>
    <mergeCell ref="C17:D17"/>
    <mergeCell ref="A20:B20"/>
    <mergeCell ref="C20:D20"/>
    <mergeCell ref="A21:B21"/>
    <mergeCell ref="C21:D21"/>
    <mergeCell ref="A14:B14"/>
    <mergeCell ref="C14:D14"/>
    <mergeCell ref="A15:B15"/>
    <mergeCell ref="C15:D15"/>
    <mergeCell ref="A16:B16"/>
    <mergeCell ref="C16:D16"/>
    <mergeCell ref="A27:B27"/>
    <mergeCell ref="C27:D27"/>
    <mergeCell ref="A28:B28"/>
    <mergeCell ref="C28:D28"/>
    <mergeCell ref="A29:B29"/>
    <mergeCell ref="C29:D29"/>
    <mergeCell ref="A22:B22"/>
    <mergeCell ref="C22:D22"/>
    <mergeCell ref="A23:B23"/>
    <mergeCell ref="C23:D23"/>
    <mergeCell ref="A26:B26"/>
    <mergeCell ref="C26:D26"/>
    <mergeCell ref="A35:B35"/>
    <mergeCell ref="C35:D35"/>
    <mergeCell ref="A38:B38"/>
    <mergeCell ref="C38:D38"/>
    <mergeCell ref="A39:B39"/>
    <mergeCell ref="C39:D39"/>
    <mergeCell ref="A32:B32"/>
    <mergeCell ref="C32:D32"/>
    <mergeCell ref="A33:B33"/>
    <mergeCell ref="C33:D33"/>
    <mergeCell ref="A34:B34"/>
    <mergeCell ref="C34:D34"/>
    <mergeCell ref="A45:B45"/>
    <mergeCell ref="C45:D45"/>
    <mergeCell ref="A46:B46"/>
    <mergeCell ref="C46:D46"/>
    <mergeCell ref="A47:B47"/>
    <mergeCell ref="C47:D47"/>
    <mergeCell ref="A40:B40"/>
    <mergeCell ref="C40:D40"/>
    <mergeCell ref="A41:B41"/>
    <mergeCell ref="C41:D41"/>
    <mergeCell ref="A44:B44"/>
    <mergeCell ref="C44:D44"/>
    <mergeCell ref="A53:B53"/>
    <mergeCell ref="C53:D53"/>
    <mergeCell ref="A56:B56"/>
    <mergeCell ref="C56:D56"/>
    <mergeCell ref="A57:B57"/>
    <mergeCell ref="C57:D57"/>
    <mergeCell ref="A50:B50"/>
    <mergeCell ref="C50:D50"/>
    <mergeCell ref="A51:B51"/>
    <mergeCell ref="C51:D51"/>
    <mergeCell ref="A52:B52"/>
    <mergeCell ref="C52:D52"/>
    <mergeCell ref="A63:B63"/>
    <mergeCell ref="C63:D63"/>
    <mergeCell ref="A64:B64"/>
    <mergeCell ref="C64:D64"/>
    <mergeCell ref="A65:B65"/>
    <mergeCell ref="C65:D65"/>
    <mergeCell ref="A58:B58"/>
    <mergeCell ref="C58:D58"/>
    <mergeCell ref="A59:B59"/>
    <mergeCell ref="C59:D59"/>
    <mergeCell ref="A62:B62"/>
    <mergeCell ref="C62:D62"/>
    <mergeCell ref="A71:B71"/>
    <mergeCell ref="C71:D71"/>
    <mergeCell ref="A74:B74"/>
    <mergeCell ref="C74:D74"/>
    <mergeCell ref="A75:B75"/>
    <mergeCell ref="C75:D75"/>
    <mergeCell ref="A68:B68"/>
    <mergeCell ref="C68:D68"/>
    <mergeCell ref="A69:B69"/>
    <mergeCell ref="C69:D69"/>
    <mergeCell ref="A70:B70"/>
    <mergeCell ref="C70:D70"/>
    <mergeCell ref="A81:B81"/>
    <mergeCell ref="C81:D81"/>
    <mergeCell ref="A82:B82"/>
    <mergeCell ref="C82:D82"/>
    <mergeCell ref="A83:B83"/>
    <mergeCell ref="C83:D83"/>
    <mergeCell ref="A76:B76"/>
    <mergeCell ref="C76:D76"/>
    <mergeCell ref="A77:B77"/>
    <mergeCell ref="C77:D77"/>
    <mergeCell ref="A80:B80"/>
    <mergeCell ref="C80:D80"/>
    <mergeCell ref="A89:B89"/>
    <mergeCell ref="C89:D89"/>
    <mergeCell ref="A92:B92"/>
    <mergeCell ref="C92:D92"/>
    <mergeCell ref="A93:B93"/>
    <mergeCell ref="C93:D93"/>
    <mergeCell ref="A86:B86"/>
    <mergeCell ref="C86:D86"/>
    <mergeCell ref="A87:B87"/>
    <mergeCell ref="C87:D87"/>
    <mergeCell ref="A88:B88"/>
    <mergeCell ref="C88:D88"/>
    <mergeCell ref="A99:B99"/>
    <mergeCell ref="C99:D99"/>
    <mergeCell ref="A100:B100"/>
    <mergeCell ref="C100:D100"/>
    <mergeCell ref="A101:B101"/>
    <mergeCell ref="C101:D101"/>
    <mergeCell ref="A94:B94"/>
    <mergeCell ref="C94:D94"/>
    <mergeCell ref="A95:B95"/>
    <mergeCell ref="C95:D95"/>
    <mergeCell ref="A98:B98"/>
    <mergeCell ref="C98:D98"/>
    <mergeCell ref="A107:B107"/>
    <mergeCell ref="C107:D107"/>
    <mergeCell ref="A110:B110"/>
    <mergeCell ref="C110:D110"/>
    <mergeCell ref="A111:B111"/>
    <mergeCell ref="C111:D111"/>
    <mergeCell ref="A104:B104"/>
    <mergeCell ref="C104:D104"/>
    <mergeCell ref="A105:B105"/>
    <mergeCell ref="C105:D105"/>
    <mergeCell ref="A106:B106"/>
    <mergeCell ref="C106:D106"/>
    <mergeCell ref="A117:B117"/>
    <mergeCell ref="C117:D117"/>
    <mergeCell ref="A118:B118"/>
    <mergeCell ref="C118:D118"/>
    <mergeCell ref="A119:B119"/>
    <mergeCell ref="C119:D119"/>
    <mergeCell ref="A112:B112"/>
    <mergeCell ref="C112:D112"/>
    <mergeCell ref="A113:B113"/>
    <mergeCell ref="C113:D113"/>
    <mergeCell ref="A116:B116"/>
    <mergeCell ref="C116:D1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3533-2364-4C67-A7E8-A4E273F31165}">
  <sheetPr codeName="Sheet11"/>
  <dimension ref="A1:AA21"/>
  <sheetViews>
    <sheetView zoomScale="70" zoomScaleNormal="70" workbookViewId="0">
      <selection activeCell="P43" sqref="P43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bestFit="1" customWidth="1"/>
    <col min="4" max="4" width="17" bestFit="1" customWidth="1"/>
    <col min="5" max="5" width="16.85546875" customWidth="1"/>
    <col min="6" max="6" width="14.140625" bestFit="1" customWidth="1"/>
    <col min="7" max="7" width="14.5703125" bestFit="1" customWidth="1"/>
    <col min="8" max="8" width="14.140625" bestFit="1" customWidth="1"/>
    <col min="9" max="9" width="14.7109375" bestFit="1" customWidth="1"/>
    <col min="10" max="10" width="17" bestFit="1" customWidth="1"/>
    <col min="11" max="11" width="14" bestFit="1" customWidth="1"/>
    <col min="12" max="12" width="14.140625" bestFit="1" customWidth="1"/>
    <col min="13" max="13" width="14.5703125" bestFit="1" customWidth="1"/>
    <col min="14" max="14" width="14.140625" bestFit="1" customWidth="1"/>
    <col min="15" max="15" width="14.7109375" bestFit="1" customWidth="1"/>
    <col min="16" max="16" width="22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9.42578125" bestFit="1" customWidth="1"/>
    <col min="25" max="25" width="19.85546875" bestFit="1" customWidth="1"/>
    <col min="26" max="26" width="19.42578125" bestFit="1" customWidth="1"/>
    <col min="27" max="27" width="19" bestFit="1" customWidth="1"/>
  </cols>
  <sheetData>
    <row r="1" spans="1:27" ht="15.75" thickBot="1" x14ac:dyDescent="0.3">
      <c r="A1" s="64" t="s">
        <v>0</v>
      </c>
      <c r="B1" s="65" t="s">
        <v>1</v>
      </c>
      <c r="C1" s="65" t="s">
        <v>2</v>
      </c>
      <c r="D1" s="66" t="s">
        <v>293</v>
      </c>
      <c r="E1" s="66" t="s">
        <v>294</v>
      </c>
      <c r="F1" s="66" t="s">
        <v>295</v>
      </c>
      <c r="G1" s="66" t="s">
        <v>296</v>
      </c>
      <c r="H1" s="66" t="s">
        <v>297</v>
      </c>
      <c r="I1" s="66" t="s">
        <v>162</v>
      </c>
      <c r="J1" s="66" t="s">
        <v>298</v>
      </c>
      <c r="K1" s="66" t="s">
        <v>299</v>
      </c>
      <c r="L1" s="66" t="s">
        <v>300</v>
      </c>
      <c r="M1" s="66" t="s">
        <v>301</v>
      </c>
      <c r="N1" s="66" t="s">
        <v>302</v>
      </c>
      <c r="O1" s="66" t="s">
        <v>166</v>
      </c>
      <c r="P1" s="66" t="s">
        <v>303</v>
      </c>
      <c r="Q1" s="66" t="s">
        <v>304</v>
      </c>
      <c r="R1" s="66" t="s">
        <v>305</v>
      </c>
      <c r="S1" s="66" t="s">
        <v>306</v>
      </c>
      <c r="T1" s="66" t="s">
        <v>307</v>
      </c>
      <c r="U1" s="66" t="s">
        <v>195</v>
      </c>
      <c r="V1" s="66" t="s">
        <v>308</v>
      </c>
      <c r="W1" s="66" t="s">
        <v>309</v>
      </c>
      <c r="X1" s="66" t="s">
        <v>310</v>
      </c>
      <c r="Y1" s="66" t="s">
        <v>311</v>
      </c>
      <c r="Z1" s="66" t="s">
        <v>312</v>
      </c>
      <c r="AA1" s="66" t="s">
        <v>199</v>
      </c>
    </row>
    <row r="2" spans="1:27" ht="15.75" thickTop="1" x14ac:dyDescent="0.25">
      <c r="A2" s="8">
        <f>CellCount_Viability!A2</f>
        <v>46268</v>
      </c>
      <c r="B2" s="69">
        <f>C2*24</f>
        <v>0</v>
      </c>
      <c r="C2" s="63">
        <f t="shared" ref="C2:C13" si="0">IF(NOT(A2=0),A2-$A$2,"")</f>
        <v>0</v>
      </c>
      <c r="D2">
        <f>AVERAGE(HPLC_raw!J2:J3)</f>
        <v>26.395318363345332</v>
      </c>
      <c r="E2">
        <f>AVERAGE(HPLC_raw!K2:K3)</f>
        <v>87.112841742761532</v>
      </c>
      <c r="F2">
        <f>AVERAGE(HPLC_raw!L2:L3)</f>
        <v>20.024022787837112</v>
      </c>
      <c r="G2">
        <f>AVERAGE(HPLC_raw!M2:M3)</f>
        <v>7.6354279387186708</v>
      </c>
      <c r="H2">
        <f>AVERAGE(HPLC_raw!N2:N3)</f>
        <v>0</v>
      </c>
      <c r="I2">
        <f>AVERAGE(HPLC_raw!O2:O3)</f>
        <v>0.63064303791340182</v>
      </c>
      <c r="J2">
        <f>AVERAGE(HPLC_raw!J4:J5)</f>
        <v>27.409750433649336</v>
      </c>
      <c r="K2">
        <f>AVERAGE(HPLC_raw!K4:K5)</f>
        <v>85.490495820688153</v>
      </c>
      <c r="L2">
        <f>AVERAGE(HPLC_raw!L4:L5)</f>
        <v>20.163631642326322</v>
      </c>
      <c r="M2">
        <f>AVERAGE(HPLC_raw!M4:M5)</f>
        <v>7.8494338021462404</v>
      </c>
      <c r="N2">
        <f>AVERAGE(HPLC_raw!N4:N5)</f>
        <v>0</v>
      </c>
      <c r="O2">
        <f>AVERAGE(HPLC_raw!O4:O5)</f>
        <v>0.3</v>
      </c>
      <c r="P2">
        <f>STDEV(HPLC_raw!J2:J3)</f>
        <v>1.0641096889600579</v>
      </c>
      <c r="Q2">
        <f>STDEV(HPLC_raw!K2:K3)</f>
        <v>0.22421941138702314</v>
      </c>
      <c r="R2">
        <f>STDEV(HPLC_raw!L2:L3)</f>
        <v>1.024272397978268</v>
      </c>
      <c r="S2">
        <f>STDEV(HPLC_raw!M2:M3)</f>
        <v>0.23598620907107393</v>
      </c>
      <c r="T2">
        <f>STDEV(HPLC_raw!N2:N3)</f>
        <v>0</v>
      </c>
      <c r="U2">
        <f>STDEV(HPLC_raw!O2:O3)</f>
        <v>0.1847571560467553</v>
      </c>
      <c r="V2">
        <f>STDEV(HPLC_raw!J4:J5)</f>
        <v>2.4883572798522727E-2</v>
      </c>
      <c r="W2">
        <f>STDEV(HPLC_raw!K4:K5)</f>
        <v>2.9344499145842287</v>
      </c>
      <c r="X2">
        <f>STDEV(HPLC_raw!L4:L5)</f>
        <v>0.72084691779713583</v>
      </c>
      <c r="Y2">
        <f>STDEV(HPLC_raw!M4:M5)</f>
        <v>2.7284247568509081E-2</v>
      </c>
      <c r="Z2">
        <f>STDEV(HPLC_raw!N4:N5)</f>
        <v>0</v>
      </c>
      <c r="AA2">
        <f>STDEV(HPLC_raw!O4:O5)</f>
        <v>0.28284271247461906</v>
      </c>
    </row>
    <row r="3" spans="1:27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AVERAGE(HPLC_raw!J8:J9)</f>
        <v>24.795929932294332</v>
      </c>
      <c r="E3">
        <f>AVERAGE(HPLC_raw!K8:K9)</f>
        <v>76.5</v>
      </c>
      <c r="F3">
        <f>AVERAGE(HPLC_raw!L8:L9)</f>
        <v>14.894666460981304</v>
      </c>
      <c r="G3">
        <f>AVERAGE(HPLC_raw!M8:M9)</f>
        <v>6.186113410695893</v>
      </c>
      <c r="H3">
        <f>AVERAGE(HPLC_raw!N8:N9)</f>
        <v>0.44634277382437937</v>
      </c>
      <c r="I3">
        <f>AVERAGE(HPLC_raw!O8:O9)</f>
        <v>4.6500000000000004</v>
      </c>
      <c r="J3">
        <f>AVERAGE(HPLC_raw!J10:J11)</f>
        <v>25.654638112920637</v>
      </c>
      <c r="K3">
        <f>AVERAGE(HPLC_raw!K10:K11)</f>
        <v>69.5</v>
      </c>
      <c r="L3">
        <f>AVERAGE(HPLC_raw!L10:L11)</f>
        <v>14.998513092831903</v>
      </c>
      <c r="M3">
        <f>AVERAGE(HPLC_raw!M10:M11)</f>
        <v>6.3594978696079636</v>
      </c>
      <c r="N3">
        <f>AVERAGE(HPLC_raw!N10:N11)</f>
        <v>0.44948997628449561</v>
      </c>
      <c r="O3">
        <f>AVERAGE(HPLC_raw!O10:O11)</f>
        <v>4.8499999999999996</v>
      </c>
      <c r="P3">
        <f>STDEV(HPLC_raw!J8:J9)</f>
        <v>0.33988551842266818</v>
      </c>
      <c r="Q3">
        <f>STDEV(HPLC_raw!K8:K9)</f>
        <v>2.1213203435596424</v>
      </c>
      <c r="R3">
        <f>STDEV(HPLC_raw!L8:L9)</f>
        <v>0.76189464498325654</v>
      </c>
      <c r="S3">
        <f>STDEV(HPLC_raw!M8:M9)</f>
        <v>0.19119261741324622</v>
      </c>
      <c r="T3">
        <f>STDEV(HPLC_raw!N8:N9)</f>
        <v>2.7697418705936151E-2</v>
      </c>
      <c r="U3">
        <f>STDEV(HPLC_raw!O8:O9)</f>
        <v>0.21213203435596412</v>
      </c>
      <c r="V3">
        <f>STDEV(HPLC_raw!J10:J11)</f>
        <v>9.2670899029716047E-3</v>
      </c>
      <c r="W3">
        <f>STDEV(HPLC_raw!K10:K11)</f>
        <v>0.70710678118654757</v>
      </c>
      <c r="X3">
        <f>STDEV(HPLC_raw!L10:L11)</f>
        <v>0.5361946759537477</v>
      </c>
      <c r="Y3">
        <f>STDEV(HPLC_raw!M10:M11)</f>
        <v>2.2105303217964792E-2</v>
      </c>
      <c r="Z3">
        <f>STDEV(HPLC_raw!N10:N11)</f>
        <v>1.2221704399322372E-2</v>
      </c>
      <c r="AA3">
        <f>STDEV(HPLC_raw!O10:O11)</f>
        <v>7.0710678118655126E-2</v>
      </c>
    </row>
    <row r="4" spans="1:27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AVERAGE(HPLC_raw!J14:J15)</f>
        <v>20.29964907297142</v>
      </c>
      <c r="E4">
        <f>AVERAGE(HPLC_raw!K14:K15)</f>
        <v>66.5</v>
      </c>
      <c r="F4">
        <f>AVERAGE(HPLC_raw!L14:L15)</f>
        <v>14.149933137932237</v>
      </c>
      <c r="G4">
        <f>AVERAGE(HPLC_raw!M14:M15)</f>
        <v>5.8768077401610981</v>
      </c>
      <c r="H4">
        <f>AVERAGE(HPLC_raw!N14:N15)</f>
        <v>0.42402563513316044</v>
      </c>
      <c r="I4">
        <f>AVERAGE(HPLC_raw!O14:O15)</f>
        <v>22.05</v>
      </c>
      <c r="J4">
        <f>AVERAGE(HPLC_raw!J16:J17)</f>
        <v>21.687294856621403</v>
      </c>
      <c r="K4">
        <f>AVERAGE(HPLC_raw!K16:K17)</f>
        <v>63</v>
      </c>
      <c r="L4">
        <f>AVERAGE(HPLC_raw!L16:L17)</f>
        <v>14.248587438190306</v>
      </c>
      <c r="M4">
        <f>AVERAGE(HPLC_raw!M16:M17)</f>
        <v>6.0415229761275659</v>
      </c>
      <c r="N4">
        <f>AVERAGE(HPLC_raw!N16:N17)</f>
        <v>0.4270154774702708</v>
      </c>
      <c r="O4">
        <f>AVERAGE(HPLC_raw!O16:O17)</f>
        <v>21.25</v>
      </c>
      <c r="P4">
        <f>STDEV(HPLC_raw!J14:J15)</f>
        <v>0.44199435780983182</v>
      </c>
      <c r="Q4">
        <f>STDEV(HPLC_raw!K14:K15)</f>
        <v>2.1213203435596424</v>
      </c>
      <c r="R4">
        <f>STDEV(HPLC_raw!L14:L15)</f>
        <v>0.72379991273409505</v>
      </c>
      <c r="S4">
        <f>STDEV(HPLC_raw!M14:M15)</f>
        <v>0.18163298654258467</v>
      </c>
      <c r="T4">
        <f>STDEV(HPLC_raw!N14:N15)</f>
        <v>2.6312547770639374E-2</v>
      </c>
      <c r="U4">
        <f>STDEV(HPLC_raw!O14:O15)</f>
        <v>7.0710678118655765E-2</v>
      </c>
      <c r="V4">
        <f>STDEV(HPLC_raw!J16:J17)</f>
        <v>1.6529704636877767</v>
      </c>
      <c r="W4">
        <f>STDEV(HPLC_raw!K16:K17)</f>
        <v>1.4142135623730951</v>
      </c>
      <c r="X4">
        <f>STDEV(HPLC_raw!L16:L17)</f>
        <v>0.50938494215605967</v>
      </c>
      <c r="Y4">
        <f>STDEV(HPLC_raw!M16:M17)</f>
        <v>2.1000038057066458E-2</v>
      </c>
      <c r="Z4">
        <f>STDEV(HPLC_raw!N16:N17)</f>
        <v>1.1610619179356253E-2</v>
      </c>
      <c r="AA4">
        <f>STDEV(HPLC_raw!O16:O17)</f>
        <v>0.35355339059327379</v>
      </c>
    </row>
    <row r="5" spans="1:27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AVERAGE(HPLC_raw!J20:J21)</f>
        <v>13.224794516389029</v>
      </c>
      <c r="E5">
        <f>AVERAGE(HPLC_raw!K20:K21)</f>
        <v>47.5</v>
      </c>
      <c r="F5">
        <f>AVERAGE(HPLC_raw!L20:L21)</f>
        <v>2.1500000000000004</v>
      </c>
      <c r="G5">
        <f>AVERAGE(HPLC_raw!M20:M21)</f>
        <v>2.2999999999999998</v>
      </c>
      <c r="H5">
        <f>AVERAGE(HPLC_raw!N20:N21)</f>
        <v>1.5083307529237651</v>
      </c>
      <c r="I5">
        <f>AVERAGE(HPLC_raw!O20:O21)</f>
        <v>28.5</v>
      </c>
      <c r="J5">
        <f>AVERAGE(HPLC_raw!J22:J23)</f>
        <v>13.369501427875853</v>
      </c>
      <c r="K5">
        <f>AVERAGE(HPLC_raw!K22:K23)</f>
        <v>46</v>
      </c>
      <c r="L5">
        <f>AVERAGE(HPLC_raw!L22:L23)</f>
        <v>2.25</v>
      </c>
      <c r="M5">
        <f>AVERAGE(HPLC_raw!M22:M23)</f>
        <v>2.4</v>
      </c>
      <c r="N5">
        <f>AVERAGE(HPLC_raw!N22:N23)</f>
        <v>1.5189661267545023</v>
      </c>
      <c r="O5">
        <f>AVERAGE(HPLC_raw!O22:O23)</f>
        <v>27.7</v>
      </c>
      <c r="P5">
        <f>STDEV(HPLC_raw!J20:J21)</f>
        <v>1.2046561102075533</v>
      </c>
      <c r="Q5">
        <f>STDEV(HPLC_raw!K20:K21)</f>
        <v>0.70710678118654757</v>
      </c>
      <c r="R5">
        <f>STDEV(HPLC_raw!L20:L21)</f>
        <v>7.0710678118654821E-2</v>
      </c>
      <c r="S5">
        <f>STDEV(HPLC_raw!M20:M21)</f>
        <v>0.28284271247461895</v>
      </c>
      <c r="T5">
        <f>STDEV(HPLC_raw!N20:N21)</f>
        <v>9.3598173557991146E-2</v>
      </c>
      <c r="U5">
        <f>STDEV(HPLC_raw!O20:O21)</f>
        <v>0.70710678118654757</v>
      </c>
      <c r="V5">
        <f>STDEV(HPLC_raw!J22:J23)</f>
        <v>4.5957806543681097E-2</v>
      </c>
      <c r="W5">
        <f>STDEV(HPLC_raw!K22:K23)</f>
        <v>1.4142135623730951</v>
      </c>
      <c r="X5">
        <f>STDEV(HPLC_raw!L22:L23)</f>
        <v>0.35355339059327379</v>
      </c>
      <c r="Y5">
        <f>STDEV(HPLC_raw!M22:M23)</f>
        <v>0.14142135623730964</v>
      </c>
      <c r="Z5">
        <f>STDEV(HPLC_raw!N22:N23)</f>
        <v>4.1300932108054828E-2</v>
      </c>
      <c r="AA5">
        <f>STDEV(HPLC_raw!O22:O23)</f>
        <v>0.28284271247461801</v>
      </c>
    </row>
    <row r="6" spans="1:27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AVERAGE(HPLC_raw!J26:J27)</f>
        <v>7.0990219279978355</v>
      </c>
      <c r="E6">
        <f>AVERAGE(HPLC_raw!K26:K27)</f>
        <v>30.5</v>
      </c>
      <c r="F6">
        <f>AVERAGE(HPLC_raw!L26:L27)</f>
        <v>0</v>
      </c>
      <c r="G6">
        <f>AVERAGE(HPLC_raw!M26:M27)</f>
        <v>1</v>
      </c>
      <c r="H6">
        <f>AVERAGE(HPLC_raw!N26:N27)</f>
        <v>1.9700646568800195</v>
      </c>
      <c r="I6">
        <f>AVERAGE(HPLC_raw!O26:O27)</f>
        <v>34.950000000000003</v>
      </c>
      <c r="J6">
        <f>AVERAGE(HPLC_raw!J28:J29)</f>
        <v>7.2795283760472831</v>
      </c>
      <c r="K6">
        <f>AVERAGE(HPLC_raw!K28:K29)</f>
        <v>31.5</v>
      </c>
      <c r="L6">
        <f>AVERAGE(HPLC_raw!L28:L29)</f>
        <v>0</v>
      </c>
      <c r="M6">
        <f>AVERAGE(HPLC_raw!M28:M29)</f>
        <v>1.25</v>
      </c>
      <c r="N6">
        <f>AVERAGE(HPLC_raw!N28:N29)</f>
        <v>1.9839557573936357</v>
      </c>
      <c r="O6">
        <f>AVERAGE(HPLC_raw!O28:O29)</f>
        <v>33.950000000000003</v>
      </c>
      <c r="P6">
        <f>STDEV(HPLC_raw!J26:J27)</f>
        <v>0.482917986564941</v>
      </c>
      <c r="Q6">
        <f>STDEV(HPLC_raw!K26:K27)</f>
        <v>0.70710678118654757</v>
      </c>
      <c r="R6">
        <f>STDEV(HPLC_raw!L26:L27)</f>
        <v>0</v>
      </c>
      <c r="S6">
        <f>STDEV(HPLC_raw!M26:M27)</f>
        <v>0.14142135623730953</v>
      </c>
      <c r="T6">
        <f>STDEV(HPLC_raw!N26:N27)</f>
        <v>0.12225067566758029</v>
      </c>
      <c r="U6">
        <f>STDEV(HPLC_raw!O26:O27)</f>
        <v>7.0710678118655765E-2</v>
      </c>
      <c r="V6">
        <f>STDEV(HPLC_raw!J28:J29)</f>
        <v>0.2837716185488427</v>
      </c>
      <c r="W6">
        <f>STDEV(HPLC_raw!K28:K29)</f>
        <v>0.70710678118654757</v>
      </c>
      <c r="X6">
        <f>STDEV(HPLC_raw!L28:L29)</f>
        <v>0</v>
      </c>
      <c r="Y6">
        <f>STDEV(HPLC_raw!M28:M29)</f>
        <v>0.35355339059327379</v>
      </c>
      <c r="Z6">
        <f>STDEV(HPLC_raw!N28:N29)</f>
        <v>5.3944074590112488E-2</v>
      </c>
      <c r="AA6">
        <f>STDEV(HPLC_raw!O28:O29)</f>
        <v>0.63639610306789174</v>
      </c>
    </row>
    <row r="7" spans="1:27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AVERAGE(HPLC_raw!J32:J33)</f>
        <v>4.3032421494959445</v>
      </c>
      <c r="E7">
        <f>AVERAGE(HPLC_raw!K32:K33)</f>
        <v>17</v>
      </c>
      <c r="F7">
        <f>AVERAGE(HPLC_raw!L32:L33)</f>
        <v>0</v>
      </c>
      <c r="G7">
        <f>AVERAGE(HPLC_raw!M32:M33)</f>
        <v>0</v>
      </c>
      <c r="H7">
        <f>AVERAGE(HPLC_raw!N32:N33)</f>
        <v>2.2573657526750228</v>
      </c>
      <c r="I7">
        <f>AVERAGE(HPLC_raw!O32:O33)</f>
        <v>51.4</v>
      </c>
      <c r="J7">
        <f>AVERAGE(HPLC_raw!J34:J35)</f>
        <v>4.4900483629569283</v>
      </c>
      <c r="K7">
        <f>AVERAGE(HPLC_raw!K34:K35)</f>
        <v>16.5</v>
      </c>
      <c r="L7">
        <f>AVERAGE(HPLC_raw!L34:L35)</f>
        <v>0</v>
      </c>
      <c r="M7">
        <f>AVERAGE(HPLC_raw!M34:M35)</f>
        <v>0</v>
      </c>
      <c r="N7">
        <f>AVERAGE(HPLC_raw!N34:N35)</f>
        <v>2.2732826386802083</v>
      </c>
      <c r="O7">
        <f>AVERAGE(HPLC_raw!O34:O35)</f>
        <v>51.25</v>
      </c>
      <c r="P7">
        <f>STDEV(HPLC_raw!J32:J33)</f>
        <v>2.8693837292548437E-2</v>
      </c>
      <c r="Q7">
        <f>STDEV(HPLC_raw!K32:K33)</f>
        <v>2.8284271247461903</v>
      </c>
      <c r="R7">
        <f>STDEV(HPLC_raw!L32:L33)</f>
        <v>0</v>
      </c>
      <c r="S7">
        <f>STDEV(HPLC_raw!M32:M33)</f>
        <v>0</v>
      </c>
      <c r="T7">
        <f>STDEV(HPLC_raw!N32:N33)</f>
        <v>0.14007889920243599</v>
      </c>
      <c r="U7">
        <f>STDEV(HPLC_raw!O32:O33)</f>
        <v>0.56568542494923602</v>
      </c>
      <c r="V7">
        <f>STDEV(HPLC_raw!J34:J35)</f>
        <v>0.17904932148455788</v>
      </c>
      <c r="W7">
        <f>STDEV(HPLC_raw!K34:K35)</f>
        <v>2.1213203435596424</v>
      </c>
      <c r="X7">
        <f>STDEV(HPLC_raw!L34:L35)</f>
        <v>0</v>
      </c>
      <c r="Y7">
        <f>STDEV(HPLC_raw!M34:M35)</f>
        <v>0</v>
      </c>
      <c r="Z7">
        <f>STDEV(HPLC_raw!N34:N35)</f>
        <v>6.1810918801170546E-2</v>
      </c>
      <c r="AA7">
        <f>STDEV(HPLC_raw!O34:O35)</f>
        <v>1.0606601717798212</v>
      </c>
    </row>
    <row r="8" spans="1:27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AVERAGE(HPLC_raw!J38:J39)</f>
        <v>3.5706198813003587</v>
      </c>
      <c r="E8">
        <f>AVERAGE(HPLC_raw!K38:K39)</f>
        <v>4.3499999999999996</v>
      </c>
      <c r="F8">
        <f>AVERAGE(HPLC_raw!L38:L39)</f>
        <v>0</v>
      </c>
      <c r="G8">
        <f>AVERAGE(HPLC_raw!M38:M39)</f>
        <v>0</v>
      </c>
      <c r="H8">
        <f>AVERAGE(HPLC_raw!N38:N39)</f>
        <v>2.5036238347850244</v>
      </c>
      <c r="I8">
        <f>AVERAGE(HPLC_raw!O38:O39)</f>
        <v>55.3</v>
      </c>
      <c r="J8">
        <f>AVERAGE(HPLC_raw!J40:J41)</f>
        <v>3.8718960757531198</v>
      </c>
      <c r="K8">
        <f>AVERAGE(HPLC_raw!K40:K41)</f>
        <v>4.0999999999999996</v>
      </c>
      <c r="L8">
        <f>AVERAGE(HPLC_raw!L40:L41)</f>
        <v>0</v>
      </c>
      <c r="M8">
        <f>AVERAGE(HPLC_raw!M40:M41)</f>
        <v>0</v>
      </c>
      <c r="N8">
        <f>AVERAGE(HPLC_raw!N40:N41)</f>
        <v>2.5212771083544121</v>
      </c>
      <c r="O8">
        <f>AVERAGE(HPLC_raw!O40:O41)</f>
        <v>54.95</v>
      </c>
      <c r="P8">
        <f>STDEV(HPLC_raw!J38:J39)</f>
        <v>6.9411191327173702E-2</v>
      </c>
      <c r="Q8">
        <f>STDEV(HPLC_raw!K38:K39)</f>
        <v>0.21213203435596412</v>
      </c>
      <c r="R8">
        <f>STDEV(HPLC_raw!L38:L39)</f>
        <v>0</v>
      </c>
      <c r="S8">
        <f>STDEV(HPLC_raw!M38:M39)</f>
        <v>0</v>
      </c>
      <c r="T8">
        <f>STDEV(HPLC_raw!N38:N39)</f>
        <v>0.15536023366088306</v>
      </c>
      <c r="U8">
        <f>STDEV(HPLC_raw!O38:O39)</f>
        <v>0.42426406871192951</v>
      </c>
      <c r="V8">
        <f>STDEV(HPLC_raw!J40:J41)</f>
        <v>0.10745117248908781</v>
      </c>
      <c r="W8">
        <f>STDEV(HPLC_raw!K40:K41)</f>
        <v>0</v>
      </c>
      <c r="X8">
        <f>STDEV(HPLC_raw!L40:L41)</f>
        <v>0</v>
      </c>
      <c r="Y8">
        <f>STDEV(HPLC_raw!M40:M41)</f>
        <v>0</v>
      </c>
      <c r="Z8">
        <f>STDEV(HPLC_raw!N40:N41)</f>
        <v>6.8553928124934549E-2</v>
      </c>
      <c r="AA8">
        <f>STDEV(HPLC_raw!O40:O41)</f>
        <v>7.0710678118655765E-2</v>
      </c>
    </row>
    <row r="9" spans="1:27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AVERAGE(HPLC_raw!J44:J45)</f>
        <v>3.3748959079827876</v>
      </c>
      <c r="E9">
        <f>AVERAGE(HPLC_raw!K44:K45)</f>
        <v>3.45</v>
      </c>
      <c r="F9">
        <f>AVERAGE(HPLC_raw!L44:L45)</f>
        <v>0</v>
      </c>
      <c r="G9">
        <f>AVERAGE(HPLC_raw!M44:M45)</f>
        <v>0</v>
      </c>
      <c r="H9">
        <f>AVERAGE(HPLC_raw!N44:N45)</f>
        <v>2.5036238347850248</v>
      </c>
      <c r="I9">
        <f>AVERAGE(HPLC_raw!O44:O45)</f>
        <v>61.75</v>
      </c>
      <c r="J9">
        <f>AVERAGE(HPLC_raw!J46:J47)</f>
        <v>3.8205999051715032</v>
      </c>
      <c r="K9">
        <f>AVERAGE(HPLC_raw!K46:K47)</f>
        <v>3.3</v>
      </c>
      <c r="L9">
        <f>AVERAGE(HPLC_raw!L46:L47)</f>
        <v>0</v>
      </c>
      <c r="M9">
        <f>AVERAGE(HPLC_raw!M46:M47)</f>
        <v>0</v>
      </c>
      <c r="N9">
        <f>AVERAGE(HPLC_raw!N46:N47)</f>
        <v>2.5212771083544121</v>
      </c>
      <c r="O9">
        <f>AVERAGE(HPLC_raw!O46:O47)</f>
        <v>60.5</v>
      </c>
      <c r="P9">
        <f>STDEV(HPLC_raw!J44:J45)</f>
        <v>6.1816119233256361E-2</v>
      </c>
      <c r="Q9">
        <f>STDEV(HPLC_raw!K44:K45)</f>
        <v>7.0710678118654821E-2</v>
      </c>
      <c r="R9">
        <f>STDEV(HPLC_raw!L44:L45)</f>
        <v>0</v>
      </c>
      <c r="S9">
        <f>STDEV(HPLC_raw!M44:M45)</f>
        <v>0</v>
      </c>
      <c r="T9">
        <f>STDEV(HPLC_raw!N44:N45)</f>
        <v>0.15536023366088336</v>
      </c>
      <c r="U9">
        <f>STDEV(HPLC_raw!O44:O45)</f>
        <v>0.35355339059327379</v>
      </c>
      <c r="V9">
        <f>STDEV(HPLC_raw!J46:J47)</f>
        <v>0.1799949126234138</v>
      </c>
      <c r="W9">
        <f>STDEV(HPLC_raw!K46:K47)</f>
        <v>0.28284271247461895</v>
      </c>
      <c r="X9">
        <f>STDEV(HPLC_raw!L46:L47)</f>
        <v>0</v>
      </c>
      <c r="Y9">
        <f>STDEV(HPLC_raw!M46:M47)</f>
        <v>0</v>
      </c>
      <c r="Z9">
        <f>STDEV(HPLC_raw!N46:N47)</f>
        <v>6.8553928124934549E-2</v>
      </c>
      <c r="AA9">
        <f>STDEV(HPLC_raw!O46:O47)</f>
        <v>0</v>
      </c>
    </row>
    <row r="10" spans="1:27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AVERAGE(HPLC_raw!J50:J51)</f>
        <v>3.41296659725006</v>
      </c>
      <c r="E10">
        <f>AVERAGE(HPLC_raw!K50:K51)</f>
        <v>3.4708154615174065</v>
      </c>
      <c r="F10">
        <f>AVERAGE(HPLC_raw!L50:L51)</f>
        <v>0</v>
      </c>
      <c r="G10">
        <f>AVERAGE(HPLC_raw!M50:M51)</f>
        <v>0</v>
      </c>
      <c r="H10">
        <f>AVERAGE(HPLC_raw!N50:N51)</f>
        <v>2.5651883553125252</v>
      </c>
      <c r="I10">
        <f>AVERAGE(HPLC_raw!O50:O51)</f>
        <v>63.2</v>
      </c>
      <c r="J10">
        <f>AVERAGE(HPLC_raw!J52:J53)</f>
        <v>3.6654122733144496</v>
      </c>
      <c r="K10">
        <f>AVERAGE(HPLC_raw!K52:K53)</f>
        <v>3.4061767332012121</v>
      </c>
      <c r="L10">
        <f>AVERAGE(HPLC_raw!L52:L53)</f>
        <v>0</v>
      </c>
      <c r="M10">
        <f>AVERAGE(HPLC_raw!M52:M53)</f>
        <v>0</v>
      </c>
      <c r="N10">
        <f>AVERAGE(HPLC_raw!N52:N53)</f>
        <v>2.583275725772963</v>
      </c>
      <c r="O10">
        <f>AVERAGE(HPLC_raw!O52:O53)</f>
        <v>61.75</v>
      </c>
      <c r="P10">
        <f>STDEV(HPLC_raw!J50:J51)</f>
        <v>7.9760341425881929E-3</v>
      </c>
      <c r="Q10">
        <f>STDEV(HPLC_raw!K50:K51)</f>
        <v>8.9335186896145821E-3</v>
      </c>
      <c r="R10">
        <f>STDEV(HPLC_raw!L50:L51)</f>
        <v>0</v>
      </c>
      <c r="S10">
        <f>STDEV(HPLC_raw!M50:M51)</f>
        <v>0</v>
      </c>
      <c r="T10">
        <f>STDEV(HPLC_raw!N50:N51)</f>
        <v>0.15918056727549521</v>
      </c>
      <c r="U10">
        <f>STDEV(HPLC_raw!O50:O51)</f>
        <v>0.42426406871192951</v>
      </c>
      <c r="V10">
        <f>STDEV(HPLC_raw!J52:J53)</f>
        <v>0.10561393920725834</v>
      </c>
      <c r="W10">
        <f>STDEV(HPLC_raw!K52:K53)</f>
        <v>0.11691656397414803</v>
      </c>
      <c r="X10">
        <f>STDEV(HPLC_raw!L52:L53)</f>
        <v>0</v>
      </c>
      <c r="Y10">
        <f>STDEV(HPLC_raw!M52:M53)</f>
        <v>0</v>
      </c>
      <c r="Z10">
        <f>STDEV(HPLC_raw!N52:N53)</f>
        <v>7.0239680455875558E-2</v>
      </c>
      <c r="AA10">
        <f>STDEV(HPLC_raw!O52:O53)</f>
        <v>0.35355339059327379</v>
      </c>
    </row>
    <row r="11" spans="1:27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AVERAGE(HPLC_raw!J56:J57)</f>
        <v>3.425169533057483</v>
      </c>
      <c r="E11">
        <f>AVERAGE(HPLC_raw!K56:K57)</f>
        <v>3.3323783775822395</v>
      </c>
      <c r="F11">
        <f>AVERAGE(HPLC_raw!L56:L57)</f>
        <v>0</v>
      </c>
      <c r="G11">
        <f>AVERAGE(HPLC_raw!M56:M57)</f>
        <v>0</v>
      </c>
      <c r="H11">
        <f>AVERAGE(HPLC_raw!N56:N57)</f>
        <v>2.5549276018912752</v>
      </c>
      <c r="I11">
        <f>AVERAGE(HPLC_raw!O56:O57)</f>
        <v>65.5</v>
      </c>
      <c r="J11">
        <f>AVERAGE(HPLC_raw!J58:J59)</f>
        <v>3.3563361297125454</v>
      </c>
      <c r="K11">
        <f>AVERAGE(HPLC_raw!K58:K59)</f>
        <v>3.2703178321618473</v>
      </c>
      <c r="L11">
        <f>AVERAGE(HPLC_raw!L58:L59)</f>
        <v>0</v>
      </c>
      <c r="M11">
        <f>AVERAGE(HPLC_raw!M58:M59)</f>
        <v>0</v>
      </c>
      <c r="N11">
        <f>AVERAGE(HPLC_raw!N58:N59)</f>
        <v>2.5729426228698715</v>
      </c>
      <c r="O11">
        <f>AVERAGE(HPLC_raw!O58:O59)</f>
        <v>64.650000000000006</v>
      </c>
      <c r="P11">
        <f>STDEV(HPLC_raw!J56:J57)</f>
        <v>0.13291376164355032</v>
      </c>
      <c r="Q11">
        <f>STDEV(HPLC_raw!K56:K57)</f>
        <v>8.5771960068381659E-3</v>
      </c>
      <c r="R11">
        <f>STDEV(HPLC_raw!L56:L57)</f>
        <v>0</v>
      </c>
      <c r="S11">
        <f>STDEV(HPLC_raw!M56:M57)</f>
        <v>0</v>
      </c>
      <c r="T11">
        <f>STDEV(HPLC_raw!N56:N57)</f>
        <v>0.15854384500639329</v>
      </c>
      <c r="U11">
        <f>STDEV(HPLC_raw!O56:O57)</f>
        <v>0.70710678118654757</v>
      </c>
      <c r="V11">
        <f>STDEV(HPLC_raw!J58:J59)</f>
        <v>0.24886418619408118</v>
      </c>
      <c r="W11">
        <f>STDEV(HPLC_raw!K58:K59)</f>
        <v>0.11225322524013624</v>
      </c>
      <c r="X11">
        <f>STDEV(HPLC_raw!L58:L59)</f>
        <v>0</v>
      </c>
      <c r="Y11">
        <f>STDEV(HPLC_raw!M58:M59)</f>
        <v>0</v>
      </c>
      <c r="Z11">
        <f>STDEV(HPLC_raw!N58:N59)</f>
        <v>6.9958721734051849E-2</v>
      </c>
      <c r="AA11">
        <f>STDEV(HPLC_raw!O58:O59)</f>
        <v>0.21213203435596226</v>
      </c>
    </row>
    <row r="12" spans="1:27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AVERAGE(HPLC_raw!J62:J63)</f>
        <v>3.3299928098893021</v>
      </c>
      <c r="E12">
        <f>AVERAGE(HPLC_raw!K62:K63)</f>
        <v>3.2285505646308641</v>
      </c>
      <c r="F12">
        <f>AVERAGE(HPLC_raw!L62:L63)</f>
        <v>0</v>
      </c>
      <c r="G12">
        <f>AVERAGE(HPLC_raw!M62:M63)</f>
        <v>0</v>
      </c>
      <c r="H12">
        <f>AVERAGE(HPLC_raw!N62:N63)</f>
        <v>2.5241453416275248</v>
      </c>
      <c r="I12">
        <f>AVERAGE(HPLC_raw!O62:O63)</f>
        <v>66.75</v>
      </c>
      <c r="J12">
        <f>AVERAGE(HPLC_raw!J59:J60)</f>
        <v>3.1803625760602392</v>
      </c>
      <c r="K12">
        <f>AVERAGE(HPLC_raw!K59:K60)</f>
        <v>3.3496928489392088</v>
      </c>
      <c r="L12">
        <f>AVERAGE(HPLC_raw!L59:L60)</f>
        <v>0</v>
      </c>
      <c r="M12">
        <f>AVERAGE(HPLC_raw!M59:M60)</f>
        <v>0</v>
      </c>
      <c r="N12">
        <f>AVERAGE(HPLC_raw!N59:N60)</f>
        <v>2.5234743363285808</v>
      </c>
      <c r="O12">
        <f>AVERAGE(HPLC_raw!O59:O60)</f>
        <v>64.8</v>
      </c>
      <c r="P12">
        <f>STDEV(HPLC_raw!J62:J63)</f>
        <v>0.2675139743702209</v>
      </c>
      <c r="Q12">
        <f>STDEV(HPLC_raw!K62:K63)</f>
        <v>8.3099539947555402E-3</v>
      </c>
      <c r="R12">
        <f>STDEV(HPLC_raw!L62:L63)</f>
        <v>0</v>
      </c>
      <c r="S12">
        <f>STDEV(HPLC_raw!M62:M63)</f>
        <v>0</v>
      </c>
      <c r="T12">
        <f>STDEV(HPLC_raw!N62:N63)</f>
        <v>0.15663367819908719</v>
      </c>
      <c r="U12">
        <f>STDEV(HPLC_raw!O62:O63)</f>
        <v>7.0710678118650741E-2</v>
      </c>
      <c r="V12" t="e">
        <f>STDEV(HPLC_raw!J59:J60)</f>
        <v>#DIV/0!</v>
      </c>
      <c r="W12" t="e">
        <f>STDEV(HPLC_raw!K59:K60)</f>
        <v>#DIV/0!</v>
      </c>
      <c r="X12" t="e">
        <f>STDEV(HPLC_raw!L59:L60)</f>
        <v>#DIV/0!</v>
      </c>
      <c r="Y12" t="e">
        <f>STDEV(HPLC_raw!M59:M60)</f>
        <v>#DIV/0!</v>
      </c>
      <c r="Z12" t="e">
        <f>STDEV(HPLC_raw!N59:N60)</f>
        <v>#DIV/0!</v>
      </c>
      <c r="AA12" t="e">
        <f>STDEV(HPLC_raw!O59:O60)</f>
        <v>#DIV/0!</v>
      </c>
    </row>
    <row r="13" spans="1:27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AVERAGE(HPLC_raw!J68:J69)</f>
        <v>#N/A</v>
      </c>
      <c r="E13" t="e">
        <f>AVERAGE(HPLC_raw!K68:K69)</f>
        <v>#N/A</v>
      </c>
      <c r="F13" t="e">
        <f>AVERAGE(HPLC_raw!L68:L69)</f>
        <v>#N/A</v>
      </c>
      <c r="G13" t="e">
        <f>AVERAGE(HPLC_raw!M68:M69)</f>
        <v>#N/A</v>
      </c>
      <c r="H13" t="e">
        <f>AVERAGE(HPLC_raw!N68:N69)</f>
        <v>#N/A</v>
      </c>
      <c r="I13" t="e">
        <f>AVERAGE(HPLC_raw!O68:O69)</f>
        <v>#N/A</v>
      </c>
      <c r="J13" t="e">
        <f>AVERAGE(HPLC_raw!J70:J71)</f>
        <v>#N/A</v>
      </c>
      <c r="K13" t="e">
        <f>AVERAGE(HPLC_raw!K70:K71)</f>
        <v>#N/A</v>
      </c>
      <c r="L13" t="e">
        <f>AVERAGE(HPLC_raw!L70:L71)</f>
        <v>#N/A</v>
      </c>
      <c r="M13" t="e">
        <f>AVERAGE(HPLC_raw!M70:M71)</f>
        <v>#N/A</v>
      </c>
      <c r="N13" t="e">
        <f>AVERAGE(HPLC_raw!N70:N71)</f>
        <v>#N/A</v>
      </c>
      <c r="O13" t="e">
        <f>AVERAGE(HPLC_raw!O70:O71)</f>
        <v>#N/A</v>
      </c>
      <c r="P13" t="e">
        <f>STDEV(HPLC_raw!J68:J69)</f>
        <v>#N/A</v>
      </c>
      <c r="Q13" t="e">
        <f>STDEV(HPLC_raw!K68:K69)</f>
        <v>#N/A</v>
      </c>
      <c r="R13" t="e">
        <f>STDEV(HPLC_raw!L68:L69)</f>
        <v>#N/A</v>
      </c>
      <c r="S13" t="e">
        <f>STDEV(HPLC_raw!M68:M69)</f>
        <v>#N/A</v>
      </c>
      <c r="T13" t="e">
        <f>STDEV(HPLC_raw!N68:N69)</f>
        <v>#N/A</v>
      </c>
      <c r="U13" t="e">
        <f>STDEV(HPLC_raw!O68:O69)</f>
        <v>#N/A</v>
      </c>
      <c r="V13" t="e">
        <f>STDEV(HPLC_raw!J70:J71)</f>
        <v>#N/A</v>
      </c>
      <c r="W13" t="e">
        <f>STDEV(HPLC_raw!K70:K71)</f>
        <v>#N/A</v>
      </c>
      <c r="X13" t="e">
        <f>STDEV(HPLC_raw!L70:L71)</f>
        <v>#N/A</v>
      </c>
      <c r="Y13" t="e">
        <f>STDEV(HPLC_raw!M70:M71)</f>
        <v>#N/A</v>
      </c>
      <c r="Z13" t="e">
        <f>STDEV(HPLC_raw!N70:N71)</f>
        <v>#N/A</v>
      </c>
      <c r="AA13" t="e">
        <f>STDEV(HPLC_raw!O70:O71)</f>
        <v>#N/A</v>
      </c>
    </row>
    <row r="14" spans="1:27" x14ac:dyDescent="0.25">
      <c r="A14" s="8">
        <f>CellCount_Viability!A14</f>
        <v>0</v>
      </c>
      <c r="B14" s="69" t="e">
        <f t="shared" si="1"/>
        <v>#VALUE!</v>
      </c>
      <c r="C14" s="63" t="str">
        <f t="shared" ref="C14:C21" si="2">IF(NOT(A14=0),A14-$A$2,"")</f>
        <v/>
      </c>
      <c r="D14" t="e">
        <f>AVERAGE(HPLC_raw!J74:J75)</f>
        <v>#N/A</v>
      </c>
      <c r="E14" t="e">
        <f>AVERAGE(HPLC_raw!K74:K75)</f>
        <v>#N/A</v>
      </c>
      <c r="F14" t="e">
        <f>AVERAGE(HPLC_raw!L74:L75)</f>
        <v>#N/A</v>
      </c>
      <c r="G14" t="e">
        <f>AVERAGE(HPLC_raw!M74:M75)</f>
        <v>#N/A</v>
      </c>
      <c r="H14" t="e">
        <f>AVERAGE(HPLC_raw!N74:N75)</f>
        <v>#N/A</v>
      </c>
      <c r="I14" t="e">
        <f>AVERAGE(HPLC_raw!O74:O75)</f>
        <v>#N/A</v>
      </c>
      <c r="J14" t="e">
        <f>AVERAGE(HPLC_raw!J76:J77)</f>
        <v>#N/A</v>
      </c>
      <c r="K14" t="e">
        <f>AVERAGE(HPLC_raw!K76:K77)</f>
        <v>#N/A</v>
      </c>
      <c r="L14" t="e">
        <f>AVERAGE(HPLC_raw!L76:L77)</f>
        <v>#N/A</v>
      </c>
      <c r="M14" t="e">
        <f>AVERAGE(HPLC_raw!M76:M77)</f>
        <v>#N/A</v>
      </c>
      <c r="N14" t="e">
        <f>AVERAGE(HPLC_raw!N76:N77)</f>
        <v>#N/A</v>
      </c>
      <c r="O14" t="e">
        <f>AVERAGE(HPLC_raw!O76:O77)</f>
        <v>#N/A</v>
      </c>
      <c r="P14" t="e">
        <f>STDEV(HPLC_raw!J74:J75)</f>
        <v>#N/A</v>
      </c>
      <c r="Q14" t="e">
        <f>STDEV(HPLC_raw!K74:K75)</f>
        <v>#N/A</v>
      </c>
      <c r="R14" t="e">
        <f>STDEV(HPLC_raw!L74:L75)</f>
        <v>#N/A</v>
      </c>
      <c r="S14" t="e">
        <f>STDEV(HPLC_raw!M74:M75)</f>
        <v>#N/A</v>
      </c>
      <c r="T14" t="e">
        <f>STDEV(HPLC_raw!N74:N75)</f>
        <v>#N/A</v>
      </c>
      <c r="U14" t="e">
        <f>STDEV(HPLC_raw!O74:O75)</f>
        <v>#N/A</v>
      </c>
      <c r="V14" t="e">
        <f>STDEV(HPLC_raw!J76:J77)</f>
        <v>#N/A</v>
      </c>
      <c r="W14" t="e">
        <f>STDEV(HPLC_raw!K76:K77)</f>
        <v>#N/A</v>
      </c>
      <c r="X14" t="e">
        <f>STDEV(HPLC_raw!L76:L77)</f>
        <v>#N/A</v>
      </c>
      <c r="Y14" t="e">
        <f>STDEV(HPLC_raw!M76:M77)</f>
        <v>#N/A</v>
      </c>
      <c r="Z14" t="e">
        <f>STDEV(HPLC_raw!N76:N77)</f>
        <v>#N/A</v>
      </c>
      <c r="AA14" t="e">
        <f>STDEV(HPLC_raw!O76:O77)</f>
        <v>#N/A</v>
      </c>
    </row>
    <row r="15" spans="1:27" x14ac:dyDescent="0.25">
      <c r="A15" s="8">
        <f>CellCount_Viability!A15</f>
        <v>0</v>
      </c>
      <c r="B15" s="69" t="e">
        <f t="shared" si="1"/>
        <v>#VALUE!</v>
      </c>
      <c r="C15" s="63" t="str">
        <f t="shared" si="2"/>
        <v/>
      </c>
      <c r="D15" t="e">
        <f>AVERAGE(HPLC_raw!J80:J81)</f>
        <v>#N/A</v>
      </c>
      <c r="E15" t="e">
        <f>AVERAGE(HPLC_raw!K80:K81)</f>
        <v>#N/A</v>
      </c>
      <c r="F15" t="e">
        <f>AVERAGE(HPLC_raw!L80:L81)</f>
        <v>#N/A</v>
      </c>
      <c r="G15" t="e">
        <f>AVERAGE(HPLC_raw!M80:M81)</f>
        <v>#N/A</v>
      </c>
      <c r="H15" t="e">
        <f>AVERAGE(HPLC_raw!N80:N81)</f>
        <v>#N/A</v>
      </c>
      <c r="I15" t="e">
        <f>AVERAGE(HPLC_raw!O80:O81)</f>
        <v>#N/A</v>
      </c>
      <c r="J15" t="e">
        <f>AVERAGE(HPLC_raw!J82:J83)</f>
        <v>#N/A</v>
      </c>
      <c r="K15" t="e">
        <f>AVERAGE(HPLC_raw!K82:K83)</f>
        <v>#N/A</v>
      </c>
      <c r="L15" t="e">
        <f>AVERAGE(HPLC_raw!L82:L83)</f>
        <v>#N/A</v>
      </c>
      <c r="M15" t="e">
        <f>AVERAGE(HPLC_raw!M82:M83)</f>
        <v>#N/A</v>
      </c>
      <c r="N15" t="e">
        <f>AVERAGE(HPLC_raw!N82:N83)</f>
        <v>#N/A</v>
      </c>
      <c r="O15" t="e">
        <f>AVERAGE(HPLC_raw!O82:O83)</f>
        <v>#N/A</v>
      </c>
      <c r="P15" t="e">
        <f>STDEV(HPLC_raw!J80:J81)</f>
        <v>#N/A</v>
      </c>
      <c r="Q15" t="e">
        <f>STDEV(HPLC_raw!K80:K81)</f>
        <v>#N/A</v>
      </c>
      <c r="R15" t="e">
        <f>STDEV(HPLC_raw!L80:L81)</f>
        <v>#N/A</v>
      </c>
      <c r="S15" t="e">
        <f>STDEV(HPLC_raw!M80:M81)</f>
        <v>#N/A</v>
      </c>
      <c r="T15" t="e">
        <f>STDEV(HPLC_raw!N80:N81)</f>
        <v>#N/A</v>
      </c>
      <c r="U15" t="e">
        <f>STDEV(HPLC_raw!O80:O81)</f>
        <v>#N/A</v>
      </c>
      <c r="V15" t="e">
        <f>STDEV(HPLC_raw!J82:J83)</f>
        <v>#N/A</v>
      </c>
      <c r="W15" t="e">
        <f>STDEV(HPLC_raw!K82:K83)</f>
        <v>#N/A</v>
      </c>
      <c r="X15" t="e">
        <f>STDEV(HPLC_raw!L82:L83)</f>
        <v>#N/A</v>
      </c>
      <c r="Y15" t="e">
        <f>STDEV(HPLC_raw!M82:M83)</f>
        <v>#N/A</v>
      </c>
      <c r="Z15" t="e">
        <f>STDEV(HPLC_raw!N82:N83)</f>
        <v>#N/A</v>
      </c>
      <c r="AA15" t="e">
        <f>STDEV(HPLC_raw!O82:O83)</f>
        <v>#N/A</v>
      </c>
    </row>
    <row r="16" spans="1:27" x14ac:dyDescent="0.25">
      <c r="A16" s="8">
        <f>CellCount_Viability!A16</f>
        <v>0</v>
      </c>
      <c r="B16" s="69" t="e">
        <f t="shared" si="1"/>
        <v>#VALUE!</v>
      </c>
      <c r="C16" s="63" t="str">
        <f t="shared" si="2"/>
        <v/>
      </c>
      <c r="D16" t="e">
        <f>AVERAGE(HPLC_raw!J86:J87)</f>
        <v>#N/A</v>
      </c>
      <c r="E16" t="e">
        <f>AVERAGE(HPLC_raw!K86:K87)</f>
        <v>#N/A</v>
      </c>
      <c r="F16" t="e">
        <f>AVERAGE(HPLC_raw!L86:L87)</f>
        <v>#N/A</v>
      </c>
      <c r="G16" t="e">
        <f>AVERAGE(HPLC_raw!M86:M87)</f>
        <v>#N/A</v>
      </c>
      <c r="H16" t="e">
        <f>AVERAGE(HPLC_raw!N86:N87)</f>
        <v>#N/A</v>
      </c>
      <c r="I16" t="e">
        <f>AVERAGE(HPLC_raw!O86:O87)</f>
        <v>#N/A</v>
      </c>
      <c r="J16" t="e">
        <f>AVERAGE(HPLC_raw!J88:J89)</f>
        <v>#N/A</v>
      </c>
      <c r="K16" t="e">
        <f>AVERAGE(HPLC_raw!K88:K89)</f>
        <v>#N/A</v>
      </c>
      <c r="L16" t="e">
        <f>AVERAGE(HPLC_raw!L88:L89)</f>
        <v>#N/A</v>
      </c>
      <c r="M16" t="e">
        <f>AVERAGE(HPLC_raw!M88:M89)</f>
        <v>#N/A</v>
      </c>
      <c r="N16" t="e">
        <f>AVERAGE(HPLC_raw!N88:N89)</f>
        <v>#N/A</v>
      </c>
      <c r="O16" t="e">
        <f>AVERAGE(HPLC_raw!O88:O89)</f>
        <v>#N/A</v>
      </c>
      <c r="P16" t="e">
        <f>STDEV(HPLC_raw!J86:J87)</f>
        <v>#N/A</v>
      </c>
      <c r="Q16" t="e">
        <f>STDEV(HPLC_raw!K86:K87)</f>
        <v>#N/A</v>
      </c>
      <c r="R16" t="e">
        <f>STDEV(HPLC_raw!L86:L87)</f>
        <v>#N/A</v>
      </c>
      <c r="S16" t="e">
        <f>STDEV(HPLC_raw!M86:M87)</f>
        <v>#N/A</v>
      </c>
      <c r="T16" t="e">
        <f>STDEV(HPLC_raw!N86:N87)</f>
        <v>#N/A</v>
      </c>
      <c r="U16" t="e">
        <f>STDEV(HPLC_raw!O86:O87)</f>
        <v>#N/A</v>
      </c>
      <c r="V16" t="e">
        <f>STDEV(HPLC_raw!J88:J89)</f>
        <v>#N/A</v>
      </c>
      <c r="W16" t="e">
        <f>STDEV(HPLC_raw!K88:K89)</f>
        <v>#N/A</v>
      </c>
      <c r="X16" t="e">
        <f>STDEV(HPLC_raw!L88:L89)</f>
        <v>#N/A</v>
      </c>
      <c r="Y16" t="e">
        <f>STDEV(HPLC_raw!M88:M89)</f>
        <v>#N/A</v>
      </c>
      <c r="Z16" t="e">
        <f>STDEV(HPLC_raw!N88:N89)</f>
        <v>#N/A</v>
      </c>
      <c r="AA16" t="e">
        <f>STDEV(HPLC_raw!O88:O89)</f>
        <v>#N/A</v>
      </c>
    </row>
    <row r="17" spans="1:27" x14ac:dyDescent="0.25">
      <c r="A17" s="8">
        <f>CellCount_Viability!A17</f>
        <v>0</v>
      </c>
      <c r="B17" s="69" t="e">
        <f t="shared" si="1"/>
        <v>#VALUE!</v>
      </c>
      <c r="C17" s="63" t="str">
        <f t="shared" si="2"/>
        <v/>
      </c>
      <c r="D17" t="e">
        <f>AVERAGE(HPLC_raw!J92:J93)</f>
        <v>#N/A</v>
      </c>
      <c r="E17" t="e">
        <f>AVERAGE(HPLC_raw!K92:K93)</f>
        <v>#N/A</v>
      </c>
      <c r="F17" t="e">
        <f>AVERAGE(HPLC_raw!L92:L93)</f>
        <v>#N/A</v>
      </c>
      <c r="G17" t="e">
        <f>AVERAGE(HPLC_raw!M92:M93)</f>
        <v>#N/A</v>
      </c>
      <c r="H17" t="e">
        <f>AVERAGE(HPLC_raw!N92:N93)</f>
        <v>#N/A</v>
      </c>
      <c r="I17" t="e">
        <f>AVERAGE(HPLC_raw!O92:O93)</f>
        <v>#N/A</v>
      </c>
      <c r="J17" t="e">
        <f>AVERAGE(HPLC_raw!J94:J95)</f>
        <v>#N/A</v>
      </c>
      <c r="K17" t="e">
        <f>AVERAGE(HPLC_raw!K94:K95)</f>
        <v>#N/A</v>
      </c>
      <c r="L17" t="e">
        <f>AVERAGE(HPLC_raw!L94:L95)</f>
        <v>#N/A</v>
      </c>
      <c r="M17" t="e">
        <f>AVERAGE(HPLC_raw!M94:M95)</f>
        <v>#N/A</v>
      </c>
      <c r="N17" t="e">
        <f>AVERAGE(HPLC_raw!N94:N95)</f>
        <v>#N/A</v>
      </c>
      <c r="O17" t="e">
        <f>AVERAGE(HPLC_raw!O94:O95)</f>
        <v>#N/A</v>
      </c>
      <c r="P17" t="e">
        <f>STDEV(HPLC_raw!J92:J93)</f>
        <v>#N/A</v>
      </c>
      <c r="Q17" t="e">
        <f>STDEV(HPLC_raw!K92:K93)</f>
        <v>#N/A</v>
      </c>
      <c r="R17" t="e">
        <f>STDEV(HPLC_raw!L92:L93)</f>
        <v>#N/A</v>
      </c>
      <c r="S17" t="e">
        <f>STDEV(HPLC_raw!M92:M93)</f>
        <v>#N/A</v>
      </c>
      <c r="T17" t="e">
        <f>STDEV(HPLC_raw!N92:N93)</f>
        <v>#N/A</v>
      </c>
      <c r="U17" t="e">
        <f>STDEV(HPLC_raw!O92:O93)</f>
        <v>#N/A</v>
      </c>
      <c r="V17" t="e">
        <f>STDEV(HPLC_raw!J94:J95)</f>
        <v>#N/A</v>
      </c>
      <c r="W17" t="e">
        <f>STDEV(HPLC_raw!K94:K95)</f>
        <v>#N/A</v>
      </c>
      <c r="X17" t="e">
        <f>STDEV(HPLC_raw!L94:L95)</f>
        <v>#N/A</v>
      </c>
      <c r="Y17" t="e">
        <f>STDEV(HPLC_raw!M94:M95)</f>
        <v>#N/A</v>
      </c>
      <c r="Z17" t="e">
        <f>STDEV(HPLC_raw!N94:N95)</f>
        <v>#N/A</v>
      </c>
      <c r="AA17" t="e">
        <f>STDEV(HPLC_raw!O94:O95)</f>
        <v>#N/A</v>
      </c>
    </row>
    <row r="18" spans="1:27" x14ac:dyDescent="0.25">
      <c r="A18" s="8">
        <f>CellCount_Viability!A18</f>
        <v>0</v>
      </c>
      <c r="B18" s="69" t="e">
        <f t="shared" si="1"/>
        <v>#VALUE!</v>
      </c>
      <c r="C18" s="63" t="str">
        <f t="shared" si="2"/>
        <v/>
      </c>
      <c r="D18" t="e">
        <f>AVERAGE(HPLC_raw!J98:J99)</f>
        <v>#N/A</v>
      </c>
      <c r="E18" t="e">
        <f>AVERAGE(HPLC_raw!K98:K99)</f>
        <v>#N/A</v>
      </c>
      <c r="F18" t="e">
        <f>AVERAGE(HPLC_raw!L98:L99)</f>
        <v>#N/A</v>
      </c>
      <c r="G18" t="e">
        <f>AVERAGE(HPLC_raw!M98:M99)</f>
        <v>#N/A</v>
      </c>
      <c r="H18" t="e">
        <f>AVERAGE(HPLC_raw!N98:N99)</f>
        <v>#N/A</v>
      </c>
      <c r="I18" t="e">
        <f>AVERAGE(HPLC_raw!O98:O99)</f>
        <v>#N/A</v>
      </c>
      <c r="J18" t="e">
        <f>AVERAGE(HPLC_raw!J100:J101)</f>
        <v>#N/A</v>
      </c>
      <c r="K18" t="e">
        <f>AVERAGE(HPLC_raw!K100:K101)</f>
        <v>#N/A</v>
      </c>
      <c r="L18" t="e">
        <f>AVERAGE(HPLC_raw!L100:L101)</f>
        <v>#N/A</v>
      </c>
      <c r="M18" t="e">
        <f>AVERAGE(HPLC_raw!M100:M101)</f>
        <v>#N/A</v>
      </c>
      <c r="N18" t="e">
        <f>AVERAGE(HPLC_raw!N100:N101)</f>
        <v>#N/A</v>
      </c>
      <c r="O18" t="e">
        <f>AVERAGE(HPLC_raw!O100:O101)</f>
        <v>#N/A</v>
      </c>
      <c r="P18" t="e">
        <f>STDEV(HPLC_raw!J98:J99)</f>
        <v>#N/A</v>
      </c>
      <c r="Q18" t="e">
        <f>STDEV(HPLC_raw!K98:K99)</f>
        <v>#N/A</v>
      </c>
      <c r="R18" t="e">
        <f>STDEV(HPLC_raw!L98:L99)</f>
        <v>#N/A</v>
      </c>
      <c r="S18" t="e">
        <f>STDEV(HPLC_raw!M98:M99)</f>
        <v>#N/A</v>
      </c>
      <c r="T18" t="e">
        <f>STDEV(HPLC_raw!N98:N99)</f>
        <v>#N/A</v>
      </c>
      <c r="U18" t="e">
        <f>STDEV(HPLC_raw!O98:O99)</f>
        <v>#N/A</v>
      </c>
      <c r="V18" t="e">
        <f>STDEV(HPLC_raw!J100:J101)</f>
        <v>#N/A</v>
      </c>
      <c r="W18" t="e">
        <f>STDEV(HPLC_raw!K100:K101)</f>
        <v>#N/A</v>
      </c>
      <c r="X18" t="e">
        <f>STDEV(HPLC_raw!L100:L101)</f>
        <v>#N/A</v>
      </c>
      <c r="Y18" t="e">
        <f>STDEV(HPLC_raw!M100:M101)</f>
        <v>#N/A</v>
      </c>
      <c r="Z18" t="e">
        <f>STDEV(HPLC_raw!N100:N101)</f>
        <v>#N/A</v>
      </c>
      <c r="AA18" t="e">
        <f>STDEV(HPLC_raw!O100:O101)</f>
        <v>#N/A</v>
      </c>
    </row>
    <row r="19" spans="1:27" x14ac:dyDescent="0.25">
      <c r="A19" s="8">
        <f>CellCount_Viability!A19</f>
        <v>0</v>
      </c>
      <c r="B19" s="69" t="e">
        <f t="shared" si="1"/>
        <v>#VALUE!</v>
      </c>
      <c r="C19" s="63" t="str">
        <f t="shared" si="2"/>
        <v/>
      </c>
      <c r="D19" t="e">
        <f>AVERAGE(HPLC_raw!J104:J105)</f>
        <v>#N/A</v>
      </c>
      <c r="E19" t="e">
        <f>AVERAGE(HPLC_raw!K104:K105)</f>
        <v>#N/A</v>
      </c>
      <c r="F19" t="e">
        <f>AVERAGE(HPLC_raw!L104:L105)</f>
        <v>#N/A</v>
      </c>
      <c r="G19" t="e">
        <f>AVERAGE(HPLC_raw!M104:M105)</f>
        <v>#N/A</v>
      </c>
      <c r="H19" t="e">
        <f>AVERAGE(HPLC_raw!N104:N105)</f>
        <v>#N/A</v>
      </c>
      <c r="I19" t="e">
        <f>AVERAGE(HPLC_raw!O104:O105)</f>
        <v>#N/A</v>
      </c>
      <c r="J19" t="e">
        <f>AVERAGE(HPLC_raw!J106:J107)</f>
        <v>#N/A</v>
      </c>
      <c r="K19" t="e">
        <f>AVERAGE(HPLC_raw!K106:K107)</f>
        <v>#N/A</v>
      </c>
      <c r="L19" t="e">
        <f>AVERAGE(HPLC_raw!L106:L107)</f>
        <v>#N/A</v>
      </c>
      <c r="M19" t="e">
        <f>AVERAGE(HPLC_raw!M106:M107)</f>
        <v>#N/A</v>
      </c>
      <c r="N19" t="e">
        <f>AVERAGE(HPLC_raw!N106:N107)</f>
        <v>#N/A</v>
      </c>
      <c r="O19" t="e">
        <f>AVERAGE(HPLC_raw!O106:O107)</f>
        <v>#N/A</v>
      </c>
      <c r="P19" t="e">
        <f>STDEV(HPLC_raw!J104:J105)</f>
        <v>#N/A</v>
      </c>
      <c r="Q19" t="e">
        <f>STDEV(HPLC_raw!K104:K105)</f>
        <v>#N/A</v>
      </c>
      <c r="R19" t="e">
        <f>STDEV(HPLC_raw!L104:L105)</f>
        <v>#N/A</v>
      </c>
      <c r="S19" t="e">
        <f>STDEV(HPLC_raw!M104:M105)</f>
        <v>#N/A</v>
      </c>
      <c r="T19" t="e">
        <f>STDEV(HPLC_raw!N104:N105)</f>
        <v>#N/A</v>
      </c>
      <c r="U19" t="e">
        <f>STDEV(HPLC_raw!O104:O105)</f>
        <v>#N/A</v>
      </c>
      <c r="V19" t="e">
        <f>STDEV(HPLC_raw!J106:J107)</f>
        <v>#N/A</v>
      </c>
      <c r="W19" t="e">
        <f>STDEV(HPLC_raw!K106:K107)</f>
        <v>#N/A</v>
      </c>
      <c r="X19" t="e">
        <f>STDEV(HPLC_raw!L106:L107)</f>
        <v>#N/A</v>
      </c>
      <c r="Y19" t="e">
        <f>STDEV(HPLC_raw!M106:M107)</f>
        <v>#N/A</v>
      </c>
      <c r="Z19" t="e">
        <f>STDEV(HPLC_raw!N106:N107)</f>
        <v>#N/A</v>
      </c>
      <c r="AA19" t="e">
        <f>STDEV(HPLC_raw!O106:O107)</f>
        <v>#N/A</v>
      </c>
    </row>
    <row r="20" spans="1:27" x14ac:dyDescent="0.25">
      <c r="A20" s="8">
        <f>CellCount_Viability!A20</f>
        <v>0</v>
      </c>
      <c r="B20" s="69" t="e">
        <f t="shared" si="1"/>
        <v>#VALUE!</v>
      </c>
      <c r="C20" s="63" t="str">
        <f t="shared" si="2"/>
        <v/>
      </c>
      <c r="D20" t="e">
        <f>AVERAGE(HPLC_raw!J110:J111)</f>
        <v>#N/A</v>
      </c>
      <c r="E20" t="e">
        <f>AVERAGE(HPLC_raw!K110:K111)</f>
        <v>#N/A</v>
      </c>
      <c r="F20" t="e">
        <f>AVERAGE(HPLC_raw!L110:L111)</f>
        <v>#N/A</v>
      </c>
      <c r="G20" t="e">
        <f>AVERAGE(HPLC_raw!M110:M111)</f>
        <v>#N/A</v>
      </c>
      <c r="H20" t="e">
        <f>AVERAGE(HPLC_raw!N110:N111)</f>
        <v>#N/A</v>
      </c>
      <c r="I20" t="e">
        <f>AVERAGE(HPLC_raw!O110:O111)</f>
        <v>#N/A</v>
      </c>
      <c r="J20" t="e">
        <f>AVERAGE(HPLC_raw!J112:J113)</f>
        <v>#N/A</v>
      </c>
      <c r="K20" t="e">
        <f>AVERAGE(HPLC_raw!K112:K113)</f>
        <v>#N/A</v>
      </c>
      <c r="L20" t="e">
        <f>AVERAGE(HPLC_raw!L112:L113)</f>
        <v>#N/A</v>
      </c>
      <c r="M20" t="e">
        <f>AVERAGE(HPLC_raw!M112:M113)</f>
        <v>#N/A</v>
      </c>
      <c r="N20" t="e">
        <f>AVERAGE(HPLC_raw!N112:N113)</f>
        <v>#N/A</v>
      </c>
      <c r="O20" t="e">
        <f>AVERAGE(HPLC_raw!O112:O113)</f>
        <v>#N/A</v>
      </c>
      <c r="P20" t="e">
        <f>STDEV(HPLC_raw!J110:J111)</f>
        <v>#N/A</v>
      </c>
      <c r="Q20" t="e">
        <f>STDEV(HPLC_raw!K110:K111)</f>
        <v>#N/A</v>
      </c>
      <c r="R20" t="e">
        <f>STDEV(HPLC_raw!L110:L111)</f>
        <v>#N/A</v>
      </c>
      <c r="S20" t="e">
        <f>STDEV(HPLC_raw!M110:M111)</f>
        <v>#N/A</v>
      </c>
      <c r="T20" t="e">
        <f>STDEV(HPLC_raw!N110:N111)</f>
        <v>#N/A</v>
      </c>
      <c r="U20" t="e">
        <f>STDEV(HPLC_raw!O110:O111)</f>
        <v>#N/A</v>
      </c>
      <c r="V20" t="e">
        <f>STDEV(HPLC_raw!J112:J113)</f>
        <v>#N/A</v>
      </c>
      <c r="W20" t="e">
        <f>STDEV(HPLC_raw!K112:K113)</f>
        <v>#N/A</v>
      </c>
      <c r="X20" t="e">
        <f>STDEV(HPLC_raw!L112:L113)</f>
        <v>#N/A</v>
      </c>
      <c r="Y20" t="e">
        <f>STDEV(HPLC_raw!M112:M113)</f>
        <v>#N/A</v>
      </c>
      <c r="Z20" t="e">
        <f>STDEV(HPLC_raw!N112:N113)</f>
        <v>#N/A</v>
      </c>
      <c r="AA20" t="e">
        <f>STDEV(HPLC_raw!O112:O113)</f>
        <v>#N/A</v>
      </c>
    </row>
    <row r="21" spans="1:27" x14ac:dyDescent="0.25">
      <c r="A21" s="8">
        <f>CellCount_Viability!A21</f>
        <v>0</v>
      </c>
      <c r="B21" s="69" t="e">
        <f t="shared" si="1"/>
        <v>#VALUE!</v>
      </c>
      <c r="C21" s="63" t="str">
        <f t="shared" si="2"/>
        <v/>
      </c>
      <c r="D21" t="e">
        <f>AVERAGE(HPLC_raw!J116:J117)</f>
        <v>#N/A</v>
      </c>
      <c r="E21" t="e">
        <f>AVERAGE(HPLC_raw!K116:K117)</f>
        <v>#N/A</v>
      </c>
      <c r="F21" t="e">
        <f>AVERAGE(HPLC_raw!L116:L117)</f>
        <v>#N/A</v>
      </c>
      <c r="G21" t="e">
        <f>AVERAGE(HPLC_raw!M116:M117)</f>
        <v>#N/A</v>
      </c>
      <c r="H21" t="e">
        <f>AVERAGE(HPLC_raw!N116:N117)</f>
        <v>#N/A</v>
      </c>
      <c r="I21" t="e">
        <f>AVERAGE(HPLC_raw!O116:O117)</f>
        <v>#N/A</v>
      </c>
      <c r="J21" t="e">
        <f>AVERAGE(HPLC_raw!J118:J119)</f>
        <v>#N/A</v>
      </c>
      <c r="K21" t="e">
        <f>AVERAGE(HPLC_raw!K118:K119)</f>
        <v>#N/A</v>
      </c>
      <c r="L21" t="e">
        <f>AVERAGE(HPLC_raw!L118:L119)</f>
        <v>#N/A</v>
      </c>
      <c r="M21" t="e">
        <f>AVERAGE(HPLC_raw!M118:M119)</f>
        <v>#N/A</v>
      </c>
      <c r="N21" t="e">
        <f>AVERAGE(HPLC_raw!N118:N119)</f>
        <v>#N/A</v>
      </c>
      <c r="O21" t="e">
        <f>AVERAGE(HPLC_raw!O118:O119)</f>
        <v>#N/A</v>
      </c>
      <c r="P21" t="e">
        <f>STDEV(HPLC_raw!J116:J117)</f>
        <v>#N/A</v>
      </c>
      <c r="Q21" t="e">
        <f>STDEV(HPLC_raw!K116:K117)</f>
        <v>#N/A</v>
      </c>
      <c r="R21" t="e">
        <f>STDEV(HPLC_raw!L116:L117)</f>
        <v>#N/A</v>
      </c>
      <c r="S21" t="e">
        <f>STDEV(HPLC_raw!M116:M117)</f>
        <v>#N/A</v>
      </c>
      <c r="T21" t="e">
        <f>STDEV(HPLC_raw!N116:N117)</f>
        <v>#N/A</v>
      </c>
      <c r="U21" t="e">
        <f>STDEV(HPLC_raw!O116:O117)</f>
        <v>#N/A</v>
      </c>
      <c r="V21" t="e">
        <f>STDEV(HPLC_raw!J118:J119)</f>
        <v>#N/A</v>
      </c>
      <c r="W21" t="e">
        <f>STDEV(HPLC_raw!K118:K119)</f>
        <v>#N/A</v>
      </c>
      <c r="X21" t="e">
        <f>STDEV(HPLC_raw!L118:L119)</f>
        <v>#N/A</v>
      </c>
      <c r="Y21" t="e">
        <f>STDEV(HPLC_raw!M118:M119)</f>
        <v>#N/A</v>
      </c>
      <c r="Z21" t="e">
        <f>STDEV(HPLC_raw!N118:N119)</f>
        <v>#N/A</v>
      </c>
      <c r="AA21" t="e">
        <f>STDEV(HPLC_raw!O118:O119)</f>
        <v>#N/A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3816-B906-4220-8F02-4F236173469A}">
  <sheetPr codeName="Sheet12"/>
  <dimension ref="A1:AQ21"/>
  <sheetViews>
    <sheetView zoomScale="85" zoomScaleNormal="85" workbookViewId="0">
      <selection activeCell="C11" sqref="C11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customWidth="1"/>
    <col min="4" max="4" width="17.28515625" bestFit="1" customWidth="1"/>
    <col min="5" max="5" width="13.140625" bestFit="1" customWidth="1"/>
    <col min="6" max="6" width="20" bestFit="1" customWidth="1"/>
    <col min="7" max="7" width="15.85546875" bestFit="1" customWidth="1"/>
    <col min="8" max="8" width="20" bestFit="1" customWidth="1"/>
    <col min="9" max="9" width="20.42578125" bestFit="1" customWidth="1"/>
    <col min="10" max="10" width="19.140625" bestFit="1" customWidth="1"/>
    <col min="11" max="11" width="15.85546875" customWidth="1"/>
    <col min="12" max="12" width="20" bestFit="1" customWidth="1"/>
    <col min="13" max="13" width="15.85546875" bestFit="1" customWidth="1"/>
    <col min="14" max="14" width="20" bestFit="1" customWidth="1"/>
    <col min="15" max="15" width="20.42578125" bestFit="1" customWidth="1"/>
    <col min="16" max="16" width="21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7.85546875" bestFit="1" customWidth="1"/>
    <col min="25" max="25" width="13.5703125" bestFit="1" customWidth="1"/>
    <col min="26" max="26" width="21.140625" bestFit="1" customWidth="1"/>
    <col min="27" max="27" width="18.5703125" bestFit="1" customWidth="1"/>
    <col min="28" max="28" width="16.42578125" bestFit="1" customWidth="1"/>
    <col min="29" max="29" width="21.140625" bestFit="1" customWidth="1"/>
    <col min="30" max="30" width="21.42578125" bestFit="1" customWidth="1"/>
    <col min="31" max="31" width="21" bestFit="1" customWidth="1"/>
    <col min="32" max="32" width="20.7109375" bestFit="1" customWidth="1"/>
    <col min="33" max="33" width="21.140625" customWidth="1"/>
    <col min="43" max="43" width="21.140625" bestFit="1" customWidth="1"/>
  </cols>
  <sheetData>
    <row r="1" spans="1:43" ht="30.75" thickBot="1" x14ac:dyDescent="0.3">
      <c r="A1" s="64" t="s">
        <v>0</v>
      </c>
      <c r="B1" s="65" t="s">
        <v>1</v>
      </c>
      <c r="C1" s="65" t="s">
        <v>2</v>
      </c>
      <c r="D1" s="66" t="s">
        <v>161</v>
      </c>
      <c r="E1" s="66" t="s">
        <v>162</v>
      </c>
      <c r="F1" s="79" t="s">
        <v>169</v>
      </c>
      <c r="G1" s="66" t="s">
        <v>163</v>
      </c>
      <c r="H1" s="66" t="s">
        <v>164</v>
      </c>
      <c r="I1" s="79" t="s">
        <v>170</v>
      </c>
      <c r="J1" s="80" t="s">
        <v>171</v>
      </c>
      <c r="K1" s="81" t="s">
        <v>172</v>
      </c>
      <c r="L1" s="81" t="s">
        <v>173</v>
      </c>
      <c r="M1" s="82" t="s">
        <v>174</v>
      </c>
      <c r="N1" s="78" t="s">
        <v>165</v>
      </c>
      <c r="O1" s="66" t="s">
        <v>166</v>
      </c>
      <c r="P1" s="66" t="s">
        <v>175</v>
      </c>
      <c r="Q1" s="66" t="s">
        <v>167</v>
      </c>
      <c r="R1" s="66" t="s">
        <v>168</v>
      </c>
      <c r="S1" s="66" t="s">
        <v>176</v>
      </c>
      <c r="T1" t="s">
        <v>177</v>
      </c>
      <c r="U1" t="s">
        <v>178</v>
      </c>
      <c r="V1" t="s">
        <v>179</v>
      </c>
      <c r="W1" t="s">
        <v>180</v>
      </c>
      <c r="X1" s="83" t="s">
        <v>194</v>
      </c>
      <c r="Y1" s="83" t="s">
        <v>195</v>
      </c>
      <c r="Z1" s="90" t="s">
        <v>206</v>
      </c>
      <c r="AA1" s="84" t="s">
        <v>196</v>
      </c>
      <c r="AB1" s="84" t="s">
        <v>197</v>
      </c>
      <c r="AC1" s="91" t="s">
        <v>207</v>
      </c>
      <c r="AD1" s="91" t="s">
        <v>208</v>
      </c>
      <c r="AE1" s="91" t="s">
        <v>209</v>
      </c>
      <c r="AF1" s="91" t="s">
        <v>210</v>
      </c>
      <c r="AG1" s="91" t="s">
        <v>211</v>
      </c>
      <c r="AH1" s="85" t="s">
        <v>198</v>
      </c>
      <c r="AI1" s="85" t="s">
        <v>199</v>
      </c>
      <c r="AJ1" s="85" t="s">
        <v>212</v>
      </c>
      <c r="AK1" s="85" t="s">
        <v>200</v>
      </c>
      <c r="AL1" s="85" t="s">
        <v>201</v>
      </c>
      <c r="AM1" s="86" t="s">
        <v>213</v>
      </c>
      <c r="AN1" s="86" t="s">
        <v>214</v>
      </c>
      <c r="AO1" s="86" t="s">
        <v>215</v>
      </c>
      <c r="AP1" s="86" t="s">
        <v>216</v>
      </c>
      <c r="AQ1" s="86" t="s">
        <v>217</v>
      </c>
    </row>
    <row r="2" spans="1:43" ht="15.75" thickTop="1" x14ac:dyDescent="0.25">
      <c r="A2" s="8">
        <f>CellCount_Viability!A2</f>
        <v>46268</v>
      </c>
      <c r="B2" s="69">
        <f>C2*24</f>
        <v>0</v>
      </c>
      <c r="C2" s="63">
        <f t="shared" ref="C2:C21" si="0">IF(NOT(A2=0),A2-$A$2,"")</f>
        <v>0</v>
      </c>
      <c r="D2">
        <f>AVERAGE(GC_esters_raw!F2:F3)</f>
        <v>7.0000000000000007E-2</v>
      </c>
      <c r="E2">
        <f>AVERAGE(GC_esters_raw!G2:G3)</f>
        <v>0</v>
      </c>
      <c r="F2">
        <f>AVERAGE(GC_esters_raw!H2:H3)</f>
        <v>0</v>
      </c>
      <c r="G2">
        <f>AVERAGE(GC_esters_raw!I2:I3)</f>
        <v>0</v>
      </c>
      <c r="H2">
        <f>AVERAGE(GC_esters_raw!J2:J3)</f>
        <v>0.48499999999999999</v>
      </c>
      <c r="I2">
        <f>AVERAGE(GC_esters_raw!K2:K3)</f>
        <v>0</v>
      </c>
      <c r="J2">
        <f>AVERAGE(GC_esters_raw!L2:L3)</f>
        <v>3.52</v>
      </c>
      <c r="K2">
        <f>AVERAGE(GC_esters_raw!M2:M3)</f>
        <v>0</v>
      </c>
      <c r="L2">
        <f>AVERAGE(GC_esters_raw!N2:N3)</f>
        <v>0</v>
      </c>
      <c r="M2">
        <f>AVERAGE(GC_esters_raw!O2:O3)</f>
        <v>0</v>
      </c>
      <c r="N2">
        <f>AVERAGE(GC_esters_raw!F4:F5)</f>
        <v>0</v>
      </c>
      <c r="O2">
        <f>AVERAGE(GC_esters_raw!G4:G5)</f>
        <v>0</v>
      </c>
      <c r="P2">
        <f>AVERAGE(GC_esters_raw!H4:H5)</f>
        <v>0</v>
      </c>
      <c r="Q2">
        <f>AVERAGE(GC_esters_raw!I4:I5)</f>
        <v>0</v>
      </c>
      <c r="R2">
        <f>AVERAGE(GC_esters_raw!J4:J5)</f>
        <v>0.49</v>
      </c>
      <c r="S2">
        <f>AVERAGE(GC_esters_raw!K4:K5)</f>
        <v>0</v>
      </c>
      <c r="T2">
        <f>AVERAGE(GC_esters_raw!L4:L5)</f>
        <v>3.645</v>
      </c>
      <c r="U2">
        <f>AVERAGE(GC_esters_raw!M4:M5)</f>
        <v>0</v>
      </c>
      <c r="V2">
        <f>AVERAGE(GC_esters_raw!N4:N5)</f>
        <v>0</v>
      </c>
      <c r="W2">
        <f>AVERAGE(GC_esters_raw!O4:O5)</f>
        <v>0</v>
      </c>
      <c r="X2">
        <f>STDEV(GC_esters_raw!F2:F3)</f>
        <v>9.8994949366116664E-2</v>
      </c>
      <c r="Y2">
        <f>STDEV(GC_esters_raw!G2:G3)</f>
        <v>0</v>
      </c>
      <c r="Z2">
        <f>STDEV(GC_esters_raw!H2:H3)</f>
        <v>0</v>
      </c>
      <c r="AA2">
        <f>STDEV(GC_esters_raw!I2:I3)</f>
        <v>0</v>
      </c>
      <c r="AB2">
        <f>STDEV(GC_esters_raw!J2:J3)</f>
        <v>7.0710678118654814E-3</v>
      </c>
      <c r="AC2">
        <f>STDEV(GC_esters_raw!K2:K3)</f>
        <v>0</v>
      </c>
      <c r="AD2">
        <f>STDEV(GC_esters_raw!L2:L3)</f>
        <v>8.4852813742385777E-2</v>
      </c>
      <c r="AE2">
        <f>STDEV(GC_esters_raw!M2:M3)</f>
        <v>0</v>
      </c>
      <c r="AF2">
        <f>STDEV(GC_esters_raw!N2:N3)</f>
        <v>0</v>
      </c>
      <c r="AG2">
        <f>STDEV(GC_esters_raw!O2:O3)</f>
        <v>0</v>
      </c>
      <c r="AH2">
        <f>STDEV(GC_esters_raw!F4:F5)</f>
        <v>0</v>
      </c>
      <c r="AI2">
        <f>STDEV(GC_esters_raw!G4:G5)</f>
        <v>0</v>
      </c>
      <c r="AJ2">
        <f>STDEV(GC_esters_raw!H4:H5)</f>
        <v>0</v>
      </c>
      <c r="AK2">
        <f>STDEV(GC_esters_raw!I4:I5)</f>
        <v>0</v>
      </c>
      <c r="AL2">
        <f>STDEV(GC_esters_raw!J4:J5)</f>
        <v>2.8284271247461926E-2</v>
      </c>
      <c r="AM2">
        <f>STDEV(GC_esters_raw!K4:K5)</f>
        <v>0</v>
      </c>
      <c r="AN2">
        <f>STDEV(GC_esters_raw!L4:L5)</f>
        <v>7.0710678118653244E-3</v>
      </c>
      <c r="AO2">
        <f>STDEV(GC_esters_raw!M4:M5)</f>
        <v>0</v>
      </c>
      <c r="AP2">
        <f>STDEV(GC_esters_raw!N4:N5)</f>
        <v>0</v>
      </c>
      <c r="AQ2">
        <f>STDEV(GC_esters_raw!O4:O5)</f>
        <v>0</v>
      </c>
    </row>
    <row r="3" spans="1:43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AVERAGE(GC_esters_raw!F8:F9)</f>
        <v>0.505</v>
      </c>
      <c r="E3">
        <f>AVERAGE(GC_esters_raw!G8:G9)</f>
        <v>0</v>
      </c>
      <c r="F3">
        <f>AVERAGE(GC_esters_raw!H8:H9)</f>
        <v>0</v>
      </c>
      <c r="G3">
        <f>AVERAGE(GC_esters_raw!I8:I9)</f>
        <v>0.13500000000000001</v>
      </c>
      <c r="H3">
        <f>AVERAGE(GC_esters_raw!J8:J9)</f>
        <v>2.165</v>
      </c>
      <c r="I3">
        <f>AVERAGE(GC_esters_raw!K8:K9)</f>
        <v>7.0000000000000007E-2</v>
      </c>
      <c r="J3">
        <f>AVERAGE(GC_esters_raw!L8:L9)</f>
        <v>20.990000000000002</v>
      </c>
      <c r="K3">
        <f>AVERAGE(GC_esters_raw!M8:M9)</f>
        <v>0</v>
      </c>
      <c r="L3">
        <f>AVERAGE(GC_esters_raw!N8:N9)</f>
        <v>0</v>
      </c>
      <c r="M3">
        <f>AVERAGE(GC_esters_raw!O8:O9)</f>
        <v>0</v>
      </c>
      <c r="N3">
        <f>AVERAGE(GC_esters_raw!F10:F11)</f>
        <v>0.47</v>
      </c>
      <c r="O3">
        <f>AVERAGE(GC_esters_raw!G10:G11)</f>
        <v>0</v>
      </c>
      <c r="P3">
        <f>AVERAGE(GC_esters_raw!H10:H11)</f>
        <v>0</v>
      </c>
      <c r="Q3">
        <f>AVERAGE(GC_esters_raw!I10:I11)</f>
        <v>0.13</v>
      </c>
      <c r="R3">
        <f>AVERAGE(GC_esters_raw!J10:J11)</f>
        <v>1.98</v>
      </c>
      <c r="S3">
        <f>AVERAGE(GC_esters_raw!K10:K11)</f>
        <v>0.06</v>
      </c>
      <c r="T3">
        <f>AVERAGE(GC_esters_raw!L10:L11)</f>
        <v>19.38</v>
      </c>
      <c r="U3">
        <f>AVERAGE(GC_esters_raw!M10:M11)</f>
        <v>0</v>
      </c>
      <c r="V3">
        <f>AVERAGE(GC_esters_raw!N10:N11)</f>
        <v>0</v>
      </c>
      <c r="W3">
        <f>AVERAGE(GC_esters_raw!O10:O11)</f>
        <v>0</v>
      </c>
      <c r="X3">
        <f>STDEV(GC_esters_raw!F8:F9)</f>
        <v>2.1213203435596444E-2</v>
      </c>
      <c r="Y3">
        <f>STDEV(GC_esters_raw!G8:G9)</f>
        <v>0</v>
      </c>
      <c r="Z3">
        <f>STDEV(GC_esters_raw!H8:H9)</f>
        <v>0</v>
      </c>
      <c r="AA3">
        <f>STDEV(GC_esters_raw!I8:I9)</f>
        <v>7.0710678118654814E-3</v>
      </c>
      <c r="AB3">
        <f>STDEV(GC_esters_raw!J8:J9)</f>
        <v>0.10606601717798238</v>
      </c>
      <c r="AC3">
        <f>STDEV(GC_esters_raw!K8:K9)</f>
        <v>2.8284271247461877E-2</v>
      </c>
      <c r="AD3">
        <f>STDEV(GC_esters_raw!L8:L9)</f>
        <v>0.87681240867131782</v>
      </c>
      <c r="AE3">
        <f>STDEV(GC_esters_raw!M8:M9)</f>
        <v>0</v>
      </c>
      <c r="AF3">
        <f>STDEV(GC_esters_raw!N8:N9)</f>
        <v>0</v>
      </c>
      <c r="AG3">
        <f>STDEV(GC_esters_raw!O8:O9)</f>
        <v>0</v>
      </c>
      <c r="AH3">
        <f>STDEV(GC_esters_raw!F10:F11)</f>
        <v>0</v>
      </c>
      <c r="AI3">
        <f>STDEV(GC_esters_raw!G10:G11)</f>
        <v>0</v>
      </c>
      <c r="AJ3">
        <f>STDEV(GC_esters_raw!H10:H11)</f>
        <v>0</v>
      </c>
      <c r="AK3">
        <f>STDEV(GC_esters_raw!I10:I11)</f>
        <v>0</v>
      </c>
      <c r="AL3">
        <f>STDEV(GC_esters_raw!J10:J11)</f>
        <v>0</v>
      </c>
      <c r="AM3">
        <f>STDEV(GC_esters_raw!K10:K11)</f>
        <v>0</v>
      </c>
      <c r="AN3">
        <f>STDEV(GC_esters_raw!L10:L11)</f>
        <v>0</v>
      </c>
      <c r="AO3">
        <f>STDEV(GC_esters_raw!M10:M11)</f>
        <v>0</v>
      </c>
      <c r="AP3">
        <f>STDEV(GC_esters_raw!N10:N11)</f>
        <v>0</v>
      </c>
      <c r="AQ3">
        <f>STDEV(GC_esters_raw!O10:O11)</f>
        <v>0</v>
      </c>
    </row>
    <row r="4" spans="1:43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AVERAGE(GC_esters_raw!F14:F15)</f>
        <v>6.5112500000000004</v>
      </c>
      <c r="E4">
        <f>AVERAGE(GC_esters_raw!G14:G15)</f>
        <v>0</v>
      </c>
      <c r="F4">
        <f>AVERAGE(GC_esters_raw!H14:H15)</f>
        <v>4.4950000000000004E-2</v>
      </c>
      <c r="G4">
        <f>AVERAGE(GC_esters_raw!I14:I15)</f>
        <v>0.24970000000000001</v>
      </c>
      <c r="H4">
        <f>AVERAGE(GC_esters_raw!J14:J15)</f>
        <v>4.4326500000000006</v>
      </c>
      <c r="I4">
        <f>AVERAGE(GC_esters_raw!K14:K15)</f>
        <v>1.3270500000000003</v>
      </c>
      <c r="J4">
        <f>AVERAGE(GC_esters_raw!L14:L15)</f>
        <v>34.605199999999996</v>
      </c>
      <c r="K4">
        <f>AVERAGE(GC_esters_raw!M14:M15)</f>
        <v>0.17515</v>
      </c>
      <c r="L4">
        <f>AVERAGE(GC_esters_raw!N14:N15)</f>
        <v>1.1438999999999999</v>
      </c>
      <c r="M4">
        <f>AVERAGE(GC_esters_raw!O14:O15)</f>
        <v>2.0212000000000003</v>
      </c>
      <c r="N4">
        <f>AVERAGE(GC_esters_raw!F16:F17)</f>
        <v>5.7647999999999993</v>
      </c>
      <c r="O4">
        <f>AVERAGE(GC_esters_raw!G16:G17)</f>
        <v>0</v>
      </c>
      <c r="P4">
        <f>AVERAGE(GC_esters_raw!H16:H17)</f>
        <v>3.7199999999999997E-2</v>
      </c>
      <c r="Q4">
        <f>AVERAGE(GC_esters_raw!I16:I17)</f>
        <v>0.23849999999999999</v>
      </c>
      <c r="R4">
        <f>AVERAGE(GC_esters_raw!J16:J17)</f>
        <v>4.1778999999999993</v>
      </c>
      <c r="S4">
        <f>AVERAGE(GC_esters_raw!K16:K17)</f>
        <v>1.1651500000000001</v>
      </c>
      <c r="T4">
        <f>AVERAGE(GC_esters_raw!L16:L17)</f>
        <v>32.798349999999999</v>
      </c>
      <c r="U4">
        <f>AVERAGE(GC_esters_raw!M16:M17)</f>
        <v>0.16739999999999999</v>
      </c>
      <c r="V4">
        <f>AVERAGE(GC_esters_raw!N16:N17)</f>
        <v>1.17645</v>
      </c>
      <c r="W4">
        <f>AVERAGE(GC_esters_raw!O16:O17)</f>
        <v>2.4195500000000001</v>
      </c>
      <c r="X4">
        <f>STDEV(GC_esters_raw!F14:F15)</f>
        <v>0.14318912319027566</v>
      </c>
      <c r="Y4">
        <f>STDEV(GC_esters_raw!G14:G15)</f>
        <v>0</v>
      </c>
      <c r="Z4">
        <f>STDEV(GC_esters_raw!H14:H15)</f>
        <v>2.1920310216782964E-3</v>
      </c>
      <c r="AA4">
        <f>STDEV(GC_esters_raw!I14:I15)</f>
        <v>1.1455129855222103E-2</v>
      </c>
      <c r="AB4">
        <f>STDEV(GC_esters_raw!J14:J15)</f>
        <v>0.19155522702343583</v>
      </c>
      <c r="AC4">
        <f>STDEV(GC_esters_raw!K14:K15)</f>
        <v>4.3628488399209887E-2</v>
      </c>
      <c r="AD4">
        <f>STDEV(GC_esters_raw!L14:L15)</f>
        <v>1.4379723502209629</v>
      </c>
      <c r="AE4">
        <f>STDEV(GC_esters_raw!M14:M15)</f>
        <v>2.1920310216782916E-3</v>
      </c>
      <c r="AF4">
        <f>STDEV(GC_esters_raw!N14:N15)</f>
        <v>3.945655839020925E-2</v>
      </c>
      <c r="AG4">
        <f>STDEV(GC_esters_raw!O14:O15)</f>
        <v>0.15344217151748088</v>
      </c>
      <c r="AH4">
        <f>STDEV(GC_esters_raw!F16:F17)</f>
        <v>0.11398561312727147</v>
      </c>
      <c r="AI4">
        <f>STDEV(GC_esters_raw!G16:G17)</f>
        <v>0</v>
      </c>
      <c r="AJ4">
        <f>STDEV(GC_esters_raw!H16:H17)</f>
        <v>0</v>
      </c>
      <c r="AK4">
        <f>STDEV(GC_esters_raw!I16:I17)</f>
        <v>4.3840620433565833E-3</v>
      </c>
      <c r="AL4">
        <f>STDEV(GC_esters_raw!J16:J17)</f>
        <v>6.1376868606993103E-2</v>
      </c>
      <c r="AM4">
        <f>STDEV(GC_esters_raw!K16:K17)</f>
        <v>1.9728279195104701E-2</v>
      </c>
      <c r="AN4">
        <f>STDEV(GC_esters_raw!L16:L17)</f>
        <v>0.53266353826782331</v>
      </c>
      <c r="AO4">
        <f>STDEV(GC_esters_raw!M16:M17)</f>
        <v>4.3840620433566024E-3</v>
      </c>
      <c r="AP4">
        <f>STDEV(GC_esters_raw!N16:N17)</f>
        <v>6.5760930650349521E-3</v>
      </c>
      <c r="AQ4">
        <f>STDEV(GC_esters_raw!O16:O17)</f>
        <v>6.3568899628670683E-2</v>
      </c>
    </row>
    <row r="5" spans="1:43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AVERAGE(GC_esters_raw!F20:F21)</f>
        <v>12.129999999999999</v>
      </c>
      <c r="E5">
        <f>AVERAGE(GC_esters_raw!G20:G21)</f>
        <v>0</v>
      </c>
      <c r="F5">
        <f>AVERAGE(GC_esters_raw!H20:H21)</f>
        <v>8.6999999999999994E-2</v>
      </c>
      <c r="G5">
        <f>AVERAGE(GC_esters_raw!I20:I21)</f>
        <v>0.35699999999999998</v>
      </c>
      <c r="H5">
        <f>AVERAGE(GC_esters_raw!J20:J21)</f>
        <v>6.5540000000000003</v>
      </c>
      <c r="I5">
        <f>AVERAGE(GC_esters_raw!K20:K21)</f>
        <v>2.5030000000000001</v>
      </c>
      <c r="J5">
        <f>AVERAGE(GC_esters_raw!L20:L21)</f>
        <v>47.341999999999999</v>
      </c>
      <c r="K5">
        <f>AVERAGE(GC_esters_raw!M20:M21)</f>
        <v>0.33899999999999997</v>
      </c>
      <c r="L5">
        <f>AVERAGE(GC_esters_raw!N20:N21)</f>
        <v>2.214</v>
      </c>
      <c r="M5">
        <f>AVERAGE(GC_esters_raw!O20:O21)</f>
        <v>3.9119999999999999</v>
      </c>
      <c r="N5">
        <f>AVERAGE(GC_esters_raw!F22:F23)</f>
        <v>10.718</v>
      </c>
      <c r="O5">
        <f>AVERAGE(GC_esters_raw!G22:G23)</f>
        <v>0</v>
      </c>
      <c r="P5">
        <f>AVERAGE(GC_esters_raw!H22:H23)</f>
        <v>7.1999999999999995E-2</v>
      </c>
      <c r="Q5">
        <f>AVERAGE(GC_esters_raw!I22:I23)</f>
        <v>0.33999999999999997</v>
      </c>
      <c r="R5">
        <f>AVERAGE(GC_esters_raw!J22:J23)</f>
        <v>6.2339999999999991</v>
      </c>
      <c r="S5">
        <f>AVERAGE(GC_esters_raw!K22:K23)</f>
        <v>2.1989999999999998</v>
      </c>
      <c r="T5">
        <f>AVERAGE(GC_esters_raw!L22:L23)</f>
        <v>45.350999999999999</v>
      </c>
      <c r="U5">
        <f>AVERAGE(GC_esters_raw!M22:M23)</f>
        <v>0.32400000000000001</v>
      </c>
      <c r="V5">
        <f>AVERAGE(GC_esters_raw!N22:N23)</f>
        <v>2.2770000000000001</v>
      </c>
      <c r="W5">
        <f>AVERAGE(GC_esters_raw!O22:O23)</f>
        <v>4.6829999999999998</v>
      </c>
      <c r="X5">
        <f>STDEV(GC_esters_raw!F20:F21)</f>
        <v>0.29698484809834991</v>
      </c>
      <c r="Y5">
        <f>STDEV(GC_esters_raw!G20:G21)</f>
        <v>0</v>
      </c>
      <c r="Z5">
        <f>STDEV(GC_esters_raw!H20:H21)</f>
        <v>4.2426406871192788E-3</v>
      </c>
      <c r="AA5">
        <f>STDEV(GC_esters_raw!I20:I21)</f>
        <v>1.555634918610406E-2</v>
      </c>
      <c r="AB5">
        <f>STDEV(GC_esters_raw!J20:J21)</f>
        <v>0.27152900397563384</v>
      </c>
      <c r="AC5">
        <f>STDEV(GC_esters_raw!K20:K21)</f>
        <v>5.7982756057296476E-2</v>
      </c>
      <c r="AD5">
        <f>STDEV(GC_esters_raw!L20:L21)</f>
        <v>1.9629284245738583</v>
      </c>
      <c r="AE5">
        <f>STDEV(GC_esters_raw!M20:M21)</f>
        <v>4.2426406871192493E-3</v>
      </c>
      <c r="AF5">
        <f>STDEV(GC_esters_raw!N20:N21)</f>
        <v>7.636753236814689E-2</v>
      </c>
      <c r="AG5">
        <f>STDEV(GC_esters_raw!O20:O21)</f>
        <v>0.29698484809834991</v>
      </c>
      <c r="AH5">
        <f>STDEV(GC_esters_raw!F22:F23)</f>
        <v>0.22061731573020241</v>
      </c>
      <c r="AI5">
        <f>STDEV(GC_esters_raw!G22:G23)</f>
        <v>0</v>
      </c>
      <c r="AJ5">
        <f>STDEV(GC_esters_raw!H22:H23)</f>
        <v>0</v>
      </c>
      <c r="AK5">
        <f>STDEV(GC_esters_raw!I22:I23)</f>
        <v>8.4852813742385784E-3</v>
      </c>
      <c r="AL5">
        <f>STDEV(GC_esters_raw!J22:J23)</f>
        <v>0.11879393923934072</v>
      </c>
      <c r="AM5">
        <f>STDEV(GC_esters_raw!K22:K23)</f>
        <v>3.8183766184073445E-2</v>
      </c>
      <c r="AN5">
        <f>STDEV(GC_esters_raw!L22:L23)</f>
        <v>1.0309616869699851</v>
      </c>
      <c r="AO5">
        <f>STDEV(GC_esters_raw!M22:M23)</f>
        <v>8.4852813742385784E-3</v>
      </c>
      <c r="AP5">
        <f>STDEV(GC_esters_raw!N22:N23)</f>
        <v>1.2727922061358024E-2</v>
      </c>
      <c r="AQ5">
        <f>STDEV(GC_esters_raw!O22:O23)</f>
        <v>0.1230365799264589</v>
      </c>
    </row>
    <row r="6" spans="1:43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AVERAGE(GC_esters_raw!F26:F27)</f>
        <v>19.88</v>
      </c>
      <c r="E6">
        <f>AVERAGE(GC_esters_raw!G26:G27)</f>
        <v>0</v>
      </c>
      <c r="F6">
        <f>AVERAGE(GC_esters_raw!H26:H27)</f>
        <v>0.14500000000000002</v>
      </c>
      <c r="G6">
        <f>AVERAGE(GC_esters_raw!I26:I27)</f>
        <v>0.505</v>
      </c>
      <c r="H6">
        <f>AVERAGE(GC_esters_raw!J26:J27)</f>
        <v>9.48</v>
      </c>
      <c r="I6">
        <f>AVERAGE(GC_esters_raw!K26:K27)</f>
        <v>4.125</v>
      </c>
      <c r="J6">
        <f>AVERAGE(GC_esters_raw!L26:L27)</f>
        <v>64.91</v>
      </c>
      <c r="K6">
        <f>AVERAGE(GC_esters_raw!M26:M27)</f>
        <v>0.56499999999999995</v>
      </c>
      <c r="L6">
        <f>AVERAGE(GC_esters_raw!N26:N27)</f>
        <v>3.69</v>
      </c>
      <c r="M6">
        <f>AVERAGE(GC_esters_raw!O26:O27)</f>
        <v>6.52</v>
      </c>
      <c r="N6">
        <f>AVERAGE(GC_esters_raw!F28:F29)</f>
        <v>17.549999999999997</v>
      </c>
      <c r="O6">
        <f>AVERAGE(GC_esters_raw!G28:G29)</f>
        <v>0</v>
      </c>
      <c r="P6">
        <f>AVERAGE(GC_esters_raw!H28:H29)</f>
        <v>0.12</v>
      </c>
      <c r="Q6">
        <f>AVERAGE(GC_esters_raw!I28:I29)</f>
        <v>0.48</v>
      </c>
      <c r="R6">
        <f>AVERAGE(GC_esters_raw!J28:J29)</f>
        <v>9.07</v>
      </c>
      <c r="S6">
        <f>AVERAGE(GC_esters_raw!K28:K29)</f>
        <v>3.625</v>
      </c>
      <c r="T6">
        <f>AVERAGE(GC_esters_raw!L28:L29)</f>
        <v>62.665000000000006</v>
      </c>
      <c r="U6">
        <f>AVERAGE(GC_esters_raw!M28:M29)</f>
        <v>0.54</v>
      </c>
      <c r="V6">
        <f>AVERAGE(GC_esters_raw!N28:N29)</f>
        <v>3.7949999999999999</v>
      </c>
      <c r="W6">
        <f>AVERAGE(GC_esters_raw!O28:O29)</f>
        <v>7.8049999999999997</v>
      </c>
      <c r="X6">
        <f>STDEV(GC_esters_raw!F26:F27)</f>
        <v>0.50911688245431341</v>
      </c>
      <c r="Y6">
        <f>STDEV(GC_esters_raw!G26:G27)</f>
        <v>0</v>
      </c>
      <c r="Z6">
        <f>STDEV(GC_esters_raw!H26:H27)</f>
        <v>7.0710678118654623E-3</v>
      </c>
      <c r="AA6">
        <f>STDEV(GC_esters_raw!I26:I27)</f>
        <v>2.1213203435596444E-2</v>
      </c>
      <c r="AB6">
        <f>STDEV(GC_esters_raw!J26:J27)</f>
        <v>0.38183766184073509</v>
      </c>
      <c r="AC6">
        <f>STDEV(GC_esters_raw!K26:K27)</f>
        <v>7.7781745930519827E-2</v>
      </c>
      <c r="AD6">
        <f>STDEV(GC_esters_raw!L26:L27)</f>
        <v>2.6870057685088837</v>
      </c>
      <c r="AE6">
        <f>STDEV(GC_esters_raw!M26:M27)</f>
        <v>7.0710678118654034E-3</v>
      </c>
      <c r="AF6">
        <f>STDEV(GC_esters_raw!N26:N27)</f>
        <v>0.12727922061357835</v>
      </c>
      <c r="AG6">
        <f>STDEV(GC_esters_raw!O26:O27)</f>
        <v>0.4949747468305834</v>
      </c>
      <c r="AH6">
        <f>STDEV(GC_esters_raw!F28:F29)</f>
        <v>0.36769552621700441</v>
      </c>
      <c r="AI6">
        <f>STDEV(GC_esters_raw!G28:G29)</f>
        <v>0</v>
      </c>
      <c r="AJ6">
        <f>STDEV(GC_esters_raw!H28:H29)</f>
        <v>0</v>
      </c>
      <c r="AK6">
        <f>STDEV(GC_esters_raw!I28:I29)</f>
        <v>1.4142135623730963E-2</v>
      </c>
      <c r="AL6">
        <f>STDEV(GC_esters_raw!J28:J29)</f>
        <v>0.1979898987322341</v>
      </c>
      <c r="AM6">
        <f>STDEV(GC_esters_raw!K28:K29)</f>
        <v>6.3639610306789177E-2</v>
      </c>
      <c r="AN6">
        <f>STDEV(GC_esters_raw!L28:L29)</f>
        <v>1.7182694782833103</v>
      </c>
      <c r="AO6">
        <f>STDEV(GC_esters_raw!M28:M29)</f>
        <v>1.4142135623730963E-2</v>
      </c>
      <c r="AP6">
        <f>STDEV(GC_esters_raw!N28:N29)</f>
        <v>2.12132034355966E-2</v>
      </c>
      <c r="AQ6">
        <f>STDEV(GC_esters_raw!O28:O29)</f>
        <v>0.2050609665440988</v>
      </c>
    </row>
    <row r="7" spans="1:43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AVERAGE(GC_esters_raw!F32:F33)</f>
        <v>27.494999999999997</v>
      </c>
      <c r="E7">
        <f>AVERAGE(GC_esters_raw!G32:G33)</f>
        <v>0</v>
      </c>
      <c r="F7">
        <f>AVERAGE(GC_esters_raw!H32:H33)</f>
        <v>0.18</v>
      </c>
      <c r="G7">
        <f>AVERAGE(GC_esters_raw!I32:I33)</f>
        <v>0.59</v>
      </c>
      <c r="H7">
        <f>AVERAGE(GC_esters_raw!J32:J33)</f>
        <v>11.17</v>
      </c>
      <c r="I7">
        <f>AVERAGE(GC_esters_raw!K32:K33)</f>
        <v>5.3149999999999995</v>
      </c>
      <c r="J7">
        <f>AVERAGE(GC_esters_raw!L32:L33)</f>
        <v>69.784999999999997</v>
      </c>
      <c r="K7">
        <f>AVERAGE(GC_esters_raw!M32:M33)</f>
        <v>0.75</v>
      </c>
      <c r="L7">
        <f>AVERAGE(GC_esters_raw!N32:N33)</f>
        <v>5.27</v>
      </c>
      <c r="M7">
        <f>AVERAGE(GC_esters_raw!O32:O33)</f>
        <v>10.664999999999999</v>
      </c>
      <c r="N7">
        <f>AVERAGE(GC_esters_raw!F34:F35)</f>
        <v>24.41</v>
      </c>
      <c r="O7">
        <f>AVERAGE(GC_esters_raw!G34:G35)</f>
        <v>0</v>
      </c>
      <c r="P7">
        <f>AVERAGE(GC_esters_raw!H34:H35)</f>
        <v>0.16</v>
      </c>
      <c r="Q7">
        <f>AVERAGE(GC_esters_raw!I34:I35)</f>
        <v>0.55000000000000004</v>
      </c>
      <c r="R7">
        <f>AVERAGE(GC_esters_raw!J34:J35)</f>
        <v>10.71</v>
      </c>
      <c r="S7">
        <f>AVERAGE(GC_esters_raw!K34:K35)</f>
        <v>4.7200000000000006</v>
      </c>
      <c r="T7">
        <f>AVERAGE(GC_esters_raw!L34:L35)</f>
        <v>66.865000000000009</v>
      </c>
      <c r="U7">
        <f>AVERAGE(GC_esters_raw!M34:M35)</f>
        <v>0.70499999999999996</v>
      </c>
      <c r="V7">
        <f>AVERAGE(GC_esters_raw!N34:N35)</f>
        <v>5.415</v>
      </c>
      <c r="W7">
        <f>AVERAGE(GC_esters_raw!O34:O35)</f>
        <v>12.574999999999999</v>
      </c>
      <c r="X7">
        <f>STDEV(GC_esters_raw!F32:F33)</f>
        <v>7.0710678118665812E-3</v>
      </c>
      <c r="Y7">
        <f>STDEV(GC_esters_raw!G32:G33)</f>
        <v>0</v>
      </c>
      <c r="Z7">
        <f>STDEV(GC_esters_raw!H32:H33)</f>
        <v>0</v>
      </c>
      <c r="AA7">
        <f>STDEV(GC_esters_raw!I32:I33)</f>
        <v>0</v>
      </c>
      <c r="AB7">
        <f>STDEV(GC_esters_raw!J32:J33)</f>
        <v>7.0710678118655765E-2</v>
      </c>
      <c r="AC7">
        <f>STDEV(GC_esters_raw!K32:K33)</f>
        <v>7.0710678118659524E-3</v>
      </c>
      <c r="AD7">
        <f>STDEV(GC_esters_raw!L32:L33)</f>
        <v>0.38890872965259915</v>
      </c>
      <c r="AE7">
        <f>STDEV(GC_esters_raw!M32:M33)</f>
        <v>0</v>
      </c>
      <c r="AF7">
        <f>STDEV(GC_esters_raw!N32:N33)</f>
        <v>5.6568542494923227E-2</v>
      </c>
      <c r="AG7">
        <f>STDEV(GC_esters_raw!O32:O33)</f>
        <v>0.24748737341529137</v>
      </c>
      <c r="AH7">
        <f>STDEV(GC_esters_raw!F34:F35)</f>
        <v>4.2426406871194457E-2</v>
      </c>
      <c r="AI7">
        <f>STDEV(GC_esters_raw!G34:G35)</f>
        <v>0</v>
      </c>
      <c r="AJ7">
        <f>STDEV(GC_esters_raw!H34:H35)</f>
        <v>0</v>
      </c>
      <c r="AK7">
        <f>STDEV(GC_esters_raw!I34:I35)</f>
        <v>0</v>
      </c>
      <c r="AL7">
        <f>STDEV(GC_esters_raw!J34:J35)</f>
        <v>0</v>
      </c>
      <c r="AM7">
        <f>STDEV(GC_esters_raw!K34:K35)</f>
        <v>1.4142135623731277E-2</v>
      </c>
      <c r="AN7">
        <f>STDEV(GC_esters_raw!L34:L35)</f>
        <v>7.0710678118690922E-3</v>
      </c>
      <c r="AO7">
        <f>STDEV(GC_esters_raw!M34:M35)</f>
        <v>7.0710678118654814E-3</v>
      </c>
      <c r="AP7">
        <f>STDEV(GC_esters_raw!N34:N35)</f>
        <v>6.3639610306789177E-2</v>
      </c>
      <c r="AQ7">
        <f>STDEV(GC_esters_raw!O34:O35)</f>
        <v>7.778174593052109E-2</v>
      </c>
    </row>
    <row r="8" spans="1:43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AVERAGE(GC_esters_raw!F38:F39)</f>
        <v>32.33775</v>
      </c>
      <c r="E8">
        <f>AVERAGE(GC_esters_raw!G38:G39)</f>
        <v>0</v>
      </c>
      <c r="F8">
        <f>AVERAGE(GC_esters_raw!H38:H39)</f>
        <v>0.20200000000000001</v>
      </c>
      <c r="G8">
        <f>AVERAGE(GC_esters_raw!I38:I39)</f>
        <v>0.65049999999999997</v>
      </c>
      <c r="H8">
        <f>AVERAGE(GC_esters_raw!J38:J39)</f>
        <v>12.083</v>
      </c>
      <c r="I8">
        <f>AVERAGE(GC_esters_raw!K38:K39)</f>
        <v>5.9887499999999996</v>
      </c>
      <c r="J8">
        <f>AVERAGE(GC_esters_raw!L38:L39)</f>
        <v>72.045500000000004</v>
      </c>
      <c r="K8">
        <f>AVERAGE(GC_esters_raw!M38:M39)</f>
        <v>0.79125000000000001</v>
      </c>
      <c r="L8">
        <f>AVERAGE(GC_esters_raw!N38:N39)</f>
        <v>6.3122499999999997</v>
      </c>
      <c r="M8">
        <f>AVERAGE(GC_esters_raw!O38:O39)</f>
        <v>12.85675</v>
      </c>
      <c r="N8">
        <f>AVERAGE(GC_esters_raw!F40:F41)</f>
        <v>29.305</v>
      </c>
      <c r="O8">
        <f>AVERAGE(GC_esters_raw!G40:G41)</f>
        <v>0</v>
      </c>
      <c r="P8">
        <f>AVERAGE(GC_esters_raw!H40:H41)</f>
        <v>0.182</v>
      </c>
      <c r="Q8">
        <f>AVERAGE(GC_esters_raw!I40:I41)</f>
        <v>0.61875000000000013</v>
      </c>
      <c r="R8">
        <f>AVERAGE(GC_esters_raw!J40:J41)</f>
        <v>11.85125</v>
      </c>
      <c r="S8">
        <f>AVERAGE(GC_esters_raw!K40:K41)</f>
        <v>5.4130000000000003</v>
      </c>
      <c r="T8">
        <f>AVERAGE(GC_esters_raw!L40:L41)</f>
        <v>70.470249999999993</v>
      </c>
      <c r="U8">
        <f>AVERAGE(GC_esters_raw!M40:M41)</f>
        <v>0.75450000000000006</v>
      </c>
      <c r="V8">
        <f>AVERAGE(GC_esters_raw!N40:N41)</f>
        <v>6.3747500000000006</v>
      </c>
      <c r="W8">
        <f>AVERAGE(GC_esters_raw!O40:O41)</f>
        <v>14.280000000000001</v>
      </c>
      <c r="X8">
        <f>STDEV(GC_esters_raw!F38:F39)</f>
        <v>7.3185551852805411E-2</v>
      </c>
      <c r="Y8">
        <f>STDEV(GC_esters_raw!G38:G39)</f>
        <v>0</v>
      </c>
      <c r="Z8">
        <f>STDEV(GC_esters_raw!H38:H39)</f>
        <v>0</v>
      </c>
      <c r="AA8">
        <f>STDEV(GC_esters_raw!I38:I39)</f>
        <v>0</v>
      </c>
      <c r="AB8">
        <f>STDEV(GC_esters_raw!J38:J39)</f>
        <v>4.7376154339498801E-2</v>
      </c>
      <c r="AC8">
        <f>STDEV(GC_esters_raw!K38:K39)</f>
        <v>3.1819805153402124E-3</v>
      </c>
      <c r="AD8">
        <f>STDEV(GC_esters_raw!L38:L39)</f>
        <v>0.10111626970967678</v>
      </c>
      <c r="AE8">
        <f>STDEV(GC_esters_raw!M38:M39)</f>
        <v>3.889087296526054E-3</v>
      </c>
      <c r="AF8">
        <f>STDEV(GC_esters_raw!N38:N39)</f>
        <v>2.5102290732122969E-2</v>
      </c>
      <c r="AG8">
        <f>STDEV(GC_esters_raw!O38:O39)</f>
        <v>0.10359114344382896</v>
      </c>
      <c r="AH8">
        <f>STDEV(GC_esters_raw!F40:F41)</f>
        <v>0.10535891039679623</v>
      </c>
      <c r="AI8">
        <f>STDEV(GC_esters_raw!G40:G41)</f>
        <v>0</v>
      </c>
      <c r="AJ8">
        <f>STDEV(GC_esters_raw!H40:H41)</f>
        <v>0</v>
      </c>
      <c r="AK8">
        <f>STDEV(GC_esters_raw!I40:I41)</f>
        <v>3.8890872965259755E-3</v>
      </c>
      <c r="AL8">
        <f>STDEV(GC_esters_raw!J40:J41)</f>
        <v>5.8336309447889867E-2</v>
      </c>
      <c r="AM8">
        <f>STDEV(GC_esters_raw!K40:K41)</f>
        <v>1.4142135623729393E-3</v>
      </c>
      <c r="AN8">
        <f>STDEV(GC_esters_raw!L40:L41)</f>
        <v>0.3157231777997937</v>
      </c>
      <c r="AO8">
        <f>STDEV(GC_esters_raw!M40:M41)</f>
        <v>7.0710678118654814E-3</v>
      </c>
      <c r="AP8">
        <f>STDEV(GC_esters_raw!N40:N41)</f>
        <v>0.22309218946435583</v>
      </c>
      <c r="AQ8">
        <f>STDEV(GC_esters_raw!O40:O41)</f>
        <v>0.67670118959552772</v>
      </c>
    </row>
    <row r="9" spans="1:43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AVERAGE(GC_esters_raw!F44:F45)</f>
        <v>36.299999999999997</v>
      </c>
      <c r="E9">
        <f>AVERAGE(GC_esters_raw!G44:G45)</f>
        <v>0</v>
      </c>
      <c r="F9">
        <f>AVERAGE(GC_esters_raw!H44:H45)</f>
        <v>0.22</v>
      </c>
      <c r="G9">
        <f>AVERAGE(GC_esters_raw!I44:I45)</f>
        <v>0.7</v>
      </c>
      <c r="H9">
        <f>AVERAGE(GC_esters_raw!J44:J45)</f>
        <v>12.83</v>
      </c>
      <c r="I9">
        <f>AVERAGE(GC_esters_raw!K44:K45)</f>
        <v>6.54</v>
      </c>
      <c r="J9">
        <f>AVERAGE(GC_esters_raw!L44:L45)</f>
        <v>73.894999999999996</v>
      </c>
      <c r="K9">
        <f>AVERAGE(GC_esters_raw!M44:M45)</f>
        <v>0.82499999999999996</v>
      </c>
      <c r="L9">
        <f>AVERAGE(GC_esters_raw!N44:N45)</f>
        <v>7.165</v>
      </c>
      <c r="M9">
        <f>AVERAGE(GC_esters_raw!O44:O45)</f>
        <v>14.65</v>
      </c>
      <c r="N9">
        <f>AVERAGE(GC_esters_raw!F46:F47)</f>
        <v>33.31</v>
      </c>
      <c r="O9">
        <f>AVERAGE(GC_esters_raw!G46:G47)</f>
        <v>0</v>
      </c>
      <c r="P9">
        <f>AVERAGE(GC_esters_raw!H46:H47)</f>
        <v>0.2</v>
      </c>
      <c r="Q9">
        <f>AVERAGE(GC_esters_raw!I46:I47)</f>
        <v>0.67500000000000004</v>
      </c>
      <c r="R9">
        <f>AVERAGE(GC_esters_raw!J46:J47)</f>
        <v>12.785</v>
      </c>
      <c r="S9">
        <f>AVERAGE(GC_esters_raw!K46:K47)</f>
        <v>5.98</v>
      </c>
      <c r="T9">
        <f>AVERAGE(GC_esters_raw!L46:L47)</f>
        <v>73.42</v>
      </c>
      <c r="U9">
        <f>AVERAGE(GC_esters_raw!M46:M47)</f>
        <v>0.79500000000000004</v>
      </c>
      <c r="V9">
        <f>AVERAGE(GC_esters_raw!N46:N47)</f>
        <v>7.16</v>
      </c>
      <c r="W9">
        <f>AVERAGE(GC_esters_raw!O46:O47)</f>
        <v>15.675000000000001</v>
      </c>
      <c r="X9">
        <f>STDEV(GC_esters_raw!F44:F45)</f>
        <v>0.12727922061357835</v>
      </c>
      <c r="Y9">
        <f>STDEV(GC_esters_raw!G44:G45)</f>
        <v>0</v>
      </c>
      <c r="Z9">
        <f>STDEV(GC_esters_raw!H44:H45)</f>
        <v>0</v>
      </c>
      <c r="AA9">
        <f>STDEV(GC_esters_raw!I44:I45)</f>
        <v>0</v>
      </c>
      <c r="AB9">
        <f>STDEV(GC_esters_raw!J44:J45)</f>
        <v>2.8284271247461298E-2</v>
      </c>
      <c r="AC9">
        <f>STDEV(GC_esters_raw!K44:K45)</f>
        <v>0</v>
      </c>
      <c r="AD9">
        <f>STDEV(GC_esters_raw!L44:L45)</f>
        <v>0.13435028842544242</v>
      </c>
      <c r="AE9">
        <f>STDEV(GC_esters_raw!M44:M45)</f>
        <v>7.0710678118654814E-3</v>
      </c>
      <c r="AF9">
        <f>STDEV(GC_esters_raw!N44:N45)</f>
        <v>9.1923881554251727E-2</v>
      </c>
      <c r="AG9">
        <f>STDEV(GC_esters_raw!O44:O45)</f>
        <v>1.4142135623730649E-2</v>
      </c>
      <c r="AH9">
        <f>STDEV(GC_esters_raw!F46:F47)</f>
        <v>0.22627416997969541</v>
      </c>
      <c r="AI9">
        <f>STDEV(GC_esters_raw!G46:G47)</f>
        <v>0</v>
      </c>
      <c r="AJ9">
        <f>STDEV(GC_esters_raw!H46:H47)</f>
        <v>0</v>
      </c>
      <c r="AK9">
        <f>STDEV(GC_esters_raw!I46:I47)</f>
        <v>7.0710678118654814E-3</v>
      </c>
      <c r="AL9">
        <f>STDEV(GC_esters_raw!J46:J47)</f>
        <v>0.10606601717798111</v>
      </c>
      <c r="AM9">
        <f>STDEV(GC_esters_raw!K46:K47)</f>
        <v>1.4142135623731277E-2</v>
      </c>
      <c r="AN9">
        <f>STDEV(GC_esters_raw!L46:L47)</f>
        <v>0.57982756057296414</v>
      </c>
      <c r="AO9">
        <f>STDEV(GC_esters_raw!M46:M47)</f>
        <v>7.0710678118654814E-3</v>
      </c>
      <c r="AP9">
        <f>STDEV(GC_esters_raw!N46:N47)</f>
        <v>0.35355339059327379</v>
      </c>
      <c r="AQ9">
        <f>STDEV(GC_esters_raw!O46:O47)</f>
        <v>1.1667261889578036</v>
      </c>
    </row>
    <row r="10" spans="1:43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AVERAGE(GC_esters_raw!F50:F51)</f>
        <v>37.516249999999999</v>
      </c>
      <c r="E10">
        <f>AVERAGE(GC_esters_raw!G50:G51)</f>
        <v>0</v>
      </c>
      <c r="F10">
        <f>AVERAGE(GC_esters_raw!H50:H51)</f>
        <v>0.22175</v>
      </c>
      <c r="G10">
        <f>AVERAGE(GC_esters_raw!I50:I51)</f>
        <v>0.70524999999999993</v>
      </c>
      <c r="H10">
        <f>AVERAGE(GC_esters_raw!J50:J51)</f>
        <v>12.935</v>
      </c>
      <c r="I10">
        <f>AVERAGE(GC_esters_raw!K50:K51)</f>
        <v>6.5960000000000001</v>
      </c>
      <c r="J10">
        <f>AVERAGE(GC_esters_raw!L50:L51)</f>
        <v>74.122500000000002</v>
      </c>
      <c r="K10">
        <f>AVERAGE(GC_esters_raw!M50:M51)</f>
        <v>0.80749999999999988</v>
      </c>
      <c r="L10">
        <f>AVERAGE(GC_esters_raw!N50:N51)</f>
        <v>7.2402499999999996</v>
      </c>
      <c r="M10">
        <f>AVERAGE(GC_esters_raw!O50:O51)</f>
        <v>15.021000000000001</v>
      </c>
      <c r="N10">
        <f>AVERAGE(GC_esters_raw!F52:F53)</f>
        <v>34.554249999999996</v>
      </c>
      <c r="O10">
        <f>AVERAGE(GC_esters_raw!G52:G53)</f>
        <v>0</v>
      </c>
      <c r="P10">
        <f>AVERAGE(GC_esters_raw!H52:H53)</f>
        <v>0.20175000000000001</v>
      </c>
      <c r="Q10">
        <f>AVERAGE(GC_esters_raw!I52:I53)</f>
        <v>0.68375000000000008</v>
      </c>
      <c r="R10">
        <f>AVERAGE(GC_esters_raw!J52:J53)</f>
        <v>12.904</v>
      </c>
      <c r="S10">
        <f>AVERAGE(GC_esters_raw!K52:K53)</f>
        <v>6.0517500000000002</v>
      </c>
      <c r="T10">
        <f>AVERAGE(GC_esters_raw!L52:L53)</f>
        <v>73.694749999999999</v>
      </c>
      <c r="U10">
        <f>AVERAGE(GC_esters_raw!M52:M53)</f>
        <v>0.78449999999999998</v>
      </c>
      <c r="V10">
        <f>AVERAGE(GC_esters_raw!N52:N53)</f>
        <v>7.3454999999999995</v>
      </c>
      <c r="W10">
        <f>AVERAGE(GC_esters_raw!O52:O53)</f>
        <v>16.59375</v>
      </c>
      <c r="X10">
        <f>STDEV(GC_esters_raw!F50:F51)</f>
        <v>0.30794500320673973</v>
      </c>
      <c r="Y10">
        <f>STDEV(GC_esters_raw!G50:G51)</f>
        <v>0</v>
      </c>
      <c r="Z10">
        <f>STDEV(GC_esters_raw!H50:H51)</f>
        <v>2.4748737341529184E-3</v>
      </c>
      <c r="AA10">
        <f>STDEV(GC_esters_raw!I50:I51)</f>
        <v>2.4748737341529579E-3</v>
      </c>
      <c r="AB10">
        <f>STDEV(GC_esters_raw!J50:J51)</f>
        <v>0.11737972567696715</v>
      </c>
      <c r="AC10">
        <f>STDEV(GC_esters_raw!K50:K51)</f>
        <v>3.464823227814047E-2</v>
      </c>
      <c r="AD10">
        <f>STDEV(GC_esters_raw!L50:L51)</f>
        <v>0.53386561979584013</v>
      </c>
      <c r="AE10">
        <f>STDEV(GC_esters_raw!M50:M51)</f>
        <v>2.1213203435596446E-3</v>
      </c>
      <c r="AF10">
        <f>STDEV(GC_esters_raw!N50:N51)</f>
        <v>2.5102290732122341E-2</v>
      </c>
      <c r="AG10">
        <f>STDEV(GC_esters_raw!O50:O51)</f>
        <v>0.12940054095713807</v>
      </c>
      <c r="AH10">
        <f>STDEV(GC_esters_raw!F52:F53)</f>
        <v>0.12268302653586395</v>
      </c>
      <c r="AI10">
        <f>STDEV(GC_esters_raw!G52:G53)</f>
        <v>0</v>
      </c>
      <c r="AJ10">
        <f>STDEV(GC_esters_raw!H52:H53)</f>
        <v>2.4748737341529184E-3</v>
      </c>
      <c r="AK10">
        <f>STDEV(GC_esters_raw!I52:I53)</f>
        <v>3.5355339059331333E-4</v>
      </c>
      <c r="AL10">
        <f>STDEV(GC_esters_raw!J52:J53)</f>
        <v>6.717514421272372E-2</v>
      </c>
      <c r="AM10">
        <f>STDEV(GC_esters_raw!K52:K53)</f>
        <v>3.7830212793480048E-2</v>
      </c>
      <c r="AN10">
        <f>STDEV(GC_esters_raw!L52:L53)</f>
        <v>0.3779485745442156</v>
      </c>
      <c r="AO10">
        <f>STDEV(GC_esters_raw!M52:M53)</f>
        <v>1.2020815280171319E-2</v>
      </c>
      <c r="AP10">
        <f>STDEV(GC_esters_raw!N52:N53)</f>
        <v>0.26445793616376856</v>
      </c>
      <c r="AQ10">
        <f>STDEV(GC_esters_raw!O52:O53)</f>
        <v>0.76827151775918456</v>
      </c>
    </row>
    <row r="11" spans="1:43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AVERAGE(GC_esters_raw!F56:F57)</f>
        <v>38.732500000000002</v>
      </c>
      <c r="E11">
        <f>AVERAGE(GC_esters_raw!G56:G57)</f>
        <v>0</v>
      </c>
      <c r="F11">
        <f>AVERAGE(GC_esters_raw!H56:H57)</f>
        <v>0.2235</v>
      </c>
      <c r="G11">
        <f>AVERAGE(GC_esters_raw!I56:I57)</f>
        <v>0.71049999999999991</v>
      </c>
      <c r="H11">
        <f>AVERAGE(GC_esters_raw!J56:J57)</f>
        <v>13.04</v>
      </c>
      <c r="I11">
        <f>AVERAGE(GC_esters_raw!K56:K57)</f>
        <v>6.6519999999999992</v>
      </c>
      <c r="J11">
        <f>AVERAGE(GC_esters_raw!L56:L57)</f>
        <v>74.349999999999994</v>
      </c>
      <c r="K11">
        <f>AVERAGE(GC_esters_raw!M56:M57)</f>
        <v>0.79</v>
      </c>
      <c r="L11">
        <f>AVERAGE(GC_esters_raw!N56:N57)</f>
        <v>7.3155000000000001</v>
      </c>
      <c r="M11">
        <f>AVERAGE(GC_esters_raw!O56:O57)</f>
        <v>15.391999999999999</v>
      </c>
      <c r="N11">
        <f>AVERAGE(GC_esters_raw!F58:F59)</f>
        <v>35.798499999999997</v>
      </c>
      <c r="O11">
        <f>AVERAGE(GC_esters_raw!G58:G59)</f>
        <v>0</v>
      </c>
      <c r="P11">
        <f>AVERAGE(GC_esters_raw!H58:H59)</f>
        <v>0.20350000000000001</v>
      </c>
      <c r="Q11">
        <f>AVERAGE(GC_esters_raw!I58:I59)</f>
        <v>0.69249999999999989</v>
      </c>
      <c r="R11">
        <f>AVERAGE(GC_esters_raw!J58:J59)</f>
        <v>13.023</v>
      </c>
      <c r="S11">
        <f>AVERAGE(GC_esters_raw!K58:K59)</f>
        <v>6.1234999999999999</v>
      </c>
      <c r="T11">
        <f>AVERAGE(GC_esters_raw!L58:L59)</f>
        <v>73.969500000000011</v>
      </c>
      <c r="U11">
        <f>AVERAGE(GC_esters_raw!M58:M59)</f>
        <v>0.77400000000000002</v>
      </c>
      <c r="V11">
        <f>AVERAGE(GC_esters_raw!N58:N59)</f>
        <v>7.5310000000000006</v>
      </c>
      <c r="W11">
        <f>AVERAGE(GC_esters_raw!O58:O59)</f>
        <v>17.512500000000003</v>
      </c>
      <c r="X11">
        <f>STDEV(GC_esters_raw!F56:F57)</f>
        <v>0.48861078579990108</v>
      </c>
      <c r="Y11">
        <f>STDEV(GC_esters_raw!G56:G57)</f>
        <v>0</v>
      </c>
      <c r="Z11">
        <f>STDEV(GC_esters_raw!H56:H57)</f>
        <v>4.9497474683058368E-3</v>
      </c>
      <c r="AA11">
        <f>STDEV(GC_esters_raw!I56:I57)</f>
        <v>4.9497474683058368E-3</v>
      </c>
      <c r="AB11">
        <f>STDEV(GC_esters_raw!J56:J57)</f>
        <v>0.20647518010647176</v>
      </c>
      <c r="AC11">
        <f>STDEV(GC_esters_raw!K56:K57)</f>
        <v>6.9296464556281565E-2</v>
      </c>
      <c r="AD11">
        <f>STDEV(GC_esters_raw!L56:L57)</f>
        <v>1.2020815280171329</v>
      </c>
      <c r="AE11">
        <f>STDEV(GC_esters_raw!M56:M57)</f>
        <v>2.8284271247461927E-3</v>
      </c>
      <c r="AF11">
        <f>STDEV(GC_esters_raw!N56:N57)</f>
        <v>4.171930009000642E-2</v>
      </c>
      <c r="AG11">
        <f>STDEV(GC_esters_raw!O56:O57)</f>
        <v>0.2729432175380081</v>
      </c>
      <c r="AH11">
        <f>STDEV(GC_esters_raw!F58:F59)</f>
        <v>0.47164022305142833</v>
      </c>
      <c r="AI11">
        <f>STDEV(GC_esters_raw!G58:G59)</f>
        <v>0</v>
      </c>
      <c r="AJ11">
        <f>STDEV(GC_esters_raw!H58:H59)</f>
        <v>4.9497474683058177E-3</v>
      </c>
      <c r="AK11">
        <f>STDEV(GC_esters_raw!I58:I59)</f>
        <v>7.7781745930520299E-3</v>
      </c>
      <c r="AL11">
        <f>STDEV(GC_esters_raw!J58:J59)</f>
        <v>0.24041630560342606</v>
      </c>
      <c r="AM11">
        <f>STDEV(GC_esters_raw!K58:K59)</f>
        <v>8.9802561210692008E-2</v>
      </c>
      <c r="AN11">
        <f>STDEV(GC_esters_raw!L58:L59)</f>
        <v>1.3357247096613853</v>
      </c>
      <c r="AO11">
        <f>STDEV(GC_esters_raw!M58:M59)</f>
        <v>1.6970562748477157E-2</v>
      </c>
      <c r="AP11">
        <f>STDEV(GC_esters_raw!N58:N59)</f>
        <v>0.17536248173426394</v>
      </c>
      <c r="AQ11">
        <f>STDEV(GC_esters_raw!O58:O59)</f>
        <v>0.36981684656056413</v>
      </c>
    </row>
    <row r="12" spans="1:43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AVERAGE(GC_esters_raw!F62:F63)</f>
        <v>39.774999999999999</v>
      </c>
      <c r="E12">
        <f>AVERAGE(GC_esters_raw!G62:G63)</f>
        <v>0</v>
      </c>
      <c r="F12">
        <f>AVERAGE(GC_esters_raw!H62:H63)</f>
        <v>0.22500000000000001</v>
      </c>
      <c r="G12">
        <f>AVERAGE(GC_esters_raw!I62:I63)</f>
        <v>0.71499999999999997</v>
      </c>
      <c r="H12">
        <f>AVERAGE(GC_esters_raw!J62:J63)</f>
        <v>13.129999999999999</v>
      </c>
      <c r="I12">
        <f>AVERAGE(GC_esters_raw!K62:K63)</f>
        <v>6.6999999999999993</v>
      </c>
      <c r="J12">
        <f>AVERAGE(GC_esters_raw!L62:L63)</f>
        <v>74.545000000000002</v>
      </c>
      <c r="K12">
        <f>AVERAGE(GC_esters_raw!M62:M63)</f>
        <v>0.77500000000000002</v>
      </c>
      <c r="L12">
        <f>AVERAGE(GC_esters_raw!N62:N63)</f>
        <v>7.38</v>
      </c>
      <c r="M12">
        <f>AVERAGE(GC_esters_raw!O62:O63)</f>
        <v>15.71</v>
      </c>
      <c r="N12">
        <f>AVERAGE(GC_esters_raw!F59:F60)</f>
        <v>35.464999999999996</v>
      </c>
      <c r="O12">
        <f>AVERAGE(GC_esters_raw!G59:G60)</f>
        <v>0</v>
      </c>
      <c r="P12">
        <f>AVERAGE(GC_esters_raw!H59:H60)</f>
        <v>0.2</v>
      </c>
      <c r="Q12">
        <f>AVERAGE(GC_esters_raw!I59:I60)</f>
        <v>0.68699999999999994</v>
      </c>
      <c r="R12">
        <f>AVERAGE(GC_esters_raw!J59:J60)</f>
        <v>12.853</v>
      </c>
      <c r="S12">
        <f>AVERAGE(GC_esters_raw!K59:K60)</f>
        <v>6.06</v>
      </c>
      <c r="T12">
        <f>AVERAGE(GC_esters_raw!L59:L60)</f>
        <v>73.025000000000006</v>
      </c>
      <c r="U12">
        <f>AVERAGE(GC_esters_raw!M59:M60)</f>
        <v>0.76200000000000001</v>
      </c>
      <c r="V12">
        <f>AVERAGE(GC_esters_raw!N59:N60)</f>
        <v>7.407</v>
      </c>
      <c r="W12">
        <f>AVERAGE(GC_esters_raw!O59:O60)</f>
        <v>17.251000000000001</v>
      </c>
      <c r="X12">
        <f>STDEV(GC_esters_raw!F62:F63)</f>
        <v>0.6434671708797558</v>
      </c>
      <c r="Y12">
        <f>STDEV(GC_esters_raw!G62:G63)</f>
        <v>0</v>
      </c>
      <c r="Z12">
        <f>STDEV(GC_esters_raw!H62:H63)</f>
        <v>7.0710678118654814E-3</v>
      </c>
      <c r="AA12">
        <f>STDEV(GC_esters_raw!I62:I63)</f>
        <v>7.0710678118654814E-3</v>
      </c>
      <c r="AB12">
        <f>STDEV(GC_esters_raw!J62:J63)</f>
        <v>0.28284271247461928</v>
      </c>
      <c r="AC12">
        <f>STDEV(GC_esters_raw!K62:K63)</f>
        <v>9.8994949366116428E-2</v>
      </c>
      <c r="AD12">
        <f>STDEV(GC_esters_raw!L62:L63)</f>
        <v>1.7748380207782279</v>
      </c>
      <c r="AE12">
        <f>STDEV(GC_esters_raw!M62:M63)</f>
        <v>7.0710678118654814E-3</v>
      </c>
      <c r="AF12">
        <f>STDEV(GC_esters_raw!N62:N63)</f>
        <v>9.8994949366117052E-2</v>
      </c>
      <c r="AG12">
        <f>STDEV(GC_esters_raw!O62:O63)</f>
        <v>0.39597979746446693</v>
      </c>
      <c r="AH12" t="e">
        <f>STDEV(GC_esters_raw!F59:F60)</f>
        <v>#DIV/0!</v>
      </c>
      <c r="AI12" t="e">
        <f>STDEV(GC_esters_raw!G59:G60)</f>
        <v>#DIV/0!</v>
      </c>
      <c r="AJ12" t="e">
        <f>STDEV(GC_esters_raw!H59:H60)</f>
        <v>#DIV/0!</v>
      </c>
      <c r="AK12" t="e">
        <f>STDEV(GC_esters_raw!I59:I60)</f>
        <v>#DIV/0!</v>
      </c>
      <c r="AL12" t="e">
        <f>STDEV(GC_esters_raw!J59:J60)</f>
        <v>#DIV/0!</v>
      </c>
      <c r="AM12" t="e">
        <f>STDEV(GC_esters_raw!K59:K60)</f>
        <v>#DIV/0!</v>
      </c>
      <c r="AN12" t="e">
        <f>STDEV(GC_esters_raw!L59:L60)</f>
        <v>#DIV/0!</v>
      </c>
      <c r="AO12" t="e">
        <f>STDEV(GC_esters_raw!M59:M60)</f>
        <v>#DIV/0!</v>
      </c>
      <c r="AP12" t="e">
        <f>STDEV(GC_esters_raw!N59:N60)</f>
        <v>#DIV/0!</v>
      </c>
      <c r="AQ12" t="e">
        <f>STDEV(GC_esters_raw!O59:O60)</f>
        <v>#DIV/0!</v>
      </c>
    </row>
    <row r="13" spans="1:43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AVERAGE(GC_esters_raw!F68:F69)</f>
        <v>#N/A</v>
      </c>
      <c r="E13" t="e">
        <f>AVERAGE(GC_esters_raw!G68:G69)</f>
        <v>#N/A</v>
      </c>
      <c r="F13" t="e">
        <f>AVERAGE(GC_esters_raw!H68:H69)</f>
        <v>#N/A</v>
      </c>
      <c r="G13" t="e">
        <f>AVERAGE(GC_esters_raw!I68:I69)</f>
        <v>#N/A</v>
      </c>
      <c r="H13" t="e">
        <f>AVERAGE(GC_esters_raw!J68:J69)</f>
        <v>#N/A</v>
      </c>
      <c r="I13" t="e">
        <f>AVERAGE(GC_esters_raw!K68:K69)</f>
        <v>#N/A</v>
      </c>
      <c r="J13" t="e">
        <f>AVERAGE(GC_esters_raw!L68:L69)</f>
        <v>#N/A</v>
      </c>
      <c r="K13" t="e">
        <f>AVERAGE(GC_esters_raw!M68:M69)</f>
        <v>#N/A</v>
      </c>
      <c r="L13" t="e">
        <f>AVERAGE(GC_esters_raw!N68:N69)</f>
        <v>#N/A</v>
      </c>
      <c r="M13" t="e">
        <f>AVERAGE(GC_esters_raw!O68:O69)</f>
        <v>#N/A</v>
      </c>
      <c r="N13" t="e">
        <f>AVERAGE(GC_esters_raw!F70:F71)</f>
        <v>#N/A</v>
      </c>
      <c r="O13" t="e">
        <f>AVERAGE(GC_esters_raw!G70:G71)</f>
        <v>#N/A</v>
      </c>
      <c r="P13" t="e">
        <f>AVERAGE(GC_esters_raw!H70:H71)</f>
        <v>#N/A</v>
      </c>
      <c r="Q13" t="e">
        <f>AVERAGE(GC_esters_raw!I70:I71)</f>
        <v>#N/A</v>
      </c>
      <c r="R13" t="e">
        <f>AVERAGE(GC_esters_raw!J70:J71)</f>
        <v>#N/A</v>
      </c>
      <c r="S13" t="e">
        <f>AVERAGE(GC_esters_raw!K70:K71)</f>
        <v>#N/A</v>
      </c>
      <c r="T13" t="e">
        <f>AVERAGE(GC_esters_raw!L70:L71)</f>
        <v>#N/A</v>
      </c>
      <c r="U13" t="e">
        <f>AVERAGE(GC_esters_raw!M70:M71)</f>
        <v>#N/A</v>
      </c>
      <c r="V13" t="e">
        <f>AVERAGE(GC_esters_raw!N70:N71)</f>
        <v>#N/A</v>
      </c>
      <c r="W13" t="e">
        <f>AVERAGE(GC_esters_raw!O70:O71)</f>
        <v>#N/A</v>
      </c>
      <c r="X13" t="e">
        <f>STDEV(GC_esters_raw!F68:F69)</f>
        <v>#N/A</v>
      </c>
      <c r="Y13" t="e">
        <f>STDEV(GC_esters_raw!G68:G69)</f>
        <v>#N/A</v>
      </c>
      <c r="Z13" t="e">
        <f>STDEV(GC_esters_raw!H68:H69)</f>
        <v>#N/A</v>
      </c>
      <c r="AA13" t="e">
        <f>STDEV(GC_esters_raw!I68:I69)</f>
        <v>#N/A</v>
      </c>
      <c r="AB13" t="e">
        <f>STDEV(GC_esters_raw!J68:J69)</f>
        <v>#N/A</v>
      </c>
      <c r="AC13" t="e">
        <f>STDEV(GC_esters_raw!K68:K69)</f>
        <v>#N/A</v>
      </c>
      <c r="AD13" t="e">
        <f>STDEV(GC_esters_raw!L68:L69)</f>
        <v>#N/A</v>
      </c>
      <c r="AE13" t="e">
        <f>STDEV(GC_esters_raw!M68:M69)</f>
        <v>#N/A</v>
      </c>
      <c r="AF13" t="e">
        <f>STDEV(GC_esters_raw!N68:N69)</f>
        <v>#N/A</v>
      </c>
      <c r="AG13" t="e">
        <f>STDEV(GC_esters_raw!O68:O69)</f>
        <v>#N/A</v>
      </c>
      <c r="AH13" t="e">
        <f>STDEV(GC_esters_raw!F70:F71)</f>
        <v>#N/A</v>
      </c>
      <c r="AI13" t="e">
        <f>STDEV(GC_esters_raw!G70:G71)</f>
        <v>#N/A</v>
      </c>
      <c r="AJ13" t="e">
        <f>STDEV(GC_esters_raw!H70:H71)</f>
        <v>#N/A</v>
      </c>
      <c r="AK13" t="e">
        <f>STDEV(GC_esters_raw!I70:I71)</f>
        <v>#N/A</v>
      </c>
      <c r="AL13" t="e">
        <f>STDEV(GC_esters_raw!J70:J71)</f>
        <v>#N/A</v>
      </c>
      <c r="AM13" t="e">
        <f>STDEV(GC_esters_raw!K70:K71)</f>
        <v>#N/A</v>
      </c>
      <c r="AN13" t="e">
        <f>STDEV(GC_esters_raw!L70:L71)</f>
        <v>#N/A</v>
      </c>
      <c r="AO13" t="e">
        <f>STDEV(GC_esters_raw!M70:M71)</f>
        <v>#N/A</v>
      </c>
      <c r="AP13" t="e">
        <f>STDEV(GC_esters_raw!N70:N71)</f>
        <v>#N/A</v>
      </c>
      <c r="AQ13" t="e">
        <f>STDEV(GC_esters_raw!O70:O71)</f>
        <v>#N/A</v>
      </c>
    </row>
    <row r="14" spans="1:43" x14ac:dyDescent="0.25">
      <c r="A14" s="8">
        <f>CellCount_Viability!A14</f>
        <v>0</v>
      </c>
      <c r="B14" s="69" t="e">
        <f t="shared" si="1"/>
        <v>#VALUE!</v>
      </c>
      <c r="C14" s="63" t="str">
        <f t="shared" si="0"/>
        <v/>
      </c>
      <c r="D14" t="e">
        <f>AVERAGE(GC_esters_raw!F74:F75)</f>
        <v>#N/A</v>
      </c>
      <c r="E14" t="e">
        <f>AVERAGE(GC_esters_raw!G74:G75)</f>
        <v>#N/A</v>
      </c>
      <c r="F14" t="e">
        <f>AVERAGE(GC_esters_raw!H74:H75)</f>
        <v>#N/A</v>
      </c>
      <c r="G14" t="e">
        <f>AVERAGE(GC_esters_raw!I74:I75)</f>
        <v>#N/A</v>
      </c>
      <c r="H14" t="e">
        <f>AVERAGE(GC_esters_raw!J74:J75)</f>
        <v>#N/A</v>
      </c>
      <c r="I14" t="e">
        <f>AVERAGE(GC_esters_raw!K74:K75)</f>
        <v>#N/A</v>
      </c>
      <c r="J14" t="e">
        <f>AVERAGE(GC_esters_raw!L74:L75)</f>
        <v>#N/A</v>
      </c>
      <c r="K14" t="e">
        <f>AVERAGE(GC_esters_raw!M74:M75)</f>
        <v>#N/A</v>
      </c>
      <c r="L14" t="e">
        <f>AVERAGE(GC_esters_raw!N74:N75)</f>
        <v>#N/A</v>
      </c>
      <c r="M14" t="e">
        <f>AVERAGE(GC_esters_raw!O74:O75)</f>
        <v>#N/A</v>
      </c>
      <c r="N14" t="e">
        <f>AVERAGE(GC_esters_raw!F76:F77)</f>
        <v>#N/A</v>
      </c>
      <c r="O14" t="e">
        <f>AVERAGE(GC_esters_raw!G76:G77)</f>
        <v>#N/A</v>
      </c>
      <c r="P14" t="e">
        <f>AVERAGE(GC_esters_raw!H76:H77)</f>
        <v>#N/A</v>
      </c>
      <c r="Q14" t="e">
        <f>AVERAGE(GC_esters_raw!I76:I77)</f>
        <v>#N/A</v>
      </c>
      <c r="R14" t="e">
        <f>AVERAGE(GC_esters_raw!J76:J77)</f>
        <v>#N/A</v>
      </c>
      <c r="S14" t="e">
        <f>AVERAGE(GC_esters_raw!K76:K77)</f>
        <v>#N/A</v>
      </c>
      <c r="T14" t="e">
        <f>AVERAGE(GC_esters_raw!L76:L77)</f>
        <v>#N/A</v>
      </c>
      <c r="U14" t="e">
        <f>AVERAGE(GC_esters_raw!M76:M77)</f>
        <v>#N/A</v>
      </c>
      <c r="V14" t="e">
        <f>AVERAGE(GC_esters_raw!N76:N77)</f>
        <v>#N/A</v>
      </c>
      <c r="W14" t="e">
        <f>AVERAGE(GC_esters_raw!O76:O77)</f>
        <v>#N/A</v>
      </c>
      <c r="X14" t="e">
        <f>STDEV(GC_esters_raw!F74:F75)</f>
        <v>#N/A</v>
      </c>
      <c r="Y14" t="e">
        <f>STDEV(GC_esters_raw!G74:G75)</f>
        <v>#N/A</v>
      </c>
      <c r="Z14" t="e">
        <f>STDEV(GC_esters_raw!H74:H75)</f>
        <v>#N/A</v>
      </c>
      <c r="AA14" t="e">
        <f>STDEV(GC_esters_raw!I74:I75)</f>
        <v>#N/A</v>
      </c>
      <c r="AB14" t="e">
        <f>STDEV(GC_esters_raw!J74:J75)</f>
        <v>#N/A</v>
      </c>
      <c r="AC14" t="e">
        <f>STDEV(GC_esters_raw!K74:K75)</f>
        <v>#N/A</v>
      </c>
      <c r="AD14" t="e">
        <f>STDEV(GC_esters_raw!L74:L75)</f>
        <v>#N/A</v>
      </c>
      <c r="AE14" t="e">
        <f>STDEV(GC_esters_raw!M74:M75)</f>
        <v>#N/A</v>
      </c>
      <c r="AF14" t="e">
        <f>STDEV(GC_esters_raw!N74:N75)</f>
        <v>#N/A</v>
      </c>
      <c r="AG14" t="e">
        <f>STDEV(GC_esters_raw!O74:O75)</f>
        <v>#N/A</v>
      </c>
      <c r="AH14" t="e">
        <f>STDEV(GC_esters_raw!F76:F77)</f>
        <v>#N/A</v>
      </c>
      <c r="AI14" t="e">
        <f>STDEV(GC_esters_raw!G76:G77)</f>
        <v>#N/A</v>
      </c>
      <c r="AJ14" t="e">
        <f>STDEV(GC_esters_raw!H76:H77)</f>
        <v>#N/A</v>
      </c>
      <c r="AK14" t="e">
        <f>STDEV(GC_esters_raw!I76:I77)</f>
        <v>#N/A</v>
      </c>
      <c r="AL14" t="e">
        <f>STDEV(GC_esters_raw!J76:J77)</f>
        <v>#N/A</v>
      </c>
      <c r="AM14" t="e">
        <f>STDEV(GC_esters_raw!K76:K77)</f>
        <v>#N/A</v>
      </c>
      <c r="AN14" t="e">
        <f>STDEV(GC_esters_raw!L76:L77)</f>
        <v>#N/A</v>
      </c>
      <c r="AO14" t="e">
        <f>STDEV(GC_esters_raw!M76:M77)</f>
        <v>#N/A</v>
      </c>
      <c r="AP14" t="e">
        <f>STDEV(GC_esters_raw!N76:N77)</f>
        <v>#N/A</v>
      </c>
      <c r="AQ14" t="e">
        <f>STDEV(GC_esters_raw!O76:O77)</f>
        <v>#N/A</v>
      </c>
    </row>
    <row r="15" spans="1:43" x14ac:dyDescent="0.25">
      <c r="A15" s="8">
        <f>CellCount_Viability!A15</f>
        <v>0</v>
      </c>
      <c r="B15" s="69" t="e">
        <f t="shared" si="1"/>
        <v>#VALUE!</v>
      </c>
      <c r="C15" s="63" t="str">
        <f t="shared" si="0"/>
        <v/>
      </c>
      <c r="D15" t="e">
        <f>AVERAGE(GC_esters_raw!F80:F81)</f>
        <v>#N/A</v>
      </c>
      <c r="E15" t="e">
        <f>AVERAGE(GC_esters_raw!G80:G81)</f>
        <v>#N/A</v>
      </c>
      <c r="F15" t="e">
        <f>AVERAGE(GC_esters_raw!H80:H81)</f>
        <v>#N/A</v>
      </c>
      <c r="G15" t="e">
        <f>AVERAGE(GC_esters_raw!I80:I81)</f>
        <v>#N/A</v>
      </c>
      <c r="H15" t="e">
        <f>AVERAGE(GC_esters_raw!J80:J81)</f>
        <v>#N/A</v>
      </c>
      <c r="I15" t="e">
        <f>AVERAGE(GC_esters_raw!K80:K81)</f>
        <v>#N/A</v>
      </c>
      <c r="J15" t="e">
        <f>AVERAGE(GC_esters_raw!L80:L81)</f>
        <v>#N/A</v>
      </c>
      <c r="K15" t="e">
        <f>AVERAGE(GC_esters_raw!M80:M81)</f>
        <v>#N/A</v>
      </c>
      <c r="L15" t="e">
        <f>AVERAGE(GC_esters_raw!N80:N81)</f>
        <v>#N/A</v>
      </c>
      <c r="M15" t="e">
        <f>AVERAGE(GC_esters_raw!O80:O81)</f>
        <v>#N/A</v>
      </c>
      <c r="N15" t="e">
        <f>AVERAGE(GC_esters_raw!F82:F83)</f>
        <v>#N/A</v>
      </c>
      <c r="O15" t="e">
        <f>AVERAGE(GC_esters_raw!G82:G83)</f>
        <v>#N/A</v>
      </c>
      <c r="P15" t="e">
        <f>AVERAGE(GC_esters_raw!H82:H83)</f>
        <v>#N/A</v>
      </c>
      <c r="Q15" t="e">
        <f>AVERAGE(GC_esters_raw!I82:I83)</f>
        <v>#N/A</v>
      </c>
      <c r="R15" t="e">
        <f>AVERAGE(GC_esters_raw!J82:J83)</f>
        <v>#N/A</v>
      </c>
      <c r="S15" t="e">
        <f>AVERAGE(GC_esters_raw!K82:K83)</f>
        <v>#N/A</v>
      </c>
      <c r="T15" t="e">
        <f>AVERAGE(GC_esters_raw!L82:L83)</f>
        <v>#N/A</v>
      </c>
      <c r="U15" t="e">
        <f>AVERAGE(GC_esters_raw!M82:M83)</f>
        <v>#N/A</v>
      </c>
      <c r="V15" t="e">
        <f>AVERAGE(GC_esters_raw!N82:N83)</f>
        <v>#N/A</v>
      </c>
      <c r="W15" t="e">
        <f>AVERAGE(GC_esters_raw!O82:O83)</f>
        <v>#N/A</v>
      </c>
      <c r="X15" t="e">
        <f>STDEV(GC_esters_raw!F80:F81)</f>
        <v>#N/A</v>
      </c>
      <c r="Y15" t="e">
        <f>STDEV(GC_esters_raw!G80:G81)</f>
        <v>#N/A</v>
      </c>
      <c r="Z15" t="e">
        <f>STDEV(GC_esters_raw!H80:H81)</f>
        <v>#N/A</v>
      </c>
      <c r="AA15" t="e">
        <f>STDEV(GC_esters_raw!I80:I81)</f>
        <v>#N/A</v>
      </c>
      <c r="AB15" t="e">
        <f>STDEV(GC_esters_raw!J80:J81)</f>
        <v>#N/A</v>
      </c>
      <c r="AC15" t="e">
        <f>STDEV(GC_esters_raw!K80:K81)</f>
        <v>#N/A</v>
      </c>
      <c r="AD15" t="e">
        <f>STDEV(GC_esters_raw!L80:L81)</f>
        <v>#N/A</v>
      </c>
      <c r="AE15" t="e">
        <f>STDEV(GC_esters_raw!M80:M81)</f>
        <v>#N/A</v>
      </c>
      <c r="AF15" t="e">
        <f>STDEV(GC_esters_raw!N80:N81)</f>
        <v>#N/A</v>
      </c>
      <c r="AG15" t="e">
        <f>STDEV(GC_esters_raw!O80:O81)</f>
        <v>#N/A</v>
      </c>
      <c r="AH15" t="e">
        <f>STDEV(GC_esters_raw!F82:F83)</f>
        <v>#N/A</v>
      </c>
      <c r="AI15" t="e">
        <f>STDEV(GC_esters_raw!G82:G83)</f>
        <v>#N/A</v>
      </c>
      <c r="AJ15" t="e">
        <f>STDEV(GC_esters_raw!H82:H83)</f>
        <v>#N/A</v>
      </c>
      <c r="AK15" t="e">
        <f>STDEV(GC_esters_raw!I82:I83)</f>
        <v>#N/A</v>
      </c>
      <c r="AL15" t="e">
        <f>STDEV(GC_esters_raw!J82:J83)</f>
        <v>#N/A</v>
      </c>
      <c r="AM15" t="e">
        <f>STDEV(GC_esters_raw!K82:K83)</f>
        <v>#N/A</v>
      </c>
      <c r="AN15" t="e">
        <f>STDEV(GC_esters_raw!L82:L83)</f>
        <v>#N/A</v>
      </c>
      <c r="AO15" t="e">
        <f>STDEV(GC_esters_raw!M82:M83)</f>
        <v>#N/A</v>
      </c>
      <c r="AP15" t="e">
        <f>STDEV(GC_esters_raw!N82:N83)</f>
        <v>#N/A</v>
      </c>
      <c r="AQ15" t="e">
        <f>STDEV(GC_esters_raw!O82:O83)</f>
        <v>#N/A</v>
      </c>
    </row>
    <row r="16" spans="1:43" x14ac:dyDescent="0.25">
      <c r="A16" s="8">
        <f>CellCount_Viability!A16</f>
        <v>0</v>
      </c>
      <c r="B16" s="69" t="e">
        <f t="shared" si="1"/>
        <v>#VALUE!</v>
      </c>
      <c r="C16" s="63" t="str">
        <f t="shared" si="0"/>
        <v/>
      </c>
      <c r="D16" t="e">
        <f>AVERAGE(GC_esters_raw!F86:F87)</f>
        <v>#N/A</v>
      </c>
      <c r="E16" t="e">
        <f>AVERAGE(GC_esters_raw!G86:G87)</f>
        <v>#N/A</v>
      </c>
      <c r="F16" t="e">
        <f>AVERAGE(GC_esters_raw!H86:H87)</f>
        <v>#N/A</v>
      </c>
      <c r="G16" t="e">
        <f>AVERAGE(GC_esters_raw!I86:I87)</f>
        <v>#N/A</v>
      </c>
      <c r="H16" t="e">
        <f>AVERAGE(GC_esters_raw!J86:J87)</f>
        <v>#N/A</v>
      </c>
      <c r="I16" t="e">
        <f>AVERAGE(GC_esters_raw!K86:K87)</f>
        <v>#N/A</v>
      </c>
      <c r="J16" t="e">
        <f>AVERAGE(GC_esters_raw!L86:L87)</f>
        <v>#N/A</v>
      </c>
      <c r="K16" t="e">
        <f>AVERAGE(GC_esters_raw!M86:M87)</f>
        <v>#N/A</v>
      </c>
      <c r="L16" t="e">
        <f>AVERAGE(GC_esters_raw!N86:N87)</f>
        <v>#N/A</v>
      </c>
      <c r="M16" t="e">
        <f>AVERAGE(GC_esters_raw!O86:O87)</f>
        <v>#N/A</v>
      </c>
      <c r="N16" t="e">
        <f>AVERAGE(GC_esters_raw!F88:F89)</f>
        <v>#N/A</v>
      </c>
      <c r="O16" t="e">
        <f>AVERAGE(GC_esters_raw!G88:G89)</f>
        <v>#N/A</v>
      </c>
      <c r="P16" t="e">
        <f>AVERAGE(GC_esters_raw!H88:H89)</f>
        <v>#N/A</v>
      </c>
      <c r="Q16" t="e">
        <f>AVERAGE(GC_esters_raw!I88:I89)</f>
        <v>#N/A</v>
      </c>
      <c r="R16" t="e">
        <f>AVERAGE(GC_esters_raw!J88:J89)</f>
        <v>#N/A</v>
      </c>
      <c r="S16" t="e">
        <f>AVERAGE(GC_esters_raw!K88:K89)</f>
        <v>#N/A</v>
      </c>
      <c r="T16" t="e">
        <f>AVERAGE(GC_esters_raw!L88:L89)</f>
        <v>#N/A</v>
      </c>
      <c r="U16" t="e">
        <f>AVERAGE(GC_esters_raw!M88:M89)</f>
        <v>#N/A</v>
      </c>
      <c r="V16" t="e">
        <f>AVERAGE(GC_esters_raw!N88:N89)</f>
        <v>#N/A</v>
      </c>
      <c r="W16" t="e">
        <f>AVERAGE(GC_esters_raw!O88:O89)</f>
        <v>#N/A</v>
      </c>
      <c r="X16" t="e">
        <f>STDEV(GC_esters_raw!F86:F87)</f>
        <v>#N/A</v>
      </c>
      <c r="Y16" t="e">
        <f>STDEV(GC_esters_raw!G86:G87)</f>
        <v>#N/A</v>
      </c>
      <c r="Z16" t="e">
        <f>STDEV(GC_esters_raw!H86:H87)</f>
        <v>#N/A</v>
      </c>
      <c r="AA16" t="e">
        <f>STDEV(GC_esters_raw!I86:I87)</f>
        <v>#N/A</v>
      </c>
      <c r="AB16" t="e">
        <f>STDEV(GC_esters_raw!J86:J87)</f>
        <v>#N/A</v>
      </c>
      <c r="AC16" t="e">
        <f>STDEV(GC_esters_raw!K86:K87)</f>
        <v>#N/A</v>
      </c>
      <c r="AD16" t="e">
        <f>STDEV(GC_esters_raw!L86:L87)</f>
        <v>#N/A</v>
      </c>
      <c r="AE16" t="e">
        <f>STDEV(GC_esters_raw!M86:M87)</f>
        <v>#N/A</v>
      </c>
      <c r="AF16" t="e">
        <f>STDEV(GC_esters_raw!N86:N87)</f>
        <v>#N/A</v>
      </c>
      <c r="AG16" t="e">
        <f>STDEV(GC_esters_raw!O86:O87)</f>
        <v>#N/A</v>
      </c>
      <c r="AH16" t="e">
        <f>STDEV(GC_esters_raw!F88:F89)</f>
        <v>#N/A</v>
      </c>
      <c r="AI16" t="e">
        <f>STDEV(GC_esters_raw!G88:G89)</f>
        <v>#N/A</v>
      </c>
      <c r="AJ16" t="e">
        <f>STDEV(GC_esters_raw!H88:H89)</f>
        <v>#N/A</v>
      </c>
      <c r="AK16" t="e">
        <f>STDEV(GC_esters_raw!I88:I89)</f>
        <v>#N/A</v>
      </c>
      <c r="AL16" t="e">
        <f>STDEV(GC_esters_raw!J88:J89)</f>
        <v>#N/A</v>
      </c>
      <c r="AM16" t="e">
        <f>STDEV(GC_esters_raw!K88:K89)</f>
        <v>#N/A</v>
      </c>
      <c r="AN16" t="e">
        <f>STDEV(GC_esters_raw!L88:L89)</f>
        <v>#N/A</v>
      </c>
      <c r="AO16" t="e">
        <f>STDEV(GC_esters_raw!M88:M89)</f>
        <v>#N/A</v>
      </c>
      <c r="AP16" t="e">
        <f>STDEV(GC_esters_raw!N88:N89)</f>
        <v>#N/A</v>
      </c>
      <c r="AQ16" t="e">
        <f>STDEV(GC_esters_raw!O88:O89)</f>
        <v>#N/A</v>
      </c>
    </row>
    <row r="17" spans="1:43" x14ac:dyDescent="0.25">
      <c r="A17" s="8">
        <f>CellCount_Viability!A17</f>
        <v>0</v>
      </c>
      <c r="B17" s="69" t="e">
        <f t="shared" si="1"/>
        <v>#VALUE!</v>
      </c>
      <c r="C17" s="63" t="str">
        <f t="shared" si="0"/>
        <v/>
      </c>
      <c r="D17" t="e">
        <f>AVERAGE(GC_esters_raw!F92:F93)</f>
        <v>#N/A</v>
      </c>
      <c r="E17" t="e">
        <f>AVERAGE(GC_esters_raw!G92:G93)</f>
        <v>#N/A</v>
      </c>
      <c r="F17" t="e">
        <f>AVERAGE(GC_esters_raw!H92:H93)</f>
        <v>#N/A</v>
      </c>
      <c r="G17" t="e">
        <f>AVERAGE(GC_esters_raw!I92:I93)</f>
        <v>#N/A</v>
      </c>
      <c r="H17" t="e">
        <f>AVERAGE(GC_esters_raw!J92:J93)</f>
        <v>#N/A</v>
      </c>
      <c r="I17" t="e">
        <f>AVERAGE(GC_esters_raw!K92:K93)</f>
        <v>#N/A</v>
      </c>
      <c r="J17" t="e">
        <f>AVERAGE(GC_esters_raw!L92:L93)</f>
        <v>#N/A</v>
      </c>
      <c r="K17" t="e">
        <f>AVERAGE(GC_esters_raw!M92:M93)</f>
        <v>#N/A</v>
      </c>
      <c r="L17" t="e">
        <f>AVERAGE(GC_esters_raw!N92:N93)</f>
        <v>#N/A</v>
      </c>
      <c r="M17" t="e">
        <f>AVERAGE(GC_esters_raw!O92:O93)</f>
        <v>#N/A</v>
      </c>
      <c r="N17" t="e">
        <f>AVERAGE(GC_esters_raw!F94:F95)</f>
        <v>#N/A</v>
      </c>
      <c r="O17" t="e">
        <f>AVERAGE(GC_esters_raw!G94:G95)</f>
        <v>#N/A</v>
      </c>
      <c r="P17" t="e">
        <f>AVERAGE(GC_esters_raw!H94:H95)</f>
        <v>#N/A</v>
      </c>
      <c r="Q17" t="e">
        <f>AVERAGE(GC_esters_raw!I94:I95)</f>
        <v>#N/A</v>
      </c>
      <c r="R17" t="e">
        <f>AVERAGE(GC_esters_raw!J94:J95)</f>
        <v>#N/A</v>
      </c>
      <c r="S17" t="e">
        <f>AVERAGE(GC_esters_raw!K94:K95)</f>
        <v>#N/A</v>
      </c>
      <c r="T17" t="e">
        <f>AVERAGE(GC_esters_raw!L94:L95)</f>
        <v>#N/A</v>
      </c>
      <c r="U17" t="e">
        <f>AVERAGE(GC_esters_raw!M94:M95)</f>
        <v>#N/A</v>
      </c>
      <c r="V17" t="e">
        <f>AVERAGE(GC_esters_raw!N94:N95)</f>
        <v>#N/A</v>
      </c>
      <c r="W17" t="e">
        <f>AVERAGE(GC_esters_raw!O94:O95)</f>
        <v>#N/A</v>
      </c>
      <c r="X17" t="e">
        <f>STDEV(GC_esters_raw!F92:F93)</f>
        <v>#N/A</v>
      </c>
      <c r="Y17" t="e">
        <f>STDEV(GC_esters_raw!G92:G93)</f>
        <v>#N/A</v>
      </c>
      <c r="Z17" t="e">
        <f>STDEV(GC_esters_raw!H92:H93)</f>
        <v>#N/A</v>
      </c>
      <c r="AA17" t="e">
        <f>STDEV(GC_esters_raw!I92:I93)</f>
        <v>#N/A</v>
      </c>
      <c r="AB17" t="e">
        <f>STDEV(GC_esters_raw!J92:J93)</f>
        <v>#N/A</v>
      </c>
      <c r="AC17" t="e">
        <f>STDEV(GC_esters_raw!K92:K93)</f>
        <v>#N/A</v>
      </c>
      <c r="AD17" t="e">
        <f>STDEV(GC_esters_raw!L92:L93)</f>
        <v>#N/A</v>
      </c>
      <c r="AE17" t="e">
        <f>STDEV(GC_esters_raw!M92:M93)</f>
        <v>#N/A</v>
      </c>
      <c r="AF17" t="e">
        <f>STDEV(GC_esters_raw!N92:N93)</f>
        <v>#N/A</v>
      </c>
      <c r="AG17" t="e">
        <f>STDEV(GC_esters_raw!O92:O93)</f>
        <v>#N/A</v>
      </c>
      <c r="AH17" t="e">
        <f>STDEV(GC_esters_raw!F94:F95)</f>
        <v>#N/A</v>
      </c>
      <c r="AI17" t="e">
        <f>STDEV(GC_esters_raw!G94:G95)</f>
        <v>#N/A</v>
      </c>
      <c r="AJ17" t="e">
        <f>STDEV(GC_esters_raw!H94:H95)</f>
        <v>#N/A</v>
      </c>
      <c r="AK17" t="e">
        <f>STDEV(GC_esters_raw!I94:I95)</f>
        <v>#N/A</v>
      </c>
      <c r="AL17" t="e">
        <f>STDEV(GC_esters_raw!J94:J95)</f>
        <v>#N/A</v>
      </c>
      <c r="AM17" t="e">
        <f>STDEV(GC_esters_raw!K94:K95)</f>
        <v>#N/A</v>
      </c>
      <c r="AN17" t="e">
        <f>STDEV(GC_esters_raw!L94:L95)</f>
        <v>#N/A</v>
      </c>
      <c r="AO17" t="e">
        <f>STDEV(GC_esters_raw!M94:M95)</f>
        <v>#N/A</v>
      </c>
      <c r="AP17" t="e">
        <f>STDEV(GC_esters_raw!N94:N95)</f>
        <v>#N/A</v>
      </c>
      <c r="AQ17" t="e">
        <f>STDEV(GC_esters_raw!O94:O95)</f>
        <v>#N/A</v>
      </c>
    </row>
    <row r="18" spans="1:43" x14ac:dyDescent="0.25">
      <c r="A18" s="8">
        <f>CellCount_Viability!A18</f>
        <v>0</v>
      </c>
      <c r="B18" s="69" t="e">
        <f t="shared" si="1"/>
        <v>#VALUE!</v>
      </c>
      <c r="C18" s="63" t="str">
        <f t="shared" si="0"/>
        <v/>
      </c>
      <c r="D18" t="e">
        <f>AVERAGE(GC_esters_raw!F98:F99)</f>
        <v>#N/A</v>
      </c>
      <c r="E18" t="e">
        <f>AVERAGE(GC_esters_raw!G98:G99)</f>
        <v>#N/A</v>
      </c>
      <c r="F18" t="e">
        <f>AVERAGE(GC_esters_raw!H98:H99)</f>
        <v>#N/A</v>
      </c>
      <c r="G18" t="e">
        <f>AVERAGE(GC_esters_raw!I98:I99)</f>
        <v>#N/A</v>
      </c>
      <c r="H18" t="e">
        <f>AVERAGE(GC_esters_raw!J98:J99)</f>
        <v>#N/A</v>
      </c>
      <c r="I18" t="e">
        <f>AVERAGE(GC_esters_raw!K98:K99)</f>
        <v>#N/A</v>
      </c>
      <c r="J18" t="e">
        <f>AVERAGE(GC_esters_raw!L98:L99)</f>
        <v>#N/A</v>
      </c>
      <c r="K18" t="e">
        <f>AVERAGE(GC_esters_raw!M98:M99)</f>
        <v>#N/A</v>
      </c>
      <c r="L18" t="e">
        <f>AVERAGE(GC_esters_raw!N98:N99)</f>
        <v>#N/A</v>
      </c>
      <c r="M18" t="e">
        <f>AVERAGE(GC_esters_raw!O98:O99)</f>
        <v>#N/A</v>
      </c>
      <c r="N18" t="e">
        <f>AVERAGE(GC_esters_raw!F100:F101)</f>
        <v>#N/A</v>
      </c>
      <c r="O18" t="e">
        <f>AVERAGE(GC_esters_raw!G100:G101)</f>
        <v>#N/A</v>
      </c>
      <c r="P18" t="e">
        <f>AVERAGE(GC_esters_raw!H100:H101)</f>
        <v>#N/A</v>
      </c>
      <c r="Q18" t="e">
        <f>AVERAGE(GC_esters_raw!I100:I101)</f>
        <v>#N/A</v>
      </c>
      <c r="R18" t="e">
        <f>AVERAGE(GC_esters_raw!J100:J101)</f>
        <v>#N/A</v>
      </c>
      <c r="S18" t="e">
        <f>AVERAGE(GC_esters_raw!K100:K101)</f>
        <v>#N/A</v>
      </c>
      <c r="T18" t="e">
        <f>AVERAGE(GC_esters_raw!L100:L101)</f>
        <v>#N/A</v>
      </c>
      <c r="U18" t="e">
        <f>AVERAGE(GC_esters_raw!M100:M101)</f>
        <v>#N/A</v>
      </c>
      <c r="V18" t="e">
        <f>AVERAGE(GC_esters_raw!N100:N101)</f>
        <v>#N/A</v>
      </c>
      <c r="W18" t="e">
        <f>AVERAGE(GC_esters_raw!O100:O101)</f>
        <v>#N/A</v>
      </c>
      <c r="X18" t="e">
        <f>STDEV(GC_esters_raw!F98:F99)</f>
        <v>#N/A</v>
      </c>
      <c r="Y18" t="e">
        <f>STDEV(GC_esters_raw!G98:G99)</f>
        <v>#N/A</v>
      </c>
      <c r="Z18" t="e">
        <f>STDEV(GC_esters_raw!H98:H99)</f>
        <v>#N/A</v>
      </c>
      <c r="AA18" t="e">
        <f>STDEV(GC_esters_raw!I98:I99)</f>
        <v>#N/A</v>
      </c>
      <c r="AB18" t="e">
        <f>STDEV(GC_esters_raw!J98:J99)</f>
        <v>#N/A</v>
      </c>
      <c r="AC18" t="e">
        <f>STDEV(GC_esters_raw!K98:K99)</f>
        <v>#N/A</v>
      </c>
      <c r="AD18" t="e">
        <f>STDEV(GC_esters_raw!L98:L99)</f>
        <v>#N/A</v>
      </c>
      <c r="AE18" t="e">
        <f>STDEV(GC_esters_raw!M98:M99)</f>
        <v>#N/A</v>
      </c>
      <c r="AF18" t="e">
        <f>STDEV(GC_esters_raw!N98:N99)</f>
        <v>#N/A</v>
      </c>
      <c r="AG18" t="e">
        <f>STDEV(GC_esters_raw!O98:O99)</f>
        <v>#N/A</v>
      </c>
      <c r="AH18" t="e">
        <f>STDEV(GC_esters_raw!F100:F101)</f>
        <v>#N/A</v>
      </c>
      <c r="AI18" t="e">
        <f>STDEV(GC_esters_raw!G100:G101)</f>
        <v>#N/A</v>
      </c>
      <c r="AJ18" t="e">
        <f>STDEV(GC_esters_raw!H100:H101)</f>
        <v>#N/A</v>
      </c>
      <c r="AK18" t="e">
        <f>STDEV(GC_esters_raw!I100:I101)</f>
        <v>#N/A</v>
      </c>
      <c r="AL18" t="e">
        <f>STDEV(GC_esters_raw!J100:J101)</f>
        <v>#N/A</v>
      </c>
      <c r="AM18" t="e">
        <f>STDEV(GC_esters_raw!K100:K101)</f>
        <v>#N/A</v>
      </c>
      <c r="AN18" t="e">
        <f>STDEV(GC_esters_raw!L100:L101)</f>
        <v>#N/A</v>
      </c>
      <c r="AO18" t="e">
        <f>STDEV(GC_esters_raw!M100:M101)</f>
        <v>#N/A</v>
      </c>
      <c r="AP18" t="e">
        <f>STDEV(GC_esters_raw!N100:N101)</f>
        <v>#N/A</v>
      </c>
      <c r="AQ18" t="e">
        <f>STDEV(GC_esters_raw!O100:O101)</f>
        <v>#N/A</v>
      </c>
    </row>
    <row r="19" spans="1:43" x14ac:dyDescent="0.25">
      <c r="A19" s="8">
        <f>CellCount_Viability!A19</f>
        <v>0</v>
      </c>
      <c r="B19" s="69" t="e">
        <f t="shared" si="1"/>
        <v>#VALUE!</v>
      </c>
      <c r="C19" s="63" t="str">
        <f t="shared" si="0"/>
        <v/>
      </c>
      <c r="D19" t="e">
        <f>AVERAGE(GC_esters_raw!F104:F105)</f>
        <v>#N/A</v>
      </c>
      <c r="E19" t="e">
        <f>AVERAGE(GC_esters_raw!G104:G105)</f>
        <v>#N/A</v>
      </c>
      <c r="F19" t="e">
        <f>AVERAGE(GC_esters_raw!H104:H105)</f>
        <v>#N/A</v>
      </c>
      <c r="G19" t="e">
        <f>AVERAGE(GC_esters_raw!I104:I105)</f>
        <v>#N/A</v>
      </c>
      <c r="H19" t="e">
        <f>AVERAGE(GC_esters_raw!J104:J105)</f>
        <v>#N/A</v>
      </c>
      <c r="I19" t="e">
        <f>AVERAGE(GC_esters_raw!K104:K105)</f>
        <v>#N/A</v>
      </c>
      <c r="J19" t="e">
        <f>AVERAGE(GC_esters_raw!L104:L105)</f>
        <v>#N/A</v>
      </c>
      <c r="K19" t="e">
        <f>AVERAGE(GC_esters_raw!M104:M105)</f>
        <v>#N/A</v>
      </c>
      <c r="L19" t="e">
        <f>AVERAGE(GC_esters_raw!N104:N105)</f>
        <v>#N/A</v>
      </c>
      <c r="M19" t="e">
        <f>AVERAGE(GC_esters_raw!O104:O105)</f>
        <v>#N/A</v>
      </c>
      <c r="N19" t="e">
        <f>AVERAGE(GC_esters_raw!F106:F107)</f>
        <v>#N/A</v>
      </c>
      <c r="O19" t="e">
        <f>AVERAGE(GC_esters_raw!G106:G107)</f>
        <v>#N/A</v>
      </c>
      <c r="P19" t="e">
        <f>AVERAGE(GC_esters_raw!H106:H107)</f>
        <v>#N/A</v>
      </c>
      <c r="Q19" t="e">
        <f>AVERAGE(GC_esters_raw!I106:I107)</f>
        <v>#N/A</v>
      </c>
      <c r="R19" t="e">
        <f>AVERAGE(GC_esters_raw!J106:J107)</f>
        <v>#N/A</v>
      </c>
      <c r="S19" t="e">
        <f>AVERAGE(GC_esters_raw!K106:K107)</f>
        <v>#N/A</v>
      </c>
      <c r="T19" t="e">
        <f>AVERAGE(GC_esters_raw!L106:L107)</f>
        <v>#N/A</v>
      </c>
      <c r="U19" t="e">
        <f>AVERAGE(GC_esters_raw!M106:M107)</f>
        <v>#N/A</v>
      </c>
      <c r="V19" t="e">
        <f>AVERAGE(GC_esters_raw!N106:N107)</f>
        <v>#N/A</v>
      </c>
      <c r="W19" t="e">
        <f>AVERAGE(GC_esters_raw!O106:O107)</f>
        <v>#N/A</v>
      </c>
      <c r="X19" t="e">
        <f>STDEV(GC_esters_raw!F104:F105)</f>
        <v>#N/A</v>
      </c>
      <c r="Y19" t="e">
        <f>STDEV(GC_esters_raw!G104:G105)</f>
        <v>#N/A</v>
      </c>
      <c r="Z19" t="e">
        <f>STDEV(GC_esters_raw!H104:H105)</f>
        <v>#N/A</v>
      </c>
      <c r="AA19" t="e">
        <f>STDEV(GC_esters_raw!I104:I105)</f>
        <v>#N/A</v>
      </c>
      <c r="AB19" t="e">
        <f>STDEV(GC_esters_raw!J104:J105)</f>
        <v>#N/A</v>
      </c>
      <c r="AC19" t="e">
        <f>STDEV(GC_esters_raw!K104:K105)</f>
        <v>#N/A</v>
      </c>
      <c r="AD19" t="e">
        <f>STDEV(GC_esters_raw!L104:L105)</f>
        <v>#N/A</v>
      </c>
      <c r="AE19" t="e">
        <f>STDEV(GC_esters_raw!M104:M105)</f>
        <v>#N/A</v>
      </c>
      <c r="AF19" t="e">
        <f>STDEV(GC_esters_raw!N104:N105)</f>
        <v>#N/A</v>
      </c>
      <c r="AG19" t="e">
        <f>STDEV(GC_esters_raw!O104:O105)</f>
        <v>#N/A</v>
      </c>
      <c r="AH19" t="e">
        <f>STDEV(GC_esters_raw!F106:F107)</f>
        <v>#N/A</v>
      </c>
      <c r="AI19" t="e">
        <f>STDEV(GC_esters_raw!G106:G107)</f>
        <v>#N/A</v>
      </c>
      <c r="AJ19" t="e">
        <f>STDEV(GC_esters_raw!H106:H107)</f>
        <v>#N/A</v>
      </c>
      <c r="AK19" t="e">
        <f>STDEV(GC_esters_raw!I106:I107)</f>
        <v>#N/A</v>
      </c>
      <c r="AL19" t="e">
        <f>STDEV(GC_esters_raw!J106:J107)</f>
        <v>#N/A</v>
      </c>
      <c r="AM19" t="e">
        <f>STDEV(GC_esters_raw!K106:K107)</f>
        <v>#N/A</v>
      </c>
      <c r="AN19" t="e">
        <f>STDEV(GC_esters_raw!L106:L107)</f>
        <v>#N/A</v>
      </c>
      <c r="AO19" t="e">
        <f>STDEV(GC_esters_raw!M106:M107)</f>
        <v>#N/A</v>
      </c>
      <c r="AP19" t="e">
        <f>STDEV(GC_esters_raw!N106:N107)</f>
        <v>#N/A</v>
      </c>
      <c r="AQ19" t="e">
        <f>STDEV(GC_esters_raw!O106:O107)</f>
        <v>#N/A</v>
      </c>
    </row>
    <row r="20" spans="1:43" x14ac:dyDescent="0.25">
      <c r="A20" s="8">
        <f>CellCount_Viability!A20</f>
        <v>0</v>
      </c>
      <c r="B20" s="69" t="e">
        <f t="shared" si="1"/>
        <v>#VALUE!</v>
      </c>
      <c r="C20" s="63" t="str">
        <f t="shared" si="0"/>
        <v/>
      </c>
      <c r="D20" t="e">
        <f>AVERAGE(GC_esters_raw!F110:F111)</f>
        <v>#N/A</v>
      </c>
      <c r="E20" t="e">
        <f>AVERAGE(GC_esters_raw!G110:G111)</f>
        <v>#N/A</v>
      </c>
      <c r="F20" t="e">
        <f>AVERAGE(GC_esters_raw!H110:H111)</f>
        <v>#N/A</v>
      </c>
      <c r="G20" t="e">
        <f>AVERAGE(GC_esters_raw!I110:I111)</f>
        <v>#N/A</v>
      </c>
      <c r="H20" t="e">
        <f>AVERAGE(GC_esters_raw!J110:J111)</f>
        <v>#N/A</v>
      </c>
      <c r="I20" t="e">
        <f>AVERAGE(GC_esters_raw!K110:K111)</f>
        <v>#N/A</v>
      </c>
      <c r="J20" t="e">
        <f>AVERAGE(GC_esters_raw!L110:L111)</f>
        <v>#N/A</v>
      </c>
      <c r="K20" t="e">
        <f>AVERAGE(GC_esters_raw!M110:M111)</f>
        <v>#N/A</v>
      </c>
      <c r="L20" t="e">
        <f>AVERAGE(GC_esters_raw!N110:N111)</f>
        <v>#N/A</v>
      </c>
      <c r="M20" t="e">
        <f>AVERAGE(GC_esters_raw!O110:O111)</f>
        <v>#N/A</v>
      </c>
      <c r="N20" t="e">
        <f>AVERAGE(GC_esters_raw!F112:F113)</f>
        <v>#N/A</v>
      </c>
      <c r="O20" t="e">
        <f>AVERAGE(GC_esters_raw!G112:G113)</f>
        <v>#N/A</v>
      </c>
      <c r="P20" t="e">
        <f>AVERAGE(GC_esters_raw!H112:H113)</f>
        <v>#N/A</v>
      </c>
      <c r="Q20" t="e">
        <f>AVERAGE(GC_esters_raw!I112:I113)</f>
        <v>#N/A</v>
      </c>
      <c r="R20" t="e">
        <f>AVERAGE(GC_esters_raw!J112:J113)</f>
        <v>#N/A</v>
      </c>
      <c r="S20" t="e">
        <f>AVERAGE(GC_esters_raw!K112:K113)</f>
        <v>#N/A</v>
      </c>
      <c r="T20" t="e">
        <f>AVERAGE(GC_esters_raw!L112:L113)</f>
        <v>#N/A</v>
      </c>
      <c r="U20" t="e">
        <f>AVERAGE(GC_esters_raw!M112:M113)</f>
        <v>#N/A</v>
      </c>
      <c r="V20" t="e">
        <f>AVERAGE(GC_esters_raw!N112:N113)</f>
        <v>#N/A</v>
      </c>
      <c r="W20" t="e">
        <f>AVERAGE(GC_esters_raw!O112:O113)</f>
        <v>#N/A</v>
      </c>
      <c r="X20" t="e">
        <f>STDEV(GC_esters_raw!F110:F111)</f>
        <v>#N/A</v>
      </c>
      <c r="Y20" t="e">
        <f>STDEV(GC_esters_raw!G110:G111)</f>
        <v>#N/A</v>
      </c>
      <c r="Z20" t="e">
        <f>STDEV(GC_esters_raw!H110:H111)</f>
        <v>#N/A</v>
      </c>
      <c r="AA20" t="e">
        <f>STDEV(GC_esters_raw!I110:I111)</f>
        <v>#N/A</v>
      </c>
      <c r="AB20" t="e">
        <f>STDEV(GC_esters_raw!J110:J111)</f>
        <v>#N/A</v>
      </c>
      <c r="AC20" t="e">
        <f>STDEV(GC_esters_raw!K110:K111)</f>
        <v>#N/A</v>
      </c>
      <c r="AD20" t="e">
        <f>STDEV(GC_esters_raw!L110:L111)</f>
        <v>#N/A</v>
      </c>
      <c r="AE20" t="e">
        <f>STDEV(GC_esters_raw!M110:M111)</f>
        <v>#N/A</v>
      </c>
      <c r="AF20" t="e">
        <f>STDEV(GC_esters_raw!N110:N111)</f>
        <v>#N/A</v>
      </c>
      <c r="AG20" t="e">
        <f>STDEV(GC_esters_raw!O110:O111)</f>
        <v>#N/A</v>
      </c>
      <c r="AH20" t="e">
        <f>STDEV(GC_esters_raw!F112:F113)</f>
        <v>#N/A</v>
      </c>
      <c r="AI20" t="e">
        <f>STDEV(GC_esters_raw!G112:G113)</f>
        <v>#N/A</v>
      </c>
      <c r="AJ20" t="e">
        <f>STDEV(GC_esters_raw!H112:H113)</f>
        <v>#N/A</v>
      </c>
      <c r="AK20" t="e">
        <f>STDEV(GC_esters_raw!I112:I113)</f>
        <v>#N/A</v>
      </c>
      <c r="AL20" t="e">
        <f>STDEV(GC_esters_raw!J112:J113)</f>
        <v>#N/A</v>
      </c>
      <c r="AM20" t="e">
        <f>STDEV(GC_esters_raw!K112:K113)</f>
        <v>#N/A</v>
      </c>
      <c r="AN20" t="e">
        <f>STDEV(GC_esters_raw!L112:L113)</f>
        <v>#N/A</v>
      </c>
      <c r="AO20" t="e">
        <f>STDEV(GC_esters_raw!M112:M113)</f>
        <v>#N/A</v>
      </c>
      <c r="AP20" t="e">
        <f>STDEV(GC_esters_raw!N112:N113)</f>
        <v>#N/A</v>
      </c>
      <c r="AQ20" t="e">
        <f>STDEV(GC_esters_raw!O112:O113)</f>
        <v>#N/A</v>
      </c>
    </row>
    <row r="21" spans="1:43" x14ac:dyDescent="0.25">
      <c r="A21" s="8">
        <f>CellCount_Viability!A21</f>
        <v>0</v>
      </c>
      <c r="B21" s="69" t="e">
        <f t="shared" si="1"/>
        <v>#VALUE!</v>
      </c>
      <c r="C21" s="63" t="str">
        <f t="shared" si="0"/>
        <v/>
      </c>
      <c r="D21" t="e">
        <f>AVERAGE(GC_esters_raw!F116:F117)</f>
        <v>#N/A</v>
      </c>
      <c r="E21" t="e">
        <f>AVERAGE(GC_esters_raw!G116:G117)</f>
        <v>#N/A</v>
      </c>
      <c r="F21" t="e">
        <f>AVERAGE(GC_esters_raw!H116:H117)</f>
        <v>#N/A</v>
      </c>
      <c r="G21" t="e">
        <f>AVERAGE(GC_esters_raw!I116:I117)</f>
        <v>#N/A</v>
      </c>
      <c r="H21" t="e">
        <f>AVERAGE(GC_esters_raw!J116:J117)</f>
        <v>#N/A</v>
      </c>
      <c r="I21" t="e">
        <f>AVERAGE(GC_esters_raw!K116:K117)</f>
        <v>#N/A</v>
      </c>
      <c r="J21" t="e">
        <f>AVERAGE(GC_esters_raw!L116:L117)</f>
        <v>#N/A</v>
      </c>
      <c r="K21" t="e">
        <f>AVERAGE(GC_esters_raw!M116:M117)</f>
        <v>#N/A</v>
      </c>
      <c r="L21" t="e">
        <f>AVERAGE(GC_esters_raw!N116:N117)</f>
        <v>#N/A</v>
      </c>
      <c r="M21" t="e">
        <f>AVERAGE(GC_esters_raw!O116:O117)</f>
        <v>#N/A</v>
      </c>
      <c r="N21" t="e">
        <f>AVERAGE(GC_esters_raw!F118:F119)</f>
        <v>#N/A</v>
      </c>
      <c r="O21" t="e">
        <f>AVERAGE(GC_esters_raw!G118:G119)</f>
        <v>#N/A</v>
      </c>
      <c r="P21" t="e">
        <f>AVERAGE(GC_esters_raw!H118:H119)</f>
        <v>#N/A</v>
      </c>
      <c r="Q21" t="e">
        <f>AVERAGE(GC_esters_raw!I118:I119)</f>
        <v>#N/A</v>
      </c>
      <c r="R21" t="e">
        <f>AVERAGE(GC_esters_raw!J118:J119)</f>
        <v>#N/A</v>
      </c>
      <c r="S21" t="e">
        <f>AVERAGE(GC_esters_raw!K118:K119)</f>
        <v>#N/A</v>
      </c>
      <c r="T21" t="e">
        <f>AVERAGE(GC_esters_raw!L118:L119)</f>
        <v>#N/A</v>
      </c>
      <c r="U21" t="e">
        <f>AVERAGE(GC_esters_raw!M118:M119)</f>
        <v>#N/A</v>
      </c>
      <c r="V21" t="e">
        <f>AVERAGE(GC_esters_raw!N118:N119)</f>
        <v>#N/A</v>
      </c>
      <c r="W21" t="e">
        <f>AVERAGE(GC_esters_raw!O118:O119)</f>
        <v>#N/A</v>
      </c>
      <c r="X21" t="e">
        <f>STDEV(GC_esters_raw!F116:F117)</f>
        <v>#N/A</v>
      </c>
      <c r="Y21" t="e">
        <f>STDEV(GC_esters_raw!G116:G117)</f>
        <v>#N/A</v>
      </c>
      <c r="Z21" t="e">
        <f>STDEV(GC_esters_raw!H116:H117)</f>
        <v>#N/A</v>
      </c>
      <c r="AA21" t="e">
        <f>STDEV(GC_esters_raw!I116:I117)</f>
        <v>#N/A</v>
      </c>
      <c r="AB21" t="e">
        <f>STDEV(GC_esters_raw!J116:J117)</f>
        <v>#N/A</v>
      </c>
      <c r="AC21" t="e">
        <f>STDEV(GC_esters_raw!K116:K117)</f>
        <v>#N/A</v>
      </c>
      <c r="AD21" t="e">
        <f>STDEV(GC_esters_raw!L116:L117)</f>
        <v>#N/A</v>
      </c>
      <c r="AE21" t="e">
        <f>STDEV(GC_esters_raw!M116:M117)</f>
        <v>#N/A</v>
      </c>
      <c r="AF21" t="e">
        <f>STDEV(GC_esters_raw!N116:N117)</f>
        <v>#N/A</v>
      </c>
      <c r="AG21" t="e">
        <f>STDEV(GC_esters_raw!O116:O117)</f>
        <v>#N/A</v>
      </c>
      <c r="AH21" t="e">
        <f>STDEV(GC_esters_raw!F118:F119)</f>
        <v>#N/A</v>
      </c>
      <c r="AI21" t="e">
        <f>STDEV(GC_esters_raw!G118:G119)</f>
        <v>#N/A</v>
      </c>
      <c r="AJ21" t="e">
        <f>STDEV(GC_esters_raw!H118:H119)</f>
        <v>#N/A</v>
      </c>
      <c r="AK21" t="e">
        <f>STDEV(GC_esters_raw!I118:I119)</f>
        <v>#N/A</v>
      </c>
      <c r="AL21" t="e">
        <f>STDEV(GC_esters_raw!J118:J119)</f>
        <v>#N/A</v>
      </c>
      <c r="AM21" t="e">
        <f>STDEV(GC_esters_raw!K118:K119)</f>
        <v>#N/A</v>
      </c>
      <c r="AN21" t="e">
        <f>STDEV(GC_esters_raw!L118:L119)</f>
        <v>#N/A</v>
      </c>
      <c r="AO21" t="e">
        <f>STDEV(GC_esters_raw!M118:M119)</f>
        <v>#N/A</v>
      </c>
      <c r="AP21" t="e">
        <f>STDEV(GC_esters_raw!N118:N119)</f>
        <v>#N/A</v>
      </c>
      <c r="AQ21" t="e">
        <f>STDEV(GC_esters_raw!O118:O119)</f>
        <v>#N/A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244-752E-4B13-9A34-BC0A7730307C}">
  <sheetPr codeName="Sheet13"/>
  <dimension ref="A1:AT37"/>
  <sheetViews>
    <sheetView topLeftCell="A6" zoomScaleNormal="100" workbookViewId="0">
      <selection activeCell="K28" sqref="K28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customWidth="1"/>
    <col min="4" max="4" width="17.28515625" bestFit="1" customWidth="1"/>
    <col min="5" max="5" width="18.140625" bestFit="1" customWidth="1"/>
    <col min="6" max="6" width="20" bestFit="1" customWidth="1"/>
    <col min="7" max="7" width="20.42578125" bestFit="1" customWidth="1"/>
    <col min="8" max="8" width="19.85546875" customWidth="1"/>
    <col min="9" max="9" width="20.42578125" bestFit="1" customWidth="1"/>
    <col min="10" max="10" width="19.140625" bestFit="1" customWidth="1"/>
    <col min="11" max="11" width="15.85546875" customWidth="1"/>
    <col min="12" max="12" width="20" bestFit="1" customWidth="1"/>
    <col min="13" max="13" width="15.85546875" bestFit="1" customWidth="1"/>
    <col min="16" max="16" width="21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7.85546875" bestFit="1" customWidth="1"/>
    <col min="25" max="25" width="13.5703125" bestFit="1" customWidth="1"/>
    <col min="26" max="26" width="21.140625" bestFit="1" customWidth="1"/>
    <col min="27" max="27" width="18.5703125" bestFit="1" customWidth="1"/>
    <col min="28" max="28" width="16.42578125" bestFit="1" customWidth="1"/>
    <col min="29" max="29" width="21.140625" bestFit="1" customWidth="1"/>
    <col min="30" max="30" width="21.42578125" bestFit="1" customWidth="1"/>
    <col min="31" max="31" width="21" bestFit="1" customWidth="1"/>
    <col min="32" max="32" width="20.7109375" bestFit="1" customWidth="1"/>
    <col min="33" max="33" width="21.140625" customWidth="1"/>
    <col min="44" max="44" width="21.140625" bestFit="1" customWidth="1"/>
  </cols>
  <sheetData>
    <row r="1" spans="1:46" ht="15.75" thickBot="1" x14ac:dyDescent="0.3">
      <c r="A1" s="64" t="s">
        <v>0</v>
      </c>
      <c r="B1" s="65" t="s">
        <v>1</v>
      </c>
      <c r="C1" s="65" t="s">
        <v>2</v>
      </c>
      <c r="D1" s="66" t="s">
        <v>187</v>
      </c>
      <c r="E1" s="66" t="s">
        <v>190</v>
      </c>
      <c r="F1" s="78" t="s">
        <v>188</v>
      </c>
      <c r="G1" s="66" t="s">
        <v>189</v>
      </c>
      <c r="H1" s="88" t="s">
        <v>202</v>
      </c>
      <c r="I1" s="88" t="s">
        <v>203</v>
      </c>
      <c r="J1" s="89" t="s">
        <v>204</v>
      </c>
      <c r="K1" s="89" t="s">
        <v>205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spans="1:46" ht="15.75" thickTop="1" x14ac:dyDescent="0.25">
      <c r="A2" s="8">
        <f>CellCount_Viability!A2</f>
        <v>46268</v>
      </c>
      <c r="B2" s="69">
        <f>C2*24</f>
        <v>0</v>
      </c>
      <c r="C2" s="63">
        <f t="shared" ref="C2:C21" si="0">IF(NOT(A2=0),A2-$A$2,"")</f>
        <v>0</v>
      </c>
      <c r="D2">
        <f>AVERAGE(GC_ketones_raw!F2:F3)</f>
        <v>97.5</v>
      </c>
      <c r="E2">
        <f>AVERAGE(GC_ketones_raw!G2:G3)</f>
        <v>19</v>
      </c>
      <c r="F2">
        <f>AVERAGE(GC_ketones_raw!F4:F5)</f>
        <v>97</v>
      </c>
      <c r="G2">
        <f>AVERAGE(GC_ketones_raw!G4:G5)</f>
        <v>19.5</v>
      </c>
      <c r="H2">
        <f>STDEV(GC_ketones_raw!F2:F3)</f>
        <v>3.5355339059327378</v>
      </c>
      <c r="I2">
        <f>STDEV(GC_ketones_raw!G2:G3)</f>
        <v>2.8284271247461903</v>
      </c>
      <c r="J2">
        <f>STDEV(GC_ketones_raw!F4:F5)</f>
        <v>2.8284271247461903</v>
      </c>
      <c r="K2">
        <f>STDEV(GC_ketones_raw!G4:G5)</f>
        <v>0.70710678118654757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spans="1:46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AVERAGE(GC_ketones_raw!F8:F9)</f>
        <v>706.5</v>
      </c>
      <c r="E3">
        <f>AVERAGE(GC_ketones_raw!G8:G9)</f>
        <v>457</v>
      </c>
      <c r="F3">
        <f>AVERAGE(GC_ketones_raw!F10:F11)</f>
        <v>737</v>
      </c>
      <c r="G3">
        <f>AVERAGE(GC_ketones_raw!G10:G11)</f>
        <v>476.5</v>
      </c>
      <c r="H3">
        <f>STDEV(GC_ketones_raw!F8:F9)</f>
        <v>7.7781745930520225</v>
      </c>
      <c r="I3">
        <f>STDEV(GC_ketones_raw!G8:G9)</f>
        <v>69.296464556281663</v>
      </c>
      <c r="J3">
        <f>STDEV(GC_ketones_raw!F10:F11)</f>
        <v>15.556349186104045</v>
      </c>
      <c r="K3">
        <f>STDEV(GC_ketones_raw!G10:G11)</f>
        <v>37.476659402887016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spans="1:46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AVERAGE(GC_ketones_raw!F14:F15)</f>
        <v>2809</v>
      </c>
      <c r="E4">
        <f>AVERAGE(GC_ketones_raw!G14:G15)</f>
        <v>1375.5</v>
      </c>
      <c r="F4">
        <f>AVERAGE(GC_ketones_raw!F16:F17)</f>
        <v>2575</v>
      </c>
      <c r="G4">
        <f>AVERAGE(GC_ketones_raw!G16:G17)</f>
        <v>1409.5</v>
      </c>
      <c r="H4">
        <f>STDEV(GC_ketones_raw!F14:F15)</f>
        <v>62.22539674441618</v>
      </c>
      <c r="I4">
        <f>STDEV(GC_ketones_raw!G14:G15)</f>
        <v>34.648232278140831</v>
      </c>
      <c r="J4">
        <f>STDEV(GC_ketones_raw!F16:F17)</f>
        <v>45.254833995939045</v>
      </c>
      <c r="K4">
        <f>STDEV(GC_ketones_raw!G16:G17)</f>
        <v>21.920310216782973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spans="1:46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AVERAGE(GC_ketones_raw!F20:F21)</f>
        <v>5098.5</v>
      </c>
      <c r="E5">
        <f>AVERAGE(GC_ketones_raw!G20:G21)</f>
        <v>2075</v>
      </c>
      <c r="F5">
        <f>AVERAGE(GC_ketones_raw!F22:F23)</f>
        <v>4799.5</v>
      </c>
      <c r="G5">
        <f>AVERAGE(GC_ketones_raw!G22:G23)</f>
        <v>1902</v>
      </c>
      <c r="H5">
        <f>STDEV(GC_ketones_raw!F20:F21)</f>
        <v>125.15790027001891</v>
      </c>
      <c r="I5">
        <f>STDEV(GC_ketones_raw!G20:G21)</f>
        <v>35.355339059327378</v>
      </c>
      <c r="J5">
        <f>STDEV(GC_ketones_raw!F22:F23)</f>
        <v>2.1213203435596424</v>
      </c>
      <c r="K5">
        <f>STDEV(GC_ketones_raw!G22:G23)</f>
        <v>7.0710678118654755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spans="1:46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AVERAGE(GC_ketones_raw!F26:F27)</f>
        <v>5900.5</v>
      </c>
      <c r="E6">
        <f>AVERAGE(GC_ketones_raw!G26:G27)</f>
        <v>2218.5</v>
      </c>
      <c r="F6">
        <f>AVERAGE(GC_ketones_raw!F28:F29)</f>
        <v>5980</v>
      </c>
      <c r="G6">
        <f>AVERAGE(GC_ketones_raw!G28:G29)</f>
        <v>2059.5</v>
      </c>
      <c r="H6">
        <f>STDEV(GC_ketones_raw!F26:F27)</f>
        <v>4.9497474683058327</v>
      </c>
      <c r="I6">
        <f>STDEV(GC_ketones_raw!G26:G27)</f>
        <v>44.547727214752491</v>
      </c>
      <c r="J6">
        <f>STDEV(GC_ketones_raw!F28:F29)</f>
        <v>42.426406871192853</v>
      </c>
      <c r="K6">
        <f>STDEV(GC_ketones_raw!G28:G29)</f>
        <v>13.435028842544403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spans="1:46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AVERAGE(GC_ketones_raw!F32:F33)</f>
        <v>4944</v>
      </c>
      <c r="E7">
        <f>AVERAGE(GC_ketones_raw!G32:G33)</f>
        <v>1734.5</v>
      </c>
      <c r="F7">
        <f>AVERAGE(GC_ketones_raw!F34:F35)</f>
        <v>4736.5</v>
      </c>
      <c r="G7">
        <f>AVERAGE(GC_ketones_raw!G34:G35)</f>
        <v>1915</v>
      </c>
      <c r="H7">
        <f>STDEV(GC_ketones_raw!F32:F33)</f>
        <v>50.911688245431421</v>
      </c>
      <c r="I7">
        <f>STDEV(GC_ketones_raw!G32:G33)</f>
        <v>64.346717087975819</v>
      </c>
      <c r="J7">
        <f>STDEV(GC_ketones_raw!F34:F35)</f>
        <v>74.246212024587493</v>
      </c>
      <c r="K7">
        <f>STDEV(GC_ketones_raw!G34:G35)</f>
        <v>91.923881554251182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spans="1:46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AVERAGE(GC_ketones_raw!F38:F39)</f>
        <v>3539</v>
      </c>
      <c r="E8">
        <f>AVERAGE(GC_ketones_raw!G38:G39)</f>
        <v>1595</v>
      </c>
      <c r="F8">
        <f>AVERAGE(GC_ketones_raw!F40:F41)</f>
        <v>3666</v>
      </c>
      <c r="G8">
        <f>AVERAGE(GC_ketones_raw!G40:G41)</f>
        <v>1696.5</v>
      </c>
      <c r="H8">
        <f>STDEV(GC_ketones_raw!F38:F39)</f>
        <v>57.982756057296896</v>
      </c>
      <c r="I8">
        <f>STDEV(GC_ketones_raw!G38:G39)</f>
        <v>77.781745930520231</v>
      </c>
      <c r="J8">
        <f>STDEV(GC_ketones_raw!F40:F41)</f>
        <v>25.45584412271571</v>
      </c>
      <c r="K8">
        <f>STDEV(GC_ketones_raw!G40:G41)</f>
        <v>178.89801564019652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AVERAGE(GC_ketones_raw!F44:F45)</f>
        <v>2778.5</v>
      </c>
      <c r="E9">
        <f>AVERAGE(GC_ketones_raw!G44:G45)</f>
        <v>1394</v>
      </c>
      <c r="F9">
        <f>AVERAGE(GC_ketones_raw!F46:F47)</f>
        <v>2474</v>
      </c>
      <c r="G9">
        <f>AVERAGE(GC_ketones_raw!G46:G47)</f>
        <v>1460</v>
      </c>
      <c r="H9">
        <f>STDEV(GC_ketones_raw!F44:F45)</f>
        <v>129.40054095713819</v>
      </c>
      <c r="I9">
        <f>STDEV(GC_ketones_raw!G44:G45)</f>
        <v>19.798989873223331</v>
      </c>
      <c r="J9">
        <f>STDEV(GC_ketones_raw!F46:F47)</f>
        <v>33.941125496954278</v>
      </c>
      <c r="K9">
        <f>STDEV(GC_ketones_raw!G46:G47)</f>
        <v>155.56349186104046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AVERAGE(GC_ketones_raw!F50:F51)</f>
        <v>2201</v>
      </c>
      <c r="E10">
        <f>AVERAGE(GC_ketones_raw!G50:G51)</f>
        <v>1115</v>
      </c>
      <c r="F10">
        <f>AVERAGE(GC_ketones_raw!F52:F53)</f>
        <v>2220</v>
      </c>
      <c r="G10">
        <f>AVERAGE(GC_ketones_raw!G52:G53)</f>
        <v>1281.5</v>
      </c>
      <c r="H10">
        <f>STDEV(GC_ketones_raw!F50:F51)</f>
        <v>4.2426406871192848</v>
      </c>
      <c r="I10">
        <f>STDEV(GC_ketones_raw!G50:G51)</f>
        <v>49.497474683058329</v>
      </c>
      <c r="J10">
        <f>STDEV(GC_ketones_raw!F52:F53)</f>
        <v>42.426406871192853</v>
      </c>
      <c r="K10">
        <f>STDEV(GC_ketones_raw!G52:G53)</f>
        <v>37.476659402887016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AVERAGE(GC_ketones_raw!F56:F57)</f>
        <v>1770</v>
      </c>
      <c r="E11">
        <f>AVERAGE(GC_ketones_raw!G56:G57)</f>
        <v>871.5</v>
      </c>
      <c r="F11">
        <f>AVERAGE(GC_ketones_raw!F58:F59)</f>
        <v>1570</v>
      </c>
      <c r="G11">
        <f>AVERAGE(GC_ketones_raw!G58:G59)</f>
        <v>822</v>
      </c>
      <c r="H11">
        <f>STDEV(GC_ketones_raw!F56:F57)</f>
        <v>127.27922061357856</v>
      </c>
      <c r="I11">
        <f>STDEV(GC_ketones_raw!G56:G57)</f>
        <v>3.5355339059327378</v>
      </c>
      <c r="J11">
        <f>STDEV(GC_ketones_raw!F58:F59)</f>
        <v>14.142135623730951</v>
      </c>
      <c r="K11">
        <f>STDEV(GC_ketones_raw!G58:G59)</f>
        <v>33.941125496954278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spans="1:46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AVERAGE(GC_ketones_raw!F62:F63)</f>
        <v>1233.5</v>
      </c>
      <c r="E12">
        <f>AVERAGE(GC_ketones_raw!G62:G63)</f>
        <v>666.5</v>
      </c>
      <c r="F12">
        <f>AVERAGE(GC_ketones_raw!F59:F60)</f>
        <v>1560</v>
      </c>
      <c r="G12">
        <f>AVERAGE(GC_ketones_raw!G59:G60)</f>
        <v>846</v>
      </c>
      <c r="H12">
        <f>STDEV(GC_ketones_raw!F62:F63)</f>
        <v>65.760930650348925</v>
      </c>
      <c r="I12">
        <f>STDEV(GC_ketones_raw!G62:G63)</f>
        <v>26.16295090390226</v>
      </c>
      <c r="J12" t="e">
        <f>STDEV(GC_ketones_raw!F59:F60)</f>
        <v>#DIV/0!</v>
      </c>
      <c r="K12" t="e">
        <f>STDEV(GC_ketones_raw!G59:G60)</f>
        <v>#DIV/0!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spans="1:46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AVERAGE(GC_ketones_raw!F68:F69)</f>
        <v>#N/A</v>
      </c>
      <c r="E13" t="e">
        <f>AVERAGE(GC_ketones_raw!G68:G69)</f>
        <v>#N/A</v>
      </c>
      <c r="F13" t="e">
        <f>AVERAGE(GC_ketones_raw!F70:F71)</f>
        <v>#N/A</v>
      </c>
      <c r="G13" t="e">
        <f>AVERAGE(GC_ketones_raw!G70:G71)</f>
        <v>#N/A</v>
      </c>
      <c r="H13" t="e">
        <f>STDEV(GC_ketones_raw!F68:F69)</f>
        <v>#N/A</v>
      </c>
      <c r="I13" t="e">
        <f>STDEV(GC_ketones_raw!G68:G69)</f>
        <v>#N/A</v>
      </c>
      <c r="J13" t="e">
        <f>STDEV(GC_ketones_raw!F70:F71)</f>
        <v>#N/A</v>
      </c>
      <c r="K13" t="e">
        <f>STDEV(GC_ketones_raw!G70:G71)</f>
        <v>#N/A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x14ac:dyDescent="0.25">
      <c r="A14" s="8">
        <f>CellCount_Viability!A14</f>
        <v>0</v>
      </c>
      <c r="B14" s="69" t="e">
        <f t="shared" si="1"/>
        <v>#VALUE!</v>
      </c>
      <c r="C14" s="63" t="str">
        <f t="shared" si="0"/>
        <v/>
      </c>
      <c r="D14" t="e">
        <f>AVERAGE(GC_ketones_raw!F74:F75)</f>
        <v>#N/A</v>
      </c>
      <c r="E14" t="e">
        <f>AVERAGE(GC_ketones_raw!G74:G75)</f>
        <v>#N/A</v>
      </c>
      <c r="F14" t="e">
        <f>AVERAGE(GC_ketones_raw!F76:F77)</f>
        <v>#N/A</v>
      </c>
      <c r="G14" t="e">
        <f>AVERAGE(GC_ketones_raw!G76:G77)</f>
        <v>#N/A</v>
      </c>
      <c r="H14" t="e">
        <f>STDEV(GC_ketones_raw!F74:F75)</f>
        <v>#N/A</v>
      </c>
      <c r="I14" t="e">
        <f>STDEV(GC_ketones_raw!G74:G75)</f>
        <v>#N/A</v>
      </c>
      <c r="J14" t="e">
        <f>STDEV(GC_ketones_raw!F76:F77)</f>
        <v>#N/A</v>
      </c>
      <c r="K14" t="e">
        <f>STDEV(GC_ketones_raw!G76:G77)</f>
        <v>#N/A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6" x14ac:dyDescent="0.25">
      <c r="A15" s="8">
        <f>CellCount_Viability!A15</f>
        <v>0</v>
      </c>
      <c r="B15" s="69" t="e">
        <f t="shared" si="1"/>
        <v>#VALUE!</v>
      </c>
      <c r="C15" s="63" t="str">
        <f t="shared" si="0"/>
        <v/>
      </c>
      <c r="D15" t="e">
        <f>AVERAGE(GC_ketones_raw!F80:F81)</f>
        <v>#N/A</v>
      </c>
      <c r="E15" t="e">
        <f>AVERAGE(GC_ketones_raw!G80:G81)</f>
        <v>#N/A</v>
      </c>
      <c r="F15" t="e">
        <f>AVERAGE(GC_ketones_raw!F82:F83)</f>
        <v>#N/A</v>
      </c>
      <c r="G15" t="e">
        <f>AVERAGE(GC_ketones_raw!G82:G83)</f>
        <v>#N/A</v>
      </c>
      <c r="H15" t="e">
        <f>STDEV(GC_ketones_raw!F80:F81)</f>
        <v>#N/A</v>
      </c>
      <c r="I15" t="e">
        <f>STDEV(GC_ketones_raw!G80:G81)</f>
        <v>#N/A</v>
      </c>
      <c r="J15" t="e">
        <f>STDEV(GC_ketones_raw!F82:F83)</f>
        <v>#N/A</v>
      </c>
      <c r="K15" t="e">
        <f>STDEV(GC_ketones_raw!G82:G83)</f>
        <v>#N/A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x14ac:dyDescent="0.25">
      <c r="A16" s="8">
        <f>CellCount_Viability!A16</f>
        <v>0</v>
      </c>
      <c r="B16" s="69" t="e">
        <f t="shared" si="1"/>
        <v>#VALUE!</v>
      </c>
      <c r="C16" s="63" t="str">
        <f t="shared" si="0"/>
        <v/>
      </c>
      <c r="D16" t="e">
        <f>AVERAGE(GC_ketones_raw!F86:F87)</f>
        <v>#N/A</v>
      </c>
      <c r="E16" t="e">
        <f>AVERAGE(GC_ketones_raw!G86:G87)</f>
        <v>#N/A</v>
      </c>
      <c r="F16" t="e">
        <f>AVERAGE(GC_ketones_raw!F88:F89)</f>
        <v>#N/A</v>
      </c>
      <c r="G16" t="e">
        <f>AVERAGE(GC_ketones_raw!G88:G89)</f>
        <v>#N/A</v>
      </c>
      <c r="H16" t="e">
        <f>STDEV(GC_ketones_raw!F86:F87)</f>
        <v>#N/A</v>
      </c>
      <c r="I16" t="e">
        <f>STDEV(GC_ketones_raw!G86:G87)</f>
        <v>#N/A</v>
      </c>
      <c r="J16" t="e">
        <f>STDEV(GC_ketones_raw!F88:F89)</f>
        <v>#N/A</v>
      </c>
      <c r="K16" t="e">
        <f>STDEV(GC_ketones_raw!G88:G89)</f>
        <v>#N/A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1:46" x14ac:dyDescent="0.25">
      <c r="A17" s="8">
        <f>CellCount_Viability!A17</f>
        <v>0</v>
      </c>
      <c r="B17" s="69" t="e">
        <f t="shared" si="1"/>
        <v>#VALUE!</v>
      </c>
      <c r="C17" s="63" t="str">
        <f t="shared" si="0"/>
        <v/>
      </c>
      <c r="D17" t="e">
        <f>AVERAGE(GC_ketones_raw!F92:F93)</f>
        <v>#N/A</v>
      </c>
      <c r="E17" t="e">
        <f>AVERAGE(GC_ketones_raw!G92:G93)</f>
        <v>#N/A</v>
      </c>
      <c r="F17" t="e">
        <f>AVERAGE(GC_ketones_raw!F94:F95)</f>
        <v>#N/A</v>
      </c>
      <c r="G17" t="e">
        <f>AVERAGE(GC_ketones_raw!G94:G95)</f>
        <v>#N/A</v>
      </c>
      <c r="H17" t="e">
        <f>STDEV(GC_ketones_raw!F92:F93)</f>
        <v>#N/A</v>
      </c>
      <c r="I17" t="e">
        <f>STDEV(GC_ketones_raw!G92:G93)</f>
        <v>#N/A</v>
      </c>
      <c r="J17" t="e">
        <f>STDEV(GC_ketones_raw!F94:F95)</f>
        <v>#N/A</v>
      </c>
      <c r="K17" t="e">
        <f>STDEV(GC_ketones_raw!G94:G95)</f>
        <v>#N/A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x14ac:dyDescent="0.25">
      <c r="A18" s="8">
        <f>CellCount_Viability!A18</f>
        <v>0</v>
      </c>
      <c r="B18" s="69" t="e">
        <f t="shared" si="1"/>
        <v>#VALUE!</v>
      </c>
      <c r="C18" s="63" t="str">
        <f t="shared" si="0"/>
        <v/>
      </c>
      <c r="D18" t="e">
        <f>AVERAGE(GC_ketones_raw!F98:F99)</f>
        <v>#N/A</v>
      </c>
      <c r="E18" t="e">
        <f>AVERAGE(GC_ketones_raw!G98:G99)</f>
        <v>#N/A</v>
      </c>
      <c r="F18" t="e">
        <f>AVERAGE(GC_ketones_raw!F100:F101)</f>
        <v>#N/A</v>
      </c>
      <c r="G18" t="e">
        <f>AVERAGE(GC_ketones_raw!G100:G101)</f>
        <v>#N/A</v>
      </c>
      <c r="H18" t="e">
        <f>STDEV(GC_ketones_raw!F98:F99)</f>
        <v>#N/A</v>
      </c>
      <c r="I18" t="e">
        <f>STDEV(GC_ketones_raw!G98:G99)</f>
        <v>#N/A</v>
      </c>
      <c r="J18" t="e">
        <f>STDEV(GC_ketones_raw!F100:F101)</f>
        <v>#N/A</v>
      </c>
      <c r="K18" t="e">
        <f>STDEV(GC_ketones_raw!G100:G101)</f>
        <v>#N/A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x14ac:dyDescent="0.25">
      <c r="A19" s="8">
        <f>CellCount_Viability!A19</f>
        <v>0</v>
      </c>
      <c r="B19" s="69" t="e">
        <f t="shared" si="1"/>
        <v>#VALUE!</v>
      </c>
      <c r="C19" s="63" t="str">
        <f t="shared" si="0"/>
        <v/>
      </c>
      <c r="D19" t="e">
        <f>AVERAGE(GC_ketones_raw!F104:F105)</f>
        <v>#N/A</v>
      </c>
      <c r="E19" t="e">
        <f>AVERAGE(GC_ketones_raw!G104:G105)</f>
        <v>#N/A</v>
      </c>
      <c r="F19" t="e">
        <f>AVERAGE(GC_ketones_raw!F106:F107)</f>
        <v>#N/A</v>
      </c>
      <c r="G19" t="e">
        <f>AVERAGE(GC_ketones_raw!G106:G107)</f>
        <v>#N/A</v>
      </c>
      <c r="H19" t="e">
        <f>STDEV(GC_ketones_raw!F104:F105)</f>
        <v>#N/A</v>
      </c>
      <c r="I19" t="e">
        <f>STDEV(GC_ketones_raw!G104:G105)</f>
        <v>#N/A</v>
      </c>
      <c r="J19" t="e">
        <f>STDEV(GC_ketones_raw!F106:F107)</f>
        <v>#N/A</v>
      </c>
      <c r="K19" t="e">
        <f>STDEV(GC_ketones_raw!G106:G107)</f>
        <v>#N/A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x14ac:dyDescent="0.25">
      <c r="A20" s="8">
        <f>CellCount_Viability!A20</f>
        <v>0</v>
      </c>
      <c r="B20" s="69" t="e">
        <f t="shared" si="1"/>
        <v>#VALUE!</v>
      </c>
      <c r="C20" s="63" t="str">
        <f t="shared" si="0"/>
        <v/>
      </c>
      <c r="D20" t="e">
        <f>AVERAGE(GC_ketones_raw!F110:F111)</f>
        <v>#N/A</v>
      </c>
      <c r="E20" t="e">
        <f>AVERAGE(GC_ketones_raw!G110:G111)</f>
        <v>#N/A</v>
      </c>
      <c r="F20" t="e">
        <f>AVERAGE(GC_ketones_raw!F112:F113)</f>
        <v>#N/A</v>
      </c>
      <c r="G20" t="e">
        <f>AVERAGE(GC_ketones_raw!G112:G113)</f>
        <v>#N/A</v>
      </c>
      <c r="H20" t="e">
        <f>STDEV(GC_ketones_raw!F110:F111)</f>
        <v>#N/A</v>
      </c>
      <c r="I20" t="e">
        <f>STDEV(GC_ketones_raw!G110:G111)</f>
        <v>#N/A</v>
      </c>
      <c r="J20" t="e">
        <f>STDEV(GC_ketones_raw!F112:F113)</f>
        <v>#N/A</v>
      </c>
      <c r="K20" t="e">
        <f>STDEV(GC_ketones_raw!G112:G113)</f>
        <v>#N/A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x14ac:dyDescent="0.25">
      <c r="A21" s="8">
        <f>CellCount_Viability!A21</f>
        <v>0</v>
      </c>
      <c r="B21" s="69" t="e">
        <f t="shared" si="1"/>
        <v>#VALUE!</v>
      </c>
      <c r="C21" s="63" t="str">
        <f t="shared" si="0"/>
        <v/>
      </c>
      <c r="D21" t="e">
        <f>AVERAGE(GC_ketones_raw!F116:F117)</f>
        <v>#N/A</v>
      </c>
      <c r="E21" t="e">
        <f>AVERAGE(GC_ketones_raw!G116:G117)</f>
        <v>#N/A</v>
      </c>
      <c r="F21" t="e">
        <f>AVERAGE(GC_ketones_raw!F118:F119)</f>
        <v>#N/A</v>
      </c>
      <c r="G21" t="e">
        <f>AVERAGE(GC_ketones_raw!G118:G119)</f>
        <v>#N/A</v>
      </c>
      <c r="H21" t="e">
        <f>STDEV(GC_ketones_raw!F116:F117)</f>
        <v>#N/A</v>
      </c>
      <c r="I21" t="e">
        <f>STDEV(GC_ketones_raw!G116:G117)</f>
        <v>#N/A</v>
      </c>
      <c r="J21" t="e">
        <f>STDEV(GC_ketones_raw!F118:F119)</f>
        <v>#N/A</v>
      </c>
      <c r="K21" t="e">
        <f>STDEV(GC_ketones_raw!G118:G119)</f>
        <v>#N/A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x14ac:dyDescent="0.25"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46" x14ac:dyDescent="0.25"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46" x14ac:dyDescent="0.25"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x14ac:dyDescent="0.25"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46" x14ac:dyDescent="0.25"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x14ac:dyDescent="0.25"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spans="1:46" x14ac:dyDescent="0.25"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6" x14ac:dyDescent="0.25"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spans="1:46" x14ac:dyDescent="0.25"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spans="1:46" x14ac:dyDescent="0.25"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 x14ac:dyDescent="0.25"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2:46" x14ac:dyDescent="0.25"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2:46" x14ac:dyDescent="0.25"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spans="12:46" x14ac:dyDescent="0.25"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spans="12:46" x14ac:dyDescent="0.25"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spans="12:46" x14ac:dyDescent="0.25"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A1D1-C8E1-4395-BBCC-6FA142FD8FE6}">
  <dimension ref="A1:C3943"/>
  <sheetViews>
    <sheetView topLeftCell="A4821" workbookViewId="0">
      <selection activeCell="J4844" sqref="J4844"/>
    </sheetView>
  </sheetViews>
  <sheetFormatPr defaultRowHeight="15" x14ac:dyDescent="0.25"/>
  <cols>
    <col min="1" max="1" width="20.140625" bestFit="1" customWidth="1"/>
  </cols>
  <sheetData>
    <row r="1" spans="1:3" x14ac:dyDescent="0.25">
      <c r="A1" t="s">
        <v>2</v>
      </c>
      <c r="B1" t="s">
        <v>324</v>
      </c>
      <c r="C1" t="s">
        <v>325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3.5317582002390002E-3</v>
      </c>
      <c r="B3">
        <v>0</v>
      </c>
      <c r="C3">
        <v>0</v>
      </c>
    </row>
    <row r="4" spans="1:3" x14ac:dyDescent="0.25">
      <c r="A4">
        <v>7.0614597201350002E-3</v>
      </c>
      <c r="B4">
        <v>0</v>
      </c>
      <c r="C4">
        <v>0</v>
      </c>
    </row>
    <row r="5" spans="1:3" x14ac:dyDescent="0.25">
      <c r="A5">
        <v>1.0591328745639001E-2</v>
      </c>
      <c r="B5">
        <v>0</v>
      </c>
      <c r="C5">
        <v>0</v>
      </c>
    </row>
    <row r="6" spans="1:3" x14ac:dyDescent="0.25">
      <c r="A6">
        <v>1.4120651124804E-2</v>
      </c>
      <c r="B6">
        <v>0</v>
      </c>
      <c r="C6">
        <v>0</v>
      </c>
    </row>
    <row r="7" spans="1:3" x14ac:dyDescent="0.25">
      <c r="A7">
        <v>1.7651428365045001E-2</v>
      </c>
      <c r="B7">
        <v>0</v>
      </c>
      <c r="C7">
        <v>0.01</v>
      </c>
    </row>
    <row r="8" spans="1:3" x14ac:dyDescent="0.25">
      <c r="A8">
        <v>2.1183397460867E-2</v>
      </c>
      <c r="B8">
        <v>0</v>
      </c>
      <c r="C8">
        <v>0.03</v>
      </c>
    </row>
    <row r="9" spans="1:3" x14ac:dyDescent="0.25">
      <c r="A9">
        <v>2.4713013933764998E-2</v>
      </c>
      <c r="B9">
        <v>0.01</v>
      </c>
      <c r="C9">
        <v>0.03</v>
      </c>
    </row>
    <row r="10" spans="1:3" x14ac:dyDescent="0.25">
      <c r="A10">
        <v>2.8245100378990001E-2</v>
      </c>
      <c r="B10">
        <v>0</v>
      </c>
      <c r="C10">
        <v>0.01</v>
      </c>
    </row>
    <row r="11" spans="1:3" x14ac:dyDescent="0.25">
      <c r="A11">
        <v>3.1777078393433002E-2</v>
      </c>
      <c r="B11">
        <v>0</v>
      </c>
      <c r="C11">
        <v>0</v>
      </c>
    </row>
    <row r="12" spans="1:3" x14ac:dyDescent="0.25">
      <c r="A12">
        <v>3.5319295646968001E-2</v>
      </c>
      <c r="B12">
        <v>0.01</v>
      </c>
      <c r="C12">
        <v>0.03</v>
      </c>
    </row>
    <row r="13" spans="1:3" x14ac:dyDescent="0.25">
      <c r="A13">
        <v>3.8862521405573003E-2</v>
      </c>
      <c r="B13">
        <v>0</v>
      </c>
      <c r="C13">
        <v>0.02</v>
      </c>
    </row>
    <row r="14" spans="1:3" x14ac:dyDescent="0.25">
      <c r="A14">
        <v>4.2405921347715002E-2</v>
      </c>
      <c r="B14">
        <v>0</v>
      </c>
      <c r="C14">
        <v>0</v>
      </c>
    </row>
    <row r="15" spans="1:3" x14ac:dyDescent="0.25">
      <c r="A15">
        <v>4.5948576452554998E-2</v>
      </c>
      <c r="B15">
        <v>0.01</v>
      </c>
      <c r="C15">
        <v>0.03</v>
      </c>
    </row>
    <row r="16" spans="1:3" x14ac:dyDescent="0.25">
      <c r="A16">
        <v>4.9491069311344997E-2</v>
      </c>
      <c r="B16">
        <v>0</v>
      </c>
      <c r="C16">
        <v>0.02</v>
      </c>
    </row>
    <row r="17" spans="1:3" x14ac:dyDescent="0.25">
      <c r="A17">
        <v>5.3034628166093001E-2</v>
      </c>
      <c r="B17">
        <v>0</v>
      </c>
      <c r="C17">
        <v>0.01</v>
      </c>
    </row>
    <row r="18" spans="1:3" x14ac:dyDescent="0.25">
      <c r="A18">
        <v>5.6579633515189999E-2</v>
      </c>
      <c r="B18">
        <v>0</v>
      </c>
      <c r="C18">
        <v>0</v>
      </c>
    </row>
    <row r="19" spans="1:3" x14ac:dyDescent="0.25">
      <c r="A19">
        <v>6.0124302523003999E-2</v>
      </c>
      <c r="B19">
        <v>0</v>
      </c>
      <c r="C19">
        <v>0.02</v>
      </c>
    </row>
    <row r="20" spans="1:3" x14ac:dyDescent="0.25">
      <c r="A20">
        <v>6.3666917416784E-2</v>
      </c>
      <c r="B20">
        <v>0.01</v>
      </c>
      <c r="C20">
        <v>0.04</v>
      </c>
    </row>
    <row r="21" spans="1:3" x14ac:dyDescent="0.25">
      <c r="A21">
        <v>6.7209668777607007E-2</v>
      </c>
      <c r="B21">
        <v>0</v>
      </c>
      <c r="C21">
        <v>0.02</v>
      </c>
    </row>
    <row r="22" spans="1:3" x14ac:dyDescent="0.25">
      <c r="A22">
        <v>7.0753316581249004E-2</v>
      </c>
      <c r="B22">
        <v>0.01</v>
      </c>
      <c r="C22">
        <v>0.03</v>
      </c>
    </row>
    <row r="23" spans="1:3" x14ac:dyDescent="0.25">
      <c r="A23">
        <v>7.4295930305012997E-2</v>
      </c>
      <c r="B23">
        <v>0</v>
      </c>
      <c r="C23">
        <v>0.02</v>
      </c>
    </row>
    <row r="24" spans="1:3" x14ac:dyDescent="0.25">
      <c r="A24">
        <v>7.7839643728953994E-2</v>
      </c>
      <c r="B24">
        <v>0</v>
      </c>
      <c r="C24">
        <v>0.02</v>
      </c>
    </row>
    <row r="25" spans="1:3" x14ac:dyDescent="0.25">
      <c r="A25">
        <v>8.1382255476934007E-2</v>
      </c>
      <c r="B25">
        <v>0.04</v>
      </c>
      <c r="C25">
        <v>0.05</v>
      </c>
    </row>
    <row r="26" spans="1:3" x14ac:dyDescent="0.25">
      <c r="A26">
        <v>8.4928421488514996E-2</v>
      </c>
      <c r="B26">
        <v>0.01</v>
      </c>
      <c r="C26">
        <v>0.01</v>
      </c>
    </row>
    <row r="27" spans="1:3" x14ac:dyDescent="0.25">
      <c r="A27">
        <v>8.8471068486019003E-2</v>
      </c>
      <c r="B27">
        <v>0</v>
      </c>
      <c r="C27">
        <v>0.01</v>
      </c>
    </row>
    <row r="28" spans="1:3" x14ac:dyDescent="0.25">
      <c r="A28">
        <v>9.2012768183592997E-2</v>
      </c>
      <c r="B28">
        <v>0</v>
      </c>
      <c r="C28">
        <v>0.02</v>
      </c>
    </row>
    <row r="29" spans="1:3" x14ac:dyDescent="0.25">
      <c r="A29">
        <v>9.5555273156474996E-2</v>
      </c>
      <c r="B29">
        <v>0</v>
      </c>
      <c r="C29">
        <v>0.01</v>
      </c>
    </row>
    <row r="30" spans="1:3" x14ac:dyDescent="0.25">
      <c r="A30">
        <v>9.9098984764681999E-2</v>
      </c>
      <c r="B30">
        <v>0.01</v>
      </c>
      <c r="C30">
        <v>0.02</v>
      </c>
    </row>
    <row r="31" spans="1:3" x14ac:dyDescent="0.25">
      <c r="A31">
        <v>0.10264260462588699</v>
      </c>
      <c r="B31">
        <v>0</v>
      </c>
      <c r="C31">
        <v>0.01</v>
      </c>
    </row>
    <row r="32" spans="1:3" x14ac:dyDescent="0.25">
      <c r="A32">
        <v>0.106186188006843</v>
      </c>
      <c r="B32">
        <v>0.02</v>
      </c>
      <c r="C32">
        <v>0.03</v>
      </c>
    </row>
    <row r="33" spans="1:3" x14ac:dyDescent="0.25">
      <c r="A33">
        <v>0.10972748170296399</v>
      </c>
      <c r="B33">
        <v>0</v>
      </c>
      <c r="C33">
        <v>0.01</v>
      </c>
    </row>
    <row r="34" spans="1:3" x14ac:dyDescent="0.25">
      <c r="A34">
        <v>0.1132721831346</v>
      </c>
      <c r="B34">
        <v>0.03</v>
      </c>
      <c r="C34">
        <v>0.03</v>
      </c>
    </row>
    <row r="35" spans="1:3" x14ac:dyDescent="0.25">
      <c r="A35">
        <v>0.11681599943174301</v>
      </c>
      <c r="B35">
        <v>0</v>
      </c>
      <c r="C35">
        <v>0.01</v>
      </c>
    </row>
    <row r="36" spans="1:3" x14ac:dyDescent="0.25">
      <c r="A36">
        <v>0.120358602101052</v>
      </c>
      <c r="B36">
        <v>0.01</v>
      </c>
      <c r="C36">
        <v>0.02</v>
      </c>
    </row>
    <row r="37" spans="1:3" x14ac:dyDescent="0.25">
      <c r="A37">
        <v>0.12390236987008001</v>
      </c>
      <c r="B37">
        <v>0.01</v>
      </c>
      <c r="C37">
        <v>0.01</v>
      </c>
    </row>
    <row r="38" spans="1:3" x14ac:dyDescent="0.25">
      <c r="A38">
        <v>0.12744505445162499</v>
      </c>
      <c r="B38">
        <v>0</v>
      </c>
      <c r="C38">
        <v>0.02</v>
      </c>
    </row>
    <row r="39" spans="1:3" x14ac:dyDescent="0.25">
      <c r="A39">
        <v>0.13098744990649</v>
      </c>
      <c r="B39">
        <v>0</v>
      </c>
      <c r="C39">
        <v>0</v>
      </c>
    </row>
    <row r="40" spans="1:3" x14ac:dyDescent="0.25">
      <c r="A40">
        <v>0.13453240321742199</v>
      </c>
      <c r="B40">
        <v>0.02</v>
      </c>
      <c r="C40">
        <v>0.06</v>
      </c>
    </row>
    <row r="41" spans="1:3" x14ac:dyDescent="0.25">
      <c r="A41">
        <v>0.13807407969126001</v>
      </c>
      <c r="B41">
        <v>0.01</v>
      </c>
      <c r="C41">
        <v>0.05</v>
      </c>
    </row>
    <row r="42" spans="1:3" x14ac:dyDescent="0.25">
      <c r="A42">
        <v>0.141618903952616</v>
      </c>
      <c r="B42">
        <v>0.01</v>
      </c>
      <c r="C42">
        <v>0.03</v>
      </c>
    </row>
    <row r="43" spans="1:3" x14ac:dyDescent="0.25">
      <c r="A43">
        <v>0.14516280778580201</v>
      </c>
      <c r="B43">
        <v>0.04</v>
      </c>
      <c r="C43">
        <v>0.09</v>
      </c>
    </row>
    <row r="44" spans="1:3" x14ac:dyDescent="0.25">
      <c r="A44">
        <v>0.148707773884137</v>
      </c>
      <c r="B44">
        <v>0.01</v>
      </c>
      <c r="C44">
        <v>0.02</v>
      </c>
    </row>
    <row r="45" spans="1:3" x14ac:dyDescent="0.25">
      <c r="A45">
        <v>0.15225180076780101</v>
      </c>
      <c r="B45">
        <v>0</v>
      </c>
      <c r="C45">
        <v>0</v>
      </c>
    </row>
    <row r="46" spans="1:3" x14ac:dyDescent="0.25">
      <c r="A46">
        <v>0.155798040164842</v>
      </c>
      <c r="B46">
        <v>0.18</v>
      </c>
      <c r="C46">
        <v>0.06</v>
      </c>
    </row>
    <row r="47" spans="1:3" x14ac:dyDescent="0.25">
      <c r="A47">
        <v>0.15934161764604099</v>
      </c>
      <c r="B47">
        <v>0.02</v>
      </c>
      <c r="C47">
        <v>0.06</v>
      </c>
    </row>
    <row r="48" spans="1:3" x14ac:dyDescent="0.25">
      <c r="A48">
        <v>0.16288394907006501</v>
      </c>
      <c r="B48">
        <v>0.19</v>
      </c>
      <c r="C48">
        <v>0.06</v>
      </c>
    </row>
    <row r="49" spans="1:3" x14ac:dyDescent="0.25">
      <c r="A49">
        <v>0.16642774381019501</v>
      </c>
      <c r="B49">
        <v>0.01</v>
      </c>
      <c r="C49">
        <v>0.03</v>
      </c>
    </row>
    <row r="50" spans="1:3" x14ac:dyDescent="0.25">
      <c r="A50">
        <v>0.169972693368241</v>
      </c>
      <c r="B50">
        <v>0.02</v>
      </c>
      <c r="C50">
        <v>0.05</v>
      </c>
    </row>
    <row r="51" spans="1:3" x14ac:dyDescent="0.25">
      <c r="A51">
        <v>0.17351759419949001</v>
      </c>
      <c r="B51">
        <v>0.4</v>
      </c>
      <c r="C51">
        <v>0.03</v>
      </c>
    </row>
    <row r="52" spans="1:3" x14ac:dyDescent="0.25">
      <c r="A52">
        <v>0.17706132132146099</v>
      </c>
      <c r="B52">
        <v>0</v>
      </c>
      <c r="C52">
        <v>0.03</v>
      </c>
    </row>
    <row r="53" spans="1:3" x14ac:dyDescent="0.25">
      <c r="A53">
        <v>0.18060265966587599</v>
      </c>
      <c r="B53">
        <v>0.03</v>
      </c>
      <c r="C53">
        <v>0.05</v>
      </c>
    </row>
    <row r="54" spans="1:3" x14ac:dyDescent="0.25">
      <c r="A54">
        <v>0.18414639150654799</v>
      </c>
      <c r="B54">
        <v>0.03</v>
      </c>
      <c r="C54">
        <v>0.06</v>
      </c>
    </row>
    <row r="55" spans="1:3" x14ac:dyDescent="0.25">
      <c r="A55">
        <v>0.18768867360772901</v>
      </c>
      <c r="B55">
        <v>0.02</v>
      </c>
      <c r="C55">
        <v>0.03</v>
      </c>
    </row>
    <row r="56" spans="1:3" x14ac:dyDescent="0.25">
      <c r="A56">
        <v>0.19123086164395001</v>
      </c>
      <c r="B56">
        <v>0.05</v>
      </c>
      <c r="C56">
        <v>0.04</v>
      </c>
    </row>
    <row r="57" spans="1:3" x14ac:dyDescent="0.25">
      <c r="A57">
        <v>0.19477573502394899</v>
      </c>
      <c r="B57">
        <v>0.03</v>
      </c>
      <c r="C57">
        <v>0.06</v>
      </c>
    </row>
    <row r="58" spans="1:3" x14ac:dyDescent="0.25">
      <c r="A58">
        <v>0.19831945038504101</v>
      </c>
      <c r="B58">
        <v>0.02</v>
      </c>
      <c r="C58">
        <v>0.06</v>
      </c>
    </row>
    <row r="59" spans="1:3" x14ac:dyDescent="0.25">
      <c r="A59">
        <v>0.20186310724527701</v>
      </c>
      <c r="B59">
        <v>0.01</v>
      </c>
      <c r="C59">
        <v>0.03</v>
      </c>
    </row>
    <row r="60" spans="1:3" x14ac:dyDescent="0.25">
      <c r="A60">
        <v>0.205408323666564</v>
      </c>
      <c r="B60">
        <v>0.02</v>
      </c>
      <c r="C60">
        <v>0.05</v>
      </c>
    </row>
    <row r="61" spans="1:3" x14ac:dyDescent="0.25">
      <c r="A61">
        <v>0.20895316653229601</v>
      </c>
      <c r="B61">
        <v>0.11</v>
      </c>
      <c r="C61">
        <v>7.0000000000000007E-2</v>
      </c>
    </row>
    <row r="62" spans="1:3" x14ac:dyDescent="0.25">
      <c r="A62">
        <v>0.21249795167534399</v>
      </c>
      <c r="B62">
        <v>0.03</v>
      </c>
      <c r="C62">
        <v>0.05</v>
      </c>
    </row>
    <row r="63" spans="1:3" x14ac:dyDescent="0.25">
      <c r="A63">
        <v>0.21604183371972199</v>
      </c>
      <c r="B63">
        <v>0.03</v>
      </c>
      <c r="C63">
        <v>7.0000000000000007E-2</v>
      </c>
    </row>
    <row r="64" spans="1:3" x14ac:dyDescent="0.25">
      <c r="A64">
        <v>0.21958431408913001</v>
      </c>
      <c r="B64">
        <v>0.04</v>
      </c>
      <c r="C64">
        <v>0.06</v>
      </c>
    </row>
    <row r="65" spans="1:3" x14ac:dyDescent="0.25">
      <c r="A65">
        <v>0.223130661458881</v>
      </c>
      <c r="B65">
        <v>0.02</v>
      </c>
      <c r="C65">
        <v>0.06</v>
      </c>
    </row>
    <row r="66" spans="1:3" x14ac:dyDescent="0.25">
      <c r="A66">
        <v>0.226674389657047</v>
      </c>
      <c r="B66">
        <v>0.03</v>
      </c>
      <c r="C66">
        <v>0.04</v>
      </c>
    </row>
    <row r="67" spans="1:3" x14ac:dyDescent="0.25">
      <c r="A67">
        <v>0.23021796124952801</v>
      </c>
      <c r="B67">
        <v>0.01</v>
      </c>
      <c r="C67">
        <v>0.05</v>
      </c>
    </row>
    <row r="68" spans="1:3" x14ac:dyDescent="0.25">
      <c r="A68">
        <v>0.233763896431084</v>
      </c>
      <c r="B68">
        <v>0.03</v>
      </c>
      <c r="C68">
        <v>0.05</v>
      </c>
    </row>
    <row r="69" spans="1:3" x14ac:dyDescent="0.25">
      <c r="A69">
        <v>0.237304875376048</v>
      </c>
      <c r="B69">
        <v>0.01</v>
      </c>
      <c r="C69">
        <v>0.03</v>
      </c>
    </row>
    <row r="70" spans="1:3" x14ac:dyDescent="0.25">
      <c r="A70">
        <v>0.24084728823767801</v>
      </c>
      <c r="B70">
        <v>0.05</v>
      </c>
      <c r="C70">
        <v>7.0000000000000007E-2</v>
      </c>
    </row>
    <row r="71" spans="1:3" x14ac:dyDescent="0.25">
      <c r="A71">
        <v>0.24438963069959899</v>
      </c>
      <c r="B71">
        <v>0.05</v>
      </c>
      <c r="C71">
        <v>0.08</v>
      </c>
    </row>
    <row r="72" spans="1:3" x14ac:dyDescent="0.25">
      <c r="A72">
        <v>0.24793229923755999</v>
      </c>
      <c r="B72">
        <v>0.04</v>
      </c>
      <c r="C72">
        <v>0.06</v>
      </c>
    </row>
    <row r="73" spans="1:3" x14ac:dyDescent="0.25">
      <c r="A73">
        <v>0.25147611077736898</v>
      </c>
      <c r="B73">
        <v>0.01</v>
      </c>
      <c r="C73">
        <v>0.08</v>
      </c>
    </row>
    <row r="74" spans="1:3" x14ac:dyDescent="0.25">
      <c r="A74">
        <v>0.25501963582303799</v>
      </c>
      <c r="B74">
        <v>0.02</v>
      </c>
      <c r="C74">
        <v>0.05</v>
      </c>
    </row>
    <row r="75" spans="1:3" x14ac:dyDescent="0.25">
      <c r="A75">
        <v>0.25856348507934102</v>
      </c>
      <c r="B75">
        <v>0.03</v>
      </c>
      <c r="C75">
        <v>0.06</v>
      </c>
    </row>
    <row r="76" spans="1:3" x14ac:dyDescent="0.25">
      <c r="A76">
        <v>0.26210708997867699</v>
      </c>
      <c r="B76">
        <v>0.01</v>
      </c>
      <c r="C76">
        <v>0.06</v>
      </c>
    </row>
    <row r="77" spans="1:3" x14ac:dyDescent="0.25">
      <c r="A77">
        <v>0.26565060395333501</v>
      </c>
      <c r="B77">
        <v>0.05</v>
      </c>
      <c r="C77">
        <v>7.0000000000000007E-2</v>
      </c>
    </row>
    <row r="78" spans="1:3" x14ac:dyDescent="0.25">
      <c r="A78">
        <v>0.26919714775902298</v>
      </c>
      <c r="B78">
        <v>0.09</v>
      </c>
      <c r="C78">
        <v>7.0000000000000007E-2</v>
      </c>
    </row>
    <row r="79" spans="1:3" x14ac:dyDescent="0.25">
      <c r="A79">
        <v>0.27273879822757502</v>
      </c>
      <c r="B79">
        <v>0.02</v>
      </c>
      <c r="C79">
        <v>0.06</v>
      </c>
    </row>
    <row r="80" spans="1:3" x14ac:dyDescent="0.25">
      <c r="A80">
        <v>0.27628265883083702</v>
      </c>
      <c r="B80">
        <v>0.06</v>
      </c>
      <c r="C80">
        <v>7.0000000000000007E-2</v>
      </c>
    </row>
    <row r="81" spans="1:3" x14ac:dyDescent="0.25">
      <c r="A81">
        <v>0.27982632282155501</v>
      </c>
      <c r="B81">
        <v>0.04</v>
      </c>
      <c r="C81">
        <v>7.0000000000000007E-2</v>
      </c>
    </row>
    <row r="82" spans="1:3" x14ac:dyDescent="0.25">
      <c r="A82">
        <v>0.283371356885742</v>
      </c>
      <c r="B82">
        <v>0.03</v>
      </c>
      <c r="C82">
        <v>7.0000000000000007E-2</v>
      </c>
    </row>
    <row r="83" spans="1:3" x14ac:dyDescent="0.25">
      <c r="A83">
        <v>0.28691624822991901</v>
      </c>
      <c r="B83">
        <v>0.05</v>
      </c>
      <c r="C83">
        <v>7.0000000000000007E-2</v>
      </c>
    </row>
    <row r="84" spans="1:3" x14ac:dyDescent="0.25">
      <c r="A84">
        <v>0.29045994755294602</v>
      </c>
      <c r="B84">
        <v>0.18</v>
      </c>
      <c r="C84">
        <v>0.09</v>
      </c>
    </row>
    <row r="85" spans="1:3" x14ac:dyDescent="0.25">
      <c r="A85">
        <v>0.29400387686711799</v>
      </c>
      <c r="B85">
        <v>0.03</v>
      </c>
      <c r="C85">
        <v>0.08</v>
      </c>
    </row>
    <row r="86" spans="1:3" x14ac:dyDescent="0.25">
      <c r="A86">
        <v>0.29754624266315399</v>
      </c>
      <c r="B86">
        <v>0.17</v>
      </c>
      <c r="C86">
        <v>0.08</v>
      </c>
    </row>
    <row r="87" spans="1:3" x14ac:dyDescent="0.25">
      <c r="A87">
        <v>0.30109110321711602</v>
      </c>
      <c r="B87">
        <v>0.03</v>
      </c>
      <c r="C87">
        <v>0.06</v>
      </c>
    </row>
    <row r="88" spans="1:3" x14ac:dyDescent="0.25">
      <c r="A88">
        <v>0.304633446164705</v>
      </c>
      <c r="B88">
        <v>0.01</v>
      </c>
      <c r="C88">
        <v>0.09</v>
      </c>
    </row>
    <row r="89" spans="1:3" x14ac:dyDescent="0.25">
      <c r="A89">
        <v>0.30817598166289201</v>
      </c>
      <c r="B89">
        <v>7.0000000000000007E-2</v>
      </c>
      <c r="C89">
        <v>0.09</v>
      </c>
    </row>
    <row r="90" spans="1:3" x14ac:dyDescent="0.25">
      <c r="A90">
        <v>0.31171751276762399</v>
      </c>
      <c r="B90">
        <v>7.0000000000000007E-2</v>
      </c>
      <c r="C90">
        <v>0.09</v>
      </c>
    </row>
    <row r="91" spans="1:3" x14ac:dyDescent="0.25">
      <c r="A91">
        <v>0.31526238929342298</v>
      </c>
      <c r="B91">
        <v>0.05</v>
      </c>
      <c r="C91">
        <v>0.06</v>
      </c>
    </row>
    <row r="92" spans="1:3" x14ac:dyDescent="0.25">
      <c r="A92">
        <v>0.31880507444893902</v>
      </c>
      <c r="B92">
        <v>0.1</v>
      </c>
      <c r="C92">
        <v>7.0000000000000007E-2</v>
      </c>
    </row>
    <row r="93" spans="1:3" x14ac:dyDescent="0.25">
      <c r="A93">
        <v>0.32234747825397397</v>
      </c>
      <c r="B93">
        <v>0.06</v>
      </c>
      <c r="C93">
        <v>0.08</v>
      </c>
    </row>
    <row r="94" spans="1:3" x14ac:dyDescent="0.25">
      <c r="A94">
        <v>0.32589150748870999</v>
      </c>
      <c r="B94">
        <v>0.02</v>
      </c>
      <c r="C94">
        <v>0.11</v>
      </c>
    </row>
    <row r="95" spans="1:3" x14ac:dyDescent="0.25">
      <c r="A95">
        <v>0.32943545119078099</v>
      </c>
      <c r="B95">
        <v>0.04</v>
      </c>
      <c r="C95">
        <v>0.1</v>
      </c>
    </row>
    <row r="96" spans="1:3" x14ac:dyDescent="0.25">
      <c r="A96">
        <v>0.33297907596936899</v>
      </c>
      <c r="B96">
        <v>0.03</v>
      </c>
      <c r="C96">
        <v>0.1</v>
      </c>
    </row>
    <row r="97" spans="1:3" x14ac:dyDescent="0.25">
      <c r="A97">
        <v>0.33652045717393902</v>
      </c>
      <c r="B97">
        <v>0.02</v>
      </c>
      <c r="C97">
        <v>0.1</v>
      </c>
    </row>
    <row r="98" spans="1:3" x14ac:dyDescent="0.25">
      <c r="A98">
        <v>0.34006551262957102</v>
      </c>
      <c r="B98">
        <v>0.06</v>
      </c>
      <c r="C98">
        <v>0.08</v>
      </c>
    </row>
    <row r="99" spans="1:3" x14ac:dyDescent="0.25">
      <c r="A99">
        <v>0.343607059248068</v>
      </c>
      <c r="B99">
        <v>0.05</v>
      </c>
      <c r="C99">
        <v>0.09</v>
      </c>
    </row>
    <row r="100" spans="1:3" x14ac:dyDescent="0.25">
      <c r="A100">
        <v>0.347150858822796</v>
      </c>
      <c r="B100">
        <v>0.06</v>
      </c>
      <c r="C100">
        <v>0.08</v>
      </c>
    </row>
    <row r="101" spans="1:3" x14ac:dyDescent="0.25">
      <c r="A101">
        <v>0.350696017107478</v>
      </c>
      <c r="B101">
        <v>0.28000000000000003</v>
      </c>
      <c r="C101">
        <v>0.09</v>
      </c>
    </row>
    <row r="102" spans="1:3" x14ac:dyDescent="0.25">
      <c r="A102">
        <v>0.35423735635148201</v>
      </c>
      <c r="B102">
        <v>0.02</v>
      </c>
      <c r="C102">
        <v>0.08</v>
      </c>
    </row>
    <row r="103" spans="1:3" x14ac:dyDescent="0.25">
      <c r="A103">
        <v>0.35778265064513198</v>
      </c>
      <c r="B103">
        <v>0.01</v>
      </c>
      <c r="C103">
        <v>7.0000000000000007E-2</v>
      </c>
    </row>
    <row r="104" spans="1:3" x14ac:dyDescent="0.25">
      <c r="A104">
        <v>0.36132889279612801</v>
      </c>
      <c r="B104">
        <v>0.15</v>
      </c>
      <c r="C104">
        <v>0.09</v>
      </c>
    </row>
    <row r="105" spans="1:3" x14ac:dyDescent="0.25">
      <c r="A105">
        <v>0.36487169868416303</v>
      </c>
      <c r="B105">
        <v>0.21</v>
      </c>
      <c r="C105">
        <v>0.14000000000000001</v>
      </c>
    </row>
    <row r="106" spans="1:3" x14ac:dyDescent="0.25">
      <c r="A106">
        <v>0.36841435205053402</v>
      </c>
      <c r="B106">
        <v>7.0000000000000007E-2</v>
      </c>
      <c r="C106">
        <v>0.11</v>
      </c>
    </row>
    <row r="107" spans="1:3" x14ac:dyDescent="0.25">
      <c r="A107">
        <v>0.37195672714599898</v>
      </c>
      <c r="B107">
        <v>0.02</v>
      </c>
      <c r="C107">
        <v>0.09</v>
      </c>
    </row>
    <row r="108" spans="1:3" x14ac:dyDescent="0.25">
      <c r="A108">
        <v>0.37549959981883002</v>
      </c>
      <c r="B108">
        <v>0.02</v>
      </c>
      <c r="C108">
        <v>0.1</v>
      </c>
    </row>
    <row r="109" spans="1:3" x14ac:dyDescent="0.25">
      <c r="A109">
        <v>0.37904355736794298</v>
      </c>
      <c r="B109">
        <v>0.03</v>
      </c>
      <c r="C109">
        <v>7.0000000000000007E-2</v>
      </c>
    </row>
    <row r="110" spans="1:3" x14ac:dyDescent="0.25">
      <c r="A110">
        <v>0.382586347813959</v>
      </c>
      <c r="B110">
        <v>0.05</v>
      </c>
      <c r="C110">
        <v>0.12</v>
      </c>
    </row>
    <row r="111" spans="1:3" x14ac:dyDescent="0.25">
      <c r="A111">
        <v>0.386128206346874</v>
      </c>
      <c r="B111">
        <v>7.0000000000000007E-2</v>
      </c>
      <c r="C111">
        <v>0.11</v>
      </c>
    </row>
    <row r="112" spans="1:3" x14ac:dyDescent="0.25">
      <c r="A112">
        <v>0.38967223541604101</v>
      </c>
      <c r="B112">
        <v>0.43</v>
      </c>
      <c r="C112">
        <v>0.1</v>
      </c>
    </row>
    <row r="113" spans="1:3" x14ac:dyDescent="0.25">
      <c r="A113">
        <v>0.39321466034761199</v>
      </c>
      <c r="B113">
        <v>7.0000000000000007E-2</v>
      </c>
      <c r="C113">
        <v>0.1</v>
      </c>
    </row>
    <row r="114" spans="1:3" x14ac:dyDescent="0.25">
      <c r="A114">
        <v>0.39675723835825899</v>
      </c>
      <c r="B114">
        <v>7.0000000000000007E-2</v>
      </c>
      <c r="C114">
        <v>0.1</v>
      </c>
    </row>
    <row r="115" spans="1:3" x14ac:dyDescent="0.25">
      <c r="A115">
        <v>0.40030055376666601</v>
      </c>
      <c r="B115">
        <v>7.0000000000000007E-2</v>
      </c>
      <c r="C115">
        <v>0.1</v>
      </c>
    </row>
    <row r="116" spans="1:3" x14ac:dyDescent="0.25">
      <c r="A116">
        <v>0.40384341017515601</v>
      </c>
      <c r="B116">
        <v>0.08</v>
      </c>
      <c r="C116">
        <v>0.09</v>
      </c>
    </row>
    <row r="117" spans="1:3" x14ac:dyDescent="0.25">
      <c r="A117">
        <v>0.40738724039660601</v>
      </c>
      <c r="B117">
        <v>0.11</v>
      </c>
      <c r="C117">
        <v>0.13</v>
      </c>
    </row>
    <row r="118" spans="1:3" x14ac:dyDescent="0.25">
      <c r="A118">
        <v>0.41092977379207302</v>
      </c>
      <c r="B118">
        <v>0.11</v>
      </c>
      <c r="C118">
        <v>0.12</v>
      </c>
    </row>
    <row r="119" spans="1:3" x14ac:dyDescent="0.25">
      <c r="A119">
        <v>0.414475160423252</v>
      </c>
      <c r="B119">
        <v>0.13</v>
      </c>
      <c r="C119">
        <v>0.16</v>
      </c>
    </row>
    <row r="120" spans="1:3" x14ac:dyDescent="0.25">
      <c r="A120">
        <v>0.41801796052742901</v>
      </c>
      <c r="B120">
        <v>0.08</v>
      </c>
      <c r="C120">
        <v>0.11</v>
      </c>
    </row>
    <row r="121" spans="1:3" x14ac:dyDescent="0.25">
      <c r="A121">
        <v>0.42155956418425899</v>
      </c>
      <c r="B121">
        <v>7.0000000000000007E-2</v>
      </c>
      <c r="C121">
        <v>0.11</v>
      </c>
    </row>
    <row r="122" spans="1:3" x14ac:dyDescent="0.25">
      <c r="A122">
        <v>0.42510208117189202</v>
      </c>
      <c r="B122">
        <v>0.1</v>
      </c>
      <c r="C122">
        <v>0.13</v>
      </c>
    </row>
    <row r="123" spans="1:3" x14ac:dyDescent="0.25">
      <c r="A123">
        <v>0.42864483881327797</v>
      </c>
      <c r="B123">
        <v>0.12</v>
      </c>
      <c r="C123">
        <v>0.11</v>
      </c>
    </row>
    <row r="124" spans="1:3" x14ac:dyDescent="0.25">
      <c r="A124">
        <v>0.43218753446031499</v>
      </c>
      <c r="B124">
        <v>0.05</v>
      </c>
      <c r="C124">
        <v>0.1</v>
      </c>
    </row>
    <row r="125" spans="1:3" x14ac:dyDescent="0.25">
      <c r="A125">
        <v>0.435731384682435</v>
      </c>
      <c r="B125">
        <v>0.03</v>
      </c>
      <c r="C125">
        <v>0.1</v>
      </c>
    </row>
    <row r="126" spans="1:3" x14ac:dyDescent="0.25">
      <c r="A126">
        <v>0.439273856905875</v>
      </c>
      <c r="B126">
        <v>0.02</v>
      </c>
      <c r="C126">
        <v>0.13</v>
      </c>
    </row>
    <row r="127" spans="1:3" x14ac:dyDescent="0.25">
      <c r="A127">
        <v>0.44281644979560802</v>
      </c>
      <c r="B127">
        <v>0.03</v>
      </c>
      <c r="C127">
        <v>0.12</v>
      </c>
    </row>
    <row r="128" spans="1:3" x14ac:dyDescent="0.25">
      <c r="A128">
        <v>0.44635912918382198</v>
      </c>
      <c r="B128">
        <v>0.17</v>
      </c>
      <c r="C128">
        <v>0.15</v>
      </c>
    </row>
    <row r="129" spans="1:3" x14ac:dyDescent="0.25">
      <c r="A129">
        <v>0.44990065753459901</v>
      </c>
      <c r="B129">
        <v>0.26</v>
      </c>
      <c r="C129">
        <v>0.13</v>
      </c>
    </row>
    <row r="130" spans="1:3" x14ac:dyDescent="0.25">
      <c r="A130">
        <v>0.45344325028635801</v>
      </c>
      <c r="B130">
        <v>0.13</v>
      </c>
      <c r="C130">
        <v>0.11</v>
      </c>
    </row>
    <row r="131" spans="1:3" x14ac:dyDescent="0.25">
      <c r="A131">
        <v>0.45698699237019902</v>
      </c>
      <c r="B131">
        <v>0.12</v>
      </c>
      <c r="C131">
        <v>0.12</v>
      </c>
    </row>
    <row r="132" spans="1:3" x14ac:dyDescent="0.25">
      <c r="A132">
        <v>0.46053106004441202</v>
      </c>
      <c r="B132">
        <v>0.34</v>
      </c>
      <c r="C132">
        <v>0.13</v>
      </c>
    </row>
    <row r="133" spans="1:3" x14ac:dyDescent="0.25">
      <c r="A133">
        <v>0.464075176495093</v>
      </c>
      <c r="B133">
        <v>0.09</v>
      </c>
      <c r="C133">
        <v>0.13</v>
      </c>
    </row>
    <row r="134" spans="1:3" x14ac:dyDescent="0.25">
      <c r="A134">
        <v>0.46761779029612199</v>
      </c>
      <c r="B134">
        <v>0.42</v>
      </c>
      <c r="C134">
        <v>0.12</v>
      </c>
    </row>
    <row r="135" spans="1:3" x14ac:dyDescent="0.25">
      <c r="A135">
        <v>0.471160381441867</v>
      </c>
      <c r="B135">
        <v>0.18</v>
      </c>
      <c r="C135">
        <v>0.17</v>
      </c>
    </row>
    <row r="136" spans="1:3" x14ac:dyDescent="0.25">
      <c r="A136">
        <v>0.47470050579419798</v>
      </c>
      <c r="B136">
        <v>7.0000000000000007E-2</v>
      </c>
      <c r="C136">
        <v>0.14000000000000001</v>
      </c>
    </row>
    <row r="137" spans="1:3" x14ac:dyDescent="0.25">
      <c r="A137">
        <v>0.478245566007164</v>
      </c>
      <c r="B137">
        <v>0.53</v>
      </c>
      <c r="C137">
        <v>0.16</v>
      </c>
    </row>
    <row r="138" spans="1:3" x14ac:dyDescent="0.25">
      <c r="A138">
        <v>0.481788134089223</v>
      </c>
      <c r="B138">
        <v>0.56999999999999995</v>
      </c>
      <c r="C138">
        <v>0.14000000000000001</v>
      </c>
    </row>
    <row r="139" spans="1:3" x14ac:dyDescent="0.25">
      <c r="A139">
        <v>0.48533306933111597</v>
      </c>
      <c r="B139">
        <v>0.05</v>
      </c>
      <c r="C139">
        <v>0.16</v>
      </c>
    </row>
    <row r="140" spans="1:3" x14ac:dyDescent="0.25">
      <c r="A140">
        <v>0.48887445576764899</v>
      </c>
      <c r="B140">
        <v>0.09</v>
      </c>
      <c r="C140">
        <v>0.16</v>
      </c>
    </row>
    <row r="141" spans="1:3" x14ac:dyDescent="0.25">
      <c r="A141">
        <v>0.49241709674950002</v>
      </c>
      <c r="B141">
        <v>0.17</v>
      </c>
      <c r="C141">
        <v>0.13</v>
      </c>
    </row>
    <row r="142" spans="1:3" x14ac:dyDescent="0.25">
      <c r="A142">
        <v>0.49596075005553403</v>
      </c>
      <c r="B142">
        <v>0.17</v>
      </c>
      <c r="C142">
        <v>0.14000000000000001</v>
      </c>
    </row>
    <row r="143" spans="1:3" x14ac:dyDescent="0.25">
      <c r="A143">
        <v>0.499503453517402</v>
      </c>
      <c r="B143">
        <v>0.53</v>
      </c>
      <c r="C143">
        <v>0.17</v>
      </c>
    </row>
    <row r="144" spans="1:3" x14ac:dyDescent="0.25">
      <c r="A144">
        <v>0.50304830319351601</v>
      </c>
      <c r="B144">
        <v>0.04</v>
      </c>
      <c r="C144">
        <v>0.14000000000000001</v>
      </c>
    </row>
    <row r="145" spans="1:3" x14ac:dyDescent="0.25">
      <c r="A145">
        <v>0.50659237241303501</v>
      </c>
      <c r="B145">
        <v>0.67</v>
      </c>
      <c r="C145">
        <v>0.19</v>
      </c>
    </row>
    <row r="146" spans="1:3" x14ac:dyDescent="0.25">
      <c r="A146">
        <v>0.51013754980983606</v>
      </c>
      <c r="B146">
        <v>0.1</v>
      </c>
      <c r="C146">
        <v>0.17</v>
      </c>
    </row>
    <row r="147" spans="1:3" x14ac:dyDescent="0.25">
      <c r="A147">
        <v>0.51367881060198495</v>
      </c>
      <c r="B147">
        <v>0.03</v>
      </c>
      <c r="C147">
        <v>0.18</v>
      </c>
    </row>
    <row r="148" spans="1:3" x14ac:dyDescent="0.25">
      <c r="A148">
        <v>0.51722271252561502</v>
      </c>
      <c r="B148">
        <v>0.21</v>
      </c>
      <c r="C148">
        <v>0.17</v>
      </c>
    </row>
    <row r="149" spans="1:3" x14ac:dyDescent="0.25">
      <c r="A149">
        <v>0.52076683287819203</v>
      </c>
      <c r="B149">
        <v>7.0000000000000007E-2</v>
      </c>
      <c r="C149">
        <v>0.2</v>
      </c>
    </row>
    <row r="150" spans="1:3" x14ac:dyDescent="0.25">
      <c r="A150">
        <v>0.52431036713498602</v>
      </c>
      <c r="B150">
        <v>0.41</v>
      </c>
      <c r="C150">
        <v>0.19</v>
      </c>
    </row>
    <row r="151" spans="1:3" x14ac:dyDescent="0.25">
      <c r="A151">
        <v>0.52785166020194696</v>
      </c>
      <c r="B151">
        <v>0.13</v>
      </c>
      <c r="C151">
        <v>0.17</v>
      </c>
    </row>
    <row r="152" spans="1:3" x14ac:dyDescent="0.25">
      <c r="A152">
        <v>0.53139432136107401</v>
      </c>
      <c r="B152">
        <v>0.43</v>
      </c>
      <c r="C152">
        <v>0.2</v>
      </c>
    </row>
    <row r="153" spans="1:3" x14ac:dyDescent="0.25">
      <c r="A153">
        <v>0.53493807794319304</v>
      </c>
      <c r="B153">
        <v>0.13</v>
      </c>
      <c r="C153">
        <v>0.19</v>
      </c>
    </row>
    <row r="154" spans="1:3" x14ac:dyDescent="0.25">
      <c r="A154">
        <v>0.53848112122880099</v>
      </c>
      <c r="B154">
        <v>0.13</v>
      </c>
      <c r="C154">
        <v>0.18</v>
      </c>
    </row>
    <row r="155" spans="1:3" x14ac:dyDescent="0.25">
      <c r="A155">
        <v>0.54202496986698201</v>
      </c>
      <c r="B155">
        <v>0.26</v>
      </c>
      <c r="C155">
        <v>0.2</v>
      </c>
    </row>
    <row r="156" spans="1:3" x14ac:dyDescent="0.25">
      <c r="A156">
        <v>0.54556866895821399</v>
      </c>
      <c r="B156">
        <v>0.36</v>
      </c>
      <c r="C156">
        <v>0.21</v>
      </c>
    </row>
    <row r="157" spans="1:3" x14ac:dyDescent="0.25">
      <c r="A157">
        <v>0.549111358109448</v>
      </c>
      <c r="B157">
        <v>0.42</v>
      </c>
      <c r="C157">
        <v>0.21</v>
      </c>
    </row>
    <row r="158" spans="1:3" x14ac:dyDescent="0.25">
      <c r="A158">
        <v>0.55265394015444602</v>
      </c>
      <c r="B158">
        <v>0.3</v>
      </c>
      <c r="C158">
        <v>0.23</v>
      </c>
    </row>
    <row r="159" spans="1:3" x14ac:dyDescent="0.25">
      <c r="A159">
        <v>0.55619667810974305</v>
      </c>
      <c r="B159">
        <v>0.04</v>
      </c>
      <c r="C159">
        <v>0.2</v>
      </c>
    </row>
    <row r="160" spans="1:3" x14ac:dyDescent="0.25">
      <c r="A160">
        <v>0.55973936338667496</v>
      </c>
      <c r="B160">
        <v>0.27</v>
      </c>
      <c r="C160">
        <v>0.23</v>
      </c>
    </row>
    <row r="161" spans="1:3" x14ac:dyDescent="0.25">
      <c r="A161">
        <v>0.56328450871838498</v>
      </c>
      <c r="B161">
        <v>0.13</v>
      </c>
      <c r="C161">
        <v>0.2</v>
      </c>
    </row>
    <row r="162" spans="1:3" x14ac:dyDescent="0.25">
      <c r="A162">
        <v>0.566826935101438</v>
      </c>
      <c r="B162">
        <v>0.76</v>
      </c>
      <c r="C162">
        <v>0.23</v>
      </c>
    </row>
    <row r="163" spans="1:3" x14ac:dyDescent="0.25">
      <c r="A163">
        <v>0.57036951156126103</v>
      </c>
      <c r="B163">
        <v>0.23</v>
      </c>
      <c r="C163">
        <v>0.22</v>
      </c>
    </row>
    <row r="164" spans="1:3" x14ac:dyDescent="0.25">
      <c r="A164">
        <v>0.57391224812026398</v>
      </c>
      <c r="B164">
        <v>0.2</v>
      </c>
      <c r="C164">
        <v>0.25</v>
      </c>
    </row>
    <row r="165" spans="1:3" x14ac:dyDescent="0.25">
      <c r="A165">
        <v>0.57745387471936405</v>
      </c>
      <c r="B165">
        <v>0.27</v>
      </c>
      <c r="C165">
        <v>0.25</v>
      </c>
    </row>
    <row r="166" spans="1:3" x14ac:dyDescent="0.25">
      <c r="A166">
        <v>0.58100160265410405</v>
      </c>
      <c r="B166">
        <v>0.75</v>
      </c>
      <c r="C166">
        <v>0.25</v>
      </c>
    </row>
    <row r="167" spans="1:3" x14ac:dyDescent="0.25">
      <c r="A167">
        <v>0.58454442614758495</v>
      </c>
      <c r="B167">
        <v>0.26</v>
      </c>
      <c r="C167">
        <v>0.24</v>
      </c>
    </row>
    <row r="168" spans="1:3" x14ac:dyDescent="0.25">
      <c r="A168">
        <v>0.58809069499925304</v>
      </c>
      <c r="B168">
        <v>0.5</v>
      </c>
      <c r="C168">
        <v>0.24</v>
      </c>
    </row>
    <row r="169" spans="1:3" x14ac:dyDescent="0.25">
      <c r="A169">
        <v>0.59163315321008403</v>
      </c>
      <c r="B169">
        <v>0.14000000000000001</v>
      </c>
      <c r="C169">
        <v>0.24</v>
      </c>
    </row>
    <row r="170" spans="1:3" x14ac:dyDescent="0.25">
      <c r="A170">
        <v>0.59517685275938803</v>
      </c>
      <c r="B170">
        <v>0.19</v>
      </c>
      <c r="C170">
        <v>0.28000000000000003</v>
      </c>
    </row>
    <row r="171" spans="1:3" x14ac:dyDescent="0.25">
      <c r="A171">
        <v>0.59871961037869803</v>
      </c>
      <c r="B171">
        <v>0.54</v>
      </c>
      <c r="C171">
        <v>0.27</v>
      </c>
    </row>
    <row r="172" spans="1:3" x14ac:dyDescent="0.25">
      <c r="A172">
        <v>0.60226105394186802</v>
      </c>
      <c r="B172">
        <v>0.28999999999999998</v>
      </c>
      <c r="C172">
        <v>0.28000000000000003</v>
      </c>
    </row>
    <row r="173" spans="1:3" x14ac:dyDescent="0.25">
      <c r="A173">
        <v>0.60580599386934897</v>
      </c>
      <c r="B173">
        <v>0.44</v>
      </c>
      <c r="C173">
        <v>0.28000000000000003</v>
      </c>
    </row>
    <row r="174" spans="1:3" x14ac:dyDescent="0.25">
      <c r="A174">
        <v>0.60934860985588102</v>
      </c>
      <c r="B174">
        <v>0.28000000000000003</v>
      </c>
      <c r="C174">
        <v>0.26</v>
      </c>
    </row>
    <row r="175" spans="1:3" x14ac:dyDescent="0.25">
      <c r="A175">
        <v>0.612891067796283</v>
      </c>
      <c r="B175">
        <v>0.34</v>
      </c>
      <c r="C175">
        <v>0.28000000000000003</v>
      </c>
    </row>
    <row r="176" spans="1:3" x14ac:dyDescent="0.25">
      <c r="A176">
        <v>0.61643357721191905</v>
      </c>
      <c r="B176">
        <v>0.64</v>
      </c>
      <c r="C176">
        <v>0.3</v>
      </c>
    </row>
    <row r="177" spans="1:3" x14ac:dyDescent="0.25">
      <c r="A177">
        <v>0.61997615962668695</v>
      </c>
      <c r="B177">
        <v>0.47</v>
      </c>
      <c r="C177">
        <v>0.3</v>
      </c>
    </row>
    <row r="178" spans="1:3" x14ac:dyDescent="0.25">
      <c r="A178">
        <v>0.62351902412595595</v>
      </c>
      <c r="B178">
        <v>0.28999999999999998</v>
      </c>
      <c r="C178">
        <v>0.28999999999999998</v>
      </c>
    </row>
    <row r="179" spans="1:3" x14ac:dyDescent="0.25">
      <c r="A179">
        <v>0.62706151173070601</v>
      </c>
      <c r="B179">
        <v>0.4</v>
      </c>
      <c r="C179">
        <v>0.31</v>
      </c>
    </row>
    <row r="180" spans="1:3" x14ac:dyDescent="0.25">
      <c r="A180">
        <v>0.63060309335589404</v>
      </c>
      <c r="B180">
        <v>0.36</v>
      </c>
      <c r="C180">
        <v>0.35</v>
      </c>
    </row>
    <row r="181" spans="1:3" x14ac:dyDescent="0.25">
      <c r="A181">
        <v>0.63414586118525895</v>
      </c>
      <c r="B181">
        <v>0.27</v>
      </c>
      <c r="C181">
        <v>0.35</v>
      </c>
    </row>
    <row r="182" spans="1:3" x14ac:dyDescent="0.25">
      <c r="A182">
        <v>0.63769094599617804</v>
      </c>
      <c r="B182">
        <v>0.77</v>
      </c>
      <c r="C182">
        <v>0.32</v>
      </c>
    </row>
    <row r="183" spans="1:3" x14ac:dyDescent="0.25">
      <c r="A183">
        <v>0.64123367701415701</v>
      </c>
      <c r="B183">
        <v>0.35</v>
      </c>
      <c r="C183">
        <v>0.35</v>
      </c>
    </row>
    <row r="184" spans="1:3" x14ac:dyDescent="0.25">
      <c r="A184">
        <v>0.64477626929128595</v>
      </c>
      <c r="B184">
        <v>0.59</v>
      </c>
      <c r="C184">
        <v>0.37</v>
      </c>
    </row>
    <row r="185" spans="1:3" x14ac:dyDescent="0.25">
      <c r="A185">
        <v>0.64831780285746998</v>
      </c>
      <c r="B185">
        <v>0.56999999999999995</v>
      </c>
      <c r="C185">
        <v>0.34</v>
      </c>
    </row>
    <row r="186" spans="1:3" x14ac:dyDescent="0.25">
      <c r="A186">
        <v>0.65186164045775397</v>
      </c>
      <c r="B186">
        <v>0.66</v>
      </c>
      <c r="C186">
        <v>0.36</v>
      </c>
    </row>
    <row r="187" spans="1:3" x14ac:dyDescent="0.25">
      <c r="A187">
        <v>0.65540539113459795</v>
      </c>
      <c r="B187">
        <v>0.1</v>
      </c>
      <c r="C187">
        <v>0.37</v>
      </c>
    </row>
    <row r="188" spans="1:3" x14ac:dyDescent="0.25">
      <c r="A188">
        <v>0.65894687405339003</v>
      </c>
      <c r="B188">
        <v>0.53</v>
      </c>
      <c r="C188">
        <v>0.38</v>
      </c>
    </row>
    <row r="189" spans="1:3" x14ac:dyDescent="0.25">
      <c r="A189">
        <v>0.66248950672922302</v>
      </c>
      <c r="B189">
        <v>0.54</v>
      </c>
      <c r="C189">
        <v>0.39</v>
      </c>
    </row>
    <row r="190" spans="1:3" x14ac:dyDescent="0.25">
      <c r="A190">
        <v>0.66603672488420096</v>
      </c>
      <c r="B190">
        <v>0.53</v>
      </c>
      <c r="C190">
        <v>0.38</v>
      </c>
    </row>
    <row r="191" spans="1:3" x14ac:dyDescent="0.25">
      <c r="A191">
        <v>0.66958212539553597</v>
      </c>
      <c r="B191">
        <v>0.21</v>
      </c>
      <c r="C191">
        <v>0.41</v>
      </c>
    </row>
    <row r="192" spans="1:3" x14ac:dyDescent="0.25">
      <c r="A192">
        <v>0.67312568975819498</v>
      </c>
      <c r="B192">
        <v>0.45</v>
      </c>
      <c r="C192">
        <v>0.41</v>
      </c>
    </row>
    <row r="193" spans="1:3" x14ac:dyDescent="0.25">
      <c r="A193">
        <v>0.676669754755718</v>
      </c>
      <c r="B193">
        <v>0.75</v>
      </c>
      <c r="C193">
        <v>0.42</v>
      </c>
    </row>
    <row r="194" spans="1:3" x14ac:dyDescent="0.25">
      <c r="A194">
        <v>0.68020637146852603</v>
      </c>
      <c r="B194">
        <v>0.37</v>
      </c>
      <c r="C194">
        <v>0.45</v>
      </c>
    </row>
    <row r="195" spans="1:3" x14ac:dyDescent="0.25">
      <c r="A195">
        <v>0.68373729157227103</v>
      </c>
      <c r="B195">
        <v>0.43</v>
      </c>
      <c r="C195">
        <v>0.44</v>
      </c>
    </row>
    <row r="196" spans="1:3" x14ac:dyDescent="0.25">
      <c r="A196">
        <v>0.68726716600634397</v>
      </c>
      <c r="B196">
        <v>0.36</v>
      </c>
      <c r="C196">
        <v>0.46</v>
      </c>
    </row>
    <row r="197" spans="1:3" x14ac:dyDescent="0.25">
      <c r="A197">
        <v>0.69079722415517897</v>
      </c>
      <c r="B197">
        <v>0.83</v>
      </c>
      <c r="C197">
        <v>0.45</v>
      </c>
    </row>
    <row r="198" spans="1:3" x14ac:dyDescent="0.25">
      <c r="A198">
        <v>0.69432780109070003</v>
      </c>
      <c r="B198">
        <v>0.45</v>
      </c>
      <c r="C198">
        <v>0.47</v>
      </c>
    </row>
    <row r="199" spans="1:3" x14ac:dyDescent="0.25">
      <c r="A199">
        <v>0.69785738352272197</v>
      </c>
      <c r="B199">
        <v>0.41</v>
      </c>
      <c r="C199">
        <v>0.46</v>
      </c>
    </row>
    <row r="200" spans="1:3" x14ac:dyDescent="0.25">
      <c r="A200">
        <v>0.70138965233056605</v>
      </c>
      <c r="B200">
        <v>0.9</v>
      </c>
      <c r="C200">
        <v>0.5</v>
      </c>
    </row>
    <row r="201" spans="1:3" x14ac:dyDescent="0.25">
      <c r="A201">
        <v>0.70492058164543603</v>
      </c>
      <c r="B201">
        <v>0.51</v>
      </c>
      <c r="C201">
        <v>0.54</v>
      </c>
    </row>
    <row r="202" spans="1:3" x14ac:dyDescent="0.25">
      <c r="A202">
        <v>0.70845176861793902</v>
      </c>
      <c r="B202">
        <v>0.4</v>
      </c>
      <c r="C202">
        <v>0.52</v>
      </c>
    </row>
    <row r="203" spans="1:3" x14ac:dyDescent="0.25">
      <c r="A203">
        <v>0.71198961586863896</v>
      </c>
      <c r="B203">
        <v>0.86</v>
      </c>
      <c r="C203">
        <v>0.52</v>
      </c>
    </row>
    <row r="204" spans="1:3" x14ac:dyDescent="0.25">
      <c r="A204">
        <v>0.71553304080058</v>
      </c>
      <c r="B204">
        <v>0.92</v>
      </c>
      <c r="C204">
        <v>0.56999999999999995</v>
      </c>
    </row>
    <row r="205" spans="1:3" x14ac:dyDescent="0.25">
      <c r="A205">
        <v>0.71907700456954804</v>
      </c>
      <c r="B205">
        <v>0.69</v>
      </c>
      <c r="C205">
        <v>0.56000000000000005</v>
      </c>
    </row>
    <row r="206" spans="1:3" x14ac:dyDescent="0.25">
      <c r="A206">
        <v>0.72262070928458799</v>
      </c>
      <c r="B206">
        <v>0.59</v>
      </c>
      <c r="C206">
        <v>0.56999999999999995</v>
      </c>
    </row>
    <row r="207" spans="1:3" x14ac:dyDescent="0.25">
      <c r="A207">
        <v>0.72616454685175902</v>
      </c>
      <c r="B207">
        <v>0.28000000000000003</v>
      </c>
      <c r="C207">
        <v>0.6</v>
      </c>
    </row>
    <row r="208" spans="1:3" x14ac:dyDescent="0.25">
      <c r="A208">
        <v>0.72970967732093905</v>
      </c>
      <c r="B208">
        <v>1.18</v>
      </c>
      <c r="C208">
        <v>0.61</v>
      </c>
    </row>
    <row r="209" spans="1:3" x14ac:dyDescent="0.25">
      <c r="A209">
        <v>0.73325214496917202</v>
      </c>
      <c r="B209">
        <v>0.71</v>
      </c>
      <c r="C209">
        <v>0.65</v>
      </c>
    </row>
    <row r="210" spans="1:3" x14ac:dyDescent="0.25">
      <c r="A210">
        <v>0.73679580626664298</v>
      </c>
      <c r="B210">
        <v>0.9</v>
      </c>
      <c r="C210">
        <v>0.66</v>
      </c>
    </row>
    <row r="211" spans="1:3" x14ac:dyDescent="0.25">
      <c r="A211">
        <v>0.74033853177671105</v>
      </c>
      <c r="B211">
        <v>0.59</v>
      </c>
      <c r="C211">
        <v>0.66</v>
      </c>
    </row>
    <row r="212" spans="1:3" x14ac:dyDescent="0.25">
      <c r="A212">
        <v>0.74388095612879201</v>
      </c>
      <c r="B212">
        <v>1</v>
      </c>
      <c r="C212">
        <v>0.69</v>
      </c>
    </row>
    <row r="213" spans="1:3" x14ac:dyDescent="0.25">
      <c r="A213">
        <v>0.74742349606973202</v>
      </c>
      <c r="B213">
        <v>1.1000000000000001</v>
      </c>
      <c r="C213">
        <v>0.73</v>
      </c>
    </row>
    <row r="214" spans="1:3" x14ac:dyDescent="0.25">
      <c r="A214">
        <v>0.75096606008984401</v>
      </c>
      <c r="B214">
        <v>0.85</v>
      </c>
      <c r="C214">
        <v>0.68</v>
      </c>
    </row>
    <row r="215" spans="1:3" x14ac:dyDescent="0.25">
      <c r="A215">
        <v>0.75450861430278504</v>
      </c>
      <c r="B215">
        <v>0.91</v>
      </c>
      <c r="C215">
        <v>0.74</v>
      </c>
    </row>
    <row r="216" spans="1:3" x14ac:dyDescent="0.25">
      <c r="A216">
        <v>0.75805126381141197</v>
      </c>
      <c r="B216">
        <v>1.05</v>
      </c>
      <c r="C216">
        <v>0.79</v>
      </c>
    </row>
    <row r="217" spans="1:3" x14ac:dyDescent="0.25">
      <c r="A217">
        <v>0.76159415705336497</v>
      </c>
      <c r="B217">
        <v>0.62</v>
      </c>
      <c r="C217">
        <v>0.8</v>
      </c>
    </row>
    <row r="218" spans="1:3" x14ac:dyDescent="0.25">
      <c r="A218">
        <v>0.76513785047663596</v>
      </c>
      <c r="B218">
        <v>0.65</v>
      </c>
      <c r="C218">
        <v>0.83</v>
      </c>
    </row>
    <row r="219" spans="1:3" x14ac:dyDescent="0.25">
      <c r="A219">
        <v>0.76868152925813604</v>
      </c>
      <c r="B219">
        <v>0.97</v>
      </c>
      <c r="C219">
        <v>0.82</v>
      </c>
    </row>
    <row r="220" spans="1:3" x14ac:dyDescent="0.25">
      <c r="A220">
        <v>0.77222766908782503</v>
      </c>
      <c r="B220">
        <v>0.93</v>
      </c>
      <c r="C220">
        <v>0.88</v>
      </c>
    </row>
    <row r="221" spans="1:3" x14ac:dyDescent="0.25">
      <c r="A221">
        <v>0.77577037273733696</v>
      </c>
      <c r="B221">
        <v>1.03</v>
      </c>
      <c r="C221">
        <v>1.04</v>
      </c>
    </row>
    <row r="222" spans="1:3" x14ac:dyDescent="0.25">
      <c r="A222">
        <v>0.77931309191165099</v>
      </c>
      <c r="B222">
        <v>1.07</v>
      </c>
      <c r="C222">
        <v>0.96</v>
      </c>
    </row>
    <row r="223" spans="1:3" x14ac:dyDescent="0.25">
      <c r="A223">
        <v>0.78285574666327895</v>
      </c>
      <c r="B223">
        <v>1.1000000000000001</v>
      </c>
      <c r="C223">
        <v>0.98</v>
      </c>
    </row>
    <row r="224" spans="1:3" x14ac:dyDescent="0.25">
      <c r="A224">
        <v>0.786398327311984</v>
      </c>
      <c r="B224">
        <v>0.99</v>
      </c>
      <c r="C224">
        <v>1</v>
      </c>
    </row>
    <row r="225" spans="1:3" x14ac:dyDescent="0.25">
      <c r="A225">
        <v>0.78993997113572201</v>
      </c>
      <c r="B225">
        <v>0.91</v>
      </c>
      <c r="C225">
        <v>1.01</v>
      </c>
    </row>
    <row r="226" spans="1:3" x14ac:dyDescent="0.25">
      <c r="A226">
        <v>0.79348270022206802</v>
      </c>
      <c r="B226">
        <v>1.56</v>
      </c>
      <c r="C226">
        <v>1.02</v>
      </c>
    </row>
    <row r="227" spans="1:3" x14ac:dyDescent="0.25">
      <c r="A227">
        <v>0.79702627606414</v>
      </c>
      <c r="B227">
        <v>0.84</v>
      </c>
      <c r="C227">
        <v>1.0900000000000001</v>
      </c>
    </row>
    <row r="228" spans="1:3" x14ac:dyDescent="0.25">
      <c r="A228">
        <v>0.800568928100445</v>
      </c>
      <c r="B228">
        <v>1.26</v>
      </c>
      <c r="C228">
        <v>1.1399999999999999</v>
      </c>
    </row>
    <row r="229" spans="1:3" x14ac:dyDescent="0.25">
      <c r="A229">
        <v>0.80411392027581197</v>
      </c>
      <c r="B229">
        <v>1.23</v>
      </c>
      <c r="C229">
        <v>1.22</v>
      </c>
    </row>
    <row r="230" spans="1:3" x14ac:dyDescent="0.25">
      <c r="A230">
        <v>0.80765857363740601</v>
      </c>
      <c r="B230">
        <v>0.93</v>
      </c>
      <c r="C230">
        <v>1.22</v>
      </c>
    </row>
    <row r="231" spans="1:3" x14ac:dyDescent="0.25">
      <c r="A231">
        <v>0.81120341565321996</v>
      </c>
      <c r="B231">
        <v>1.39</v>
      </c>
      <c r="C231">
        <v>1.18</v>
      </c>
    </row>
    <row r="232" spans="1:3" x14ac:dyDescent="0.25">
      <c r="A232">
        <v>0.81474483632379102</v>
      </c>
      <c r="B232">
        <v>1.63</v>
      </c>
      <c r="C232">
        <v>1.19</v>
      </c>
    </row>
    <row r="233" spans="1:3" x14ac:dyDescent="0.25">
      <c r="A233">
        <v>0.818287658183663</v>
      </c>
      <c r="B233">
        <v>1.45</v>
      </c>
      <c r="C233">
        <v>1.32</v>
      </c>
    </row>
    <row r="234" spans="1:3" x14ac:dyDescent="0.25">
      <c r="A234">
        <v>0.82182888388633701</v>
      </c>
      <c r="B234">
        <v>1.88</v>
      </c>
      <c r="C234">
        <v>1.37</v>
      </c>
    </row>
    <row r="235" spans="1:3" x14ac:dyDescent="0.25">
      <c r="A235">
        <v>0.82537605991518104</v>
      </c>
      <c r="B235">
        <v>1.25</v>
      </c>
      <c r="C235">
        <v>1.4</v>
      </c>
    </row>
    <row r="236" spans="1:3" x14ac:dyDescent="0.25">
      <c r="A236">
        <v>0.82891852289438295</v>
      </c>
      <c r="B236">
        <v>1.73</v>
      </c>
      <c r="C236">
        <v>1.44</v>
      </c>
    </row>
    <row r="237" spans="1:3" x14ac:dyDescent="0.25">
      <c r="A237">
        <v>0.83246096731887897</v>
      </c>
      <c r="B237">
        <v>1.51</v>
      </c>
      <c r="C237">
        <v>1.45</v>
      </c>
    </row>
    <row r="238" spans="1:3" x14ac:dyDescent="0.25">
      <c r="A238">
        <v>0.83600450756925104</v>
      </c>
      <c r="B238">
        <v>1.68</v>
      </c>
      <c r="C238">
        <v>1.44</v>
      </c>
    </row>
    <row r="239" spans="1:3" x14ac:dyDescent="0.25">
      <c r="A239">
        <v>0.83954873979643496</v>
      </c>
      <c r="B239">
        <v>1.71</v>
      </c>
      <c r="C239">
        <v>1.45</v>
      </c>
    </row>
    <row r="240" spans="1:3" x14ac:dyDescent="0.25">
      <c r="A240">
        <v>0.84309264899955905</v>
      </c>
      <c r="B240">
        <v>1.65</v>
      </c>
      <c r="C240">
        <v>1.55</v>
      </c>
    </row>
    <row r="241" spans="1:3" x14ac:dyDescent="0.25">
      <c r="A241">
        <v>0.84663554813574904</v>
      </c>
      <c r="B241">
        <v>1.52</v>
      </c>
      <c r="C241">
        <v>1.63</v>
      </c>
    </row>
    <row r="242" spans="1:3" x14ac:dyDescent="0.25">
      <c r="A242">
        <v>0.85017943475533397</v>
      </c>
      <c r="B242">
        <v>1.66</v>
      </c>
      <c r="C242">
        <v>1.62</v>
      </c>
    </row>
    <row r="243" spans="1:3" x14ac:dyDescent="0.25">
      <c r="A243">
        <v>0.85372217538732098</v>
      </c>
      <c r="B243">
        <v>1.53</v>
      </c>
      <c r="C243">
        <v>1.7</v>
      </c>
    </row>
    <row r="244" spans="1:3" x14ac:dyDescent="0.25">
      <c r="A244">
        <v>0.85726602067549995</v>
      </c>
      <c r="B244">
        <v>1.72</v>
      </c>
      <c r="C244">
        <v>1.75</v>
      </c>
    </row>
    <row r="245" spans="1:3" x14ac:dyDescent="0.25">
      <c r="A245">
        <v>0.86080944914508795</v>
      </c>
      <c r="B245">
        <v>1.69</v>
      </c>
      <c r="C245">
        <v>1.74</v>
      </c>
    </row>
    <row r="246" spans="1:3" x14ac:dyDescent="0.25">
      <c r="A246">
        <v>0.86435098321901405</v>
      </c>
      <c r="B246">
        <v>2.17</v>
      </c>
      <c r="C246">
        <v>1.7</v>
      </c>
    </row>
    <row r="247" spans="1:3" x14ac:dyDescent="0.25">
      <c r="A247">
        <v>0.86789343168338096</v>
      </c>
      <c r="B247">
        <v>2.1800000000000002</v>
      </c>
      <c r="C247">
        <v>1.89</v>
      </c>
    </row>
    <row r="248" spans="1:3" x14ac:dyDescent="0.25">
      <c r="A248">
        <v>0.87143620195764104</v>
      </c>
      <c r="B248">
        <v>1.91</v>
      </c>
      <c r="C248">
        <v>1.93</v>
      </c>
    </row>
    <row r="249" spans="1:3" x14ac:dyDescent="0.25">
      <c r="A249">
        <v>0.87497874737889703</v>
      </c>
      <c r="B249">
        <v>2</v>
      </c>
      <c r="C249">
        <v>2</v>
      </c>
    </row>
    <row r="250" spans="1:3" x14ac:dyDescent="0.25">
      <c r="A250">
        <v>0.87852192493500503</v>
      </c>
      <c r="B250">
        <v>2.29</v>
      </c>
      <c r="C250">
        <v>2.0299999999999998</v>
      </c>
    </row>
    <row r="251" spans="1:3" x14ac:dyDescent="0.25">
      <c r="A251">
        <v>0.882063363073049</v>
      </c>
      <c r="B251">
        <v>0</v>
      </c>
      <c r="C251">
        <v>0</v>
      </c>
    </row>
    <row r="252" spans="1:3" x14ac:dyDescent="0.25">
      <c r="A252">
        <v>0.885609541645756</v>
      </c>
      <c r="B252">
        <v>2.21</v>
      </c>
      <c r="C252">
        <v>2.0699999999999998</v>
      </c>
    </row>
    <row r="253" spans="1:3" x14ac:dyDescent="0.25">
      <c r="A253">
        <v>0.88915204913527901</v>
      </c>
      <c r="B253">
        <v>1.85</v>
      </c>
      <c r="C253">
        <v>2.1800000000000002</v>
      </c>
    </row>
    <row r="254" spans="1:3" x14ac:dyDescent="0.25">
      <c r="A254">
        <v>0.89269509931957303</v>
      </c>
      <c r="B254">
        <v>2.21</v>
      </c>
      <c r="C254">
        <v>2.19</v>
      </c>
    </row>
    <row r="255" spans="1:3" x14ac:dyDescent="0.25">
      <c r="A255">
        <v>0.89623695055091801</v>
      </c>
      <c r="B255">
        <v>2.46</v>
      </c>
      <c r="C255">
        <v>2.09</v>
      </c>
    </row>
    <row r="256" spans="1:3" x14ac:dyDescent="0.25">
      <c r="A256">
        <v>0.89978117676796698</v>
      </c>
      <c r="B256">
        <v>2.37</v>
      </c>
      <c r="C256">
        <v>2.2000000000000002</v>
      </c>
    </row>
    <row r="257" spans="1:3" x14ac:dyDescent="0.25">
      <c r="A257">
        <v>0.90332451930200597</v>
      </c>
      <c r="B257">
        <v>2.94</v>
      </c>
      <c r="C257">
        <v>0.02</v>
      </c>
    </row>
    <row r="258" spans="1:3" x14ac:dyDescent="0.25">
      <c r="A258">
        <v>0.90686630196041496</v>
      </c>
      <c r="B258">
        <v>2.5099999999999998</v>
      </c>
      <c r="C258">
        <v>1.73</v>
      </c>
    </row>
    <row r="259" spans="1:3" x14ac:dyDescent="0.25">
      <c r="A259">
        <v>0.91040890031390698</v>
      </c>
      <c r="B259">
        <v>2.4500000000000002</v>
      </c>
      <c r="C259">
        <v>1.92</v>
      </c>
    </row>
    <row r="260" spans="1:3" x14ac:dyDescent="0.25">
      <c r="A260">
        <v>0.91395177645815695</v>
      </c>
      <c r="B260">
        <v>1.82</v>
      </c>
      <c r="C260">
        <v>2.06</v>
      </c>
    </row>
    <row r="261" spans="1:3" x14ac:dyDescent="0.25">
      <c r="A261">
        <v>0.917494923014332</v>
      </c>
      <c r="B261">
        <v>1.77</v>
      </c>
      <c r="C261">
        <v>2.02</v>
      </c>
    </row>
    <row r="262" spans="1:3" x14ac:dyDescent="0.25">
      <c r="A262">
        <v>0.921038308601688</v>
      </c>
      <c r="B262">
        <v>2.3199999999999998</v>
      </c>
      <c r="C262">
        <v>2.41</v>
      </c>
    </row>
    <row r="263" spans="1:3" x14ac:dyDescent="0.25">
      <c r="A263">
        <v>0.92458120892997098</v>
      </c>
      <c r="B263">
        <v>2.72</v>
      </c>
      <c r="C263">
        <v>2.42</v>
      </c>
    </row>
    <row r="264" spans="1:3" x14ac:dyDescent="0.25">
      <c r="A264">
        <v>0.92812410631113595</v>
      </c>
      <c r="B264">
        <v>2.48</v>
      </c>
      <c r="C264">
        <v>2.46</v>
      </c>
    </row>
    <row r="265" spans="1:3" x14ac:dyDescent="0.25">
      <c r="A265">
        <v>0.93166542142077702</v>
      </c>
      <c r="B265">
        <v>2.77</v>
      </c>
      <c r="C265">
        <v>2.42</v>
      </c>
    </row>
    <row r="266" spans="1:3" x14ac:dyDescent="0.25">
      <c r="A266">
        <v>0.93521137527293596</v>
      </c>
      <c r="B266">
        <v>2.64</v>
      </c>
      <c r="C266">
        <v>2.5499999999999998</v>
      </c>
    </row>
    <row r="267" spans="1:3" x14ac:dyDescent="0.25">
      <c r="A267">
        <v>0.93875297631930399</v>
      </c>
      <c r="B267">
        <v>3.12</v>
      </c>
      <c r="C267">
        <v>2.36</v>
      </c>
    </row>
    <row r="268" spans="1:3" x14ac:dyDescent="0.25">
      <c r="A268">
        <v>0.94229635216571705</v>
      </c>
      <c r="B268">
        <v>2.4500000000000002</v>
      </c>
      <c r="C268">
        <v>2.6</v>
      </c>
    </row>
    <row r="269" spans="1:3" x14ac:dyDescent="0.25">
      <c r="A269">
        <v>0.94584069055539599</v>
      </c>
      <c r="B269">
        <v>3.13</v>
      </c>
      <c r="C269">
        <v>2.52</v>
      </c>
    </row>
    <row r="270" spans="1:3" x14ac:dyDescent="0.25">
      <c r="A270">
        <v>0.94938305110843102</v>
      </c>
      <c r="B270">
        <v>3.3</v>
      </c>
      <c r="C270">
        <v>2.54</v>
      </c>
    </row>
    <row r="271" spans="1:3" x14ac:dyDescent="0.25">
      <c r="A271">
        <v>0.95292705311819403</v>
      </c>
      <c r="B271">
        <v>3.08</v>
      </c>
      <c r="C271">
        <v>2.64</v>
      </c>
    </row>
    <row r="272" spans="1:3" x14ac:dyDescent="0.25">
      <c r="A272">
        <v>0.95646825045899098</v>
      </c>
      <c r="B272">
        <v>3.3</v>
      </c>
      <c r="C272">
        <v>2.73</v>
      </c>
    </row>
    <row r="273" spans="1:3" x14ac:dyDescent="0.25">
      <c r="A273">
        <v>0.96001125455454495</v>
      </c>
      <c r="B273">
        <v>3.25</v>
      </c>
      <c r="C273">
        <v>2.83</v>
      </c>
    </row>
    <row r="274" spans="1:3" x14ac:dyDescent="0.25">
      <c r="A274">
        <v>0.96355600497237004</v>
      </c>
      <c r="B274">
        <v>2.93</v>
      </c>
      <c r="C274">
        <v>2.89</v>
      </c>
    </row>
    <row r="275" spans="1:3" x14ac:dyDescent="0.25">
      <c r="A275">
        <v>0.967098565460355</v>
      </c>
      <c r="B275">
        <v>2.93</v>
      </c>
      <c r="C275">
        <v>2.84</v>
      </c>
    </row>
    <row r="276" spans="1:3" x14ac:dyDescent="0.25">
      <c r="A276">
        <v>0.97064231184897598</v>
      </c>
      <c r="B276">
        <v>3.55</v>
      </c>
      <c r="C276">
        <v>2.94</v>
      </c>
    </row>
    <row r="277" spans="1:3" x14ac:dyDescent="0.25">
      <c r="A277">
        <v>0.97418487653688102</v>
      </c>
      <c r="B277">
        <v>3.48</v>
      </c>
      <c r="C277">
        <v>2.99</v>
      </c>
    </row>
    <row r="278" spans="1:3" x14ac:dyDescent="0.25">
      <c r="A278">
        <v>0.97772751185629103</v>
      </c>
      <c r="B278">
        <v>3.48</v>
      </c>
      <c r="C278">
        <v>3.07</v>
      </c>
    </row>
    <row r="279" spans="1:3" x14ac:dyDescent="0.25">
      <c r="A279">
        <v>0.98127162410153301</v>
      </c>
      <c r="B279">
        <v>3.15</v>
      </c>
      <c r="C279">
        <v>2.86</v>
      </c>
    </row>
    <row r="280" spans="1:3" x14ac:dyDescent="0.25">
      <c r="A280">
        <v>0.98481425561838698</v>
      </c>
      <c r="B280">
        <v>3.09</v>
      </c>
      <c r="C280">
        <v>3.06</v>
      </c>
    </row>
    <row r="281" spans="1:3" x14ac:dyDescent="0.25">
      <c r="A281">
        <v>0.98835662271689495</v>
      </c>
      <c r="B281">
        <v>4.1900000000000004</v>
      </c>
      <c r="C281">
        <v>3.12</v>
      </c>
    </row>
    <row r="282" spans="1:3" x14ac:dyDescent="0.25">
      <c r="A282">
        <v>0.99190134822218501</v>
      </c>
      <c r="B282">
        <v>3.88</v>
      </c>
      <c r="C282">
        <v>3.26</v>
      </c>
    </row>
    <row r="283" spans="1:3" x14ac:dyDescent="0.25">
      <c r="A283">
        <v>0.99544510659796204</v>
      </c>
      <c r="B283">
        <v>3.36</v>
      </c>
      <c r="C283">
        <v>3.26</v>
      </c>
    </row>
    <row r="284" spans="1:3" x14ac:dyDescent="0.25">
      <c r="A284">
        <v>0.99898765632951703</v>
      </c>
      <c r="B284">
        <v>3.63</v>
      </c>
      <c r="C284">
        <v>3.37</v>
      </c>
    </row>
    <row r="285" spans="1:3" x14ac:dyDescent="0.25">
      <c r="A285">
        <v>1.00253005218174</v>
      </c>
      <c r="B285">
        <v>3.62</v>
      </c>
      <c r="C285">
        <v>3.29</v>
      </c>
    </row>
    <row r="286" spans="1:3" x14ac:dyDescent="0.25">
      <c r="A286">
        <v>1.0060740574035301</v>
      </c>
      <c r="B286">
        <v>3.63</v>
      </c>
      <c r="C286">
        <v>3.47</v>
      </c>
    </row>
    <row r="287" spans="1:3" x14ac:dyDescent="0.25">
      <c r="A287">
        <v>1.00961797633104</v>
      </c>
      <c r="B287">
        <v>3.5</v>
      </c>
      <c r="C287">
        <v>3.46</v>
      </c>
    </row>
    <row r="288" spans="1:3" x14ac:dyDescent="0.25">
      <c r="A288">
        <v>1.0131595473322601</v>
      </c>
      <c r="B288">
        <v>3.83</v>
      </c>
      <c r="C288">
        <v>3.49</v>
      </c>
    </row>
    <row r="289" spans="1:3" x14ac:dyDescent="0.25">
      <c r="A289" s="98">
        <v>1.0167023414980401</v>
      </c>
      <c r="B289">
        <v>3.14</v>
      </c>
      <c r="C289">
        <v>3.65</v>
      </c>
    </row>
    <row r="290" spans="1:3" x14ac:dyDescent="0.25">
      <c r="A290" s="98">
        <v>1.02024598185111</v>
      </c>
      <c r="B290">
        <v>3.51</v>
      </c>
      <c r="C290">
        <v>3.5</v>
      </c>
    </row>
    <row r="291" spans="1:3" x14ac:dyDescent="0.25">
      <c r="A291" s="98">
        <v>1.0237885689073101</v>
      </c>
      <c r="B291">
        <v>3.86</v>
      </c>
      <c r="C291">
        <v>3.68</v>
      </c>
    </row>
    <row r="292" spans="1:3" x14ac:dyDescent="0.25">
      <c r="A292" s="98">
        <v>1.02733104461873</v>
      </c>
      <c r="B292">
        <v>4.3600000000000003</v>
      </c>
      <c r="C292">
        <v>3.5</v>
      </c>
    </row>
    <row r="293" spans="1:3" x14ac:dyDescent="0.25">
      <c r="A293" s="98">
        <v>1.03087509529458</v>
      </c>
      <c r="B293">
        <v>3.83</v>
      </c>
      <c r="C293">
        <v>3.75</v>
      </c>
    </row>
    <row r="294" spans="1:3" x14ac:dyDescent="0.25">
      <c r="A294" s="98">
        <v>1.0344167312924499</v>
      </c>
      <c r="B294">
        <v>4.25</v>
      </c>
      <c r="C294">
        <v>3.69</v>
      </c>
    </row>
    <row r="295" spans="1:3" x14ac:dyDescent="0.25">
      <c r="A295" s="98">
        <v>1.03795930234922</v>
      </c>
      <c r="B295">
        <v>4.6399999999999997</v>
      </c>
      <c r="C295">
        <v>3.8</v>
      </c>
    </row>
    <row r="296" spans="1:3" x14ac:dyDescent="0.25">
      <c r="A296" s="98">
        <v>1.0415017897276899</v>
      </c>
      <c r="B296">
        <v>4.24</v>
      </c>
      <c r="C296">
        <v>3.92</v>
      </c>
    </row>
    <row r="297" spans="1:3" x14ac:dyDescent="0.25">
      <c r="A297" s="98">
        <v>1.04504601567983</v>
      </c>
      <c r="B297">
        <v>4.0999999999999996</v>
      </c>
      <c r="C297">
        <v>3.82</v>
      </c>
    </row>
    <row r="298" spans="1:3" x14ac:dyDescent="0.25">
      <c r="A298" s="98">
        <v>1.04858902497975</v>
      </c>
      <c r="B298">
        <v>3.93</v>
      </c>
      <c r="C298">
        <v>3.93</v>
      </c>
    </row>
    <row r="299" spans="1:3" x14ac:dyDescent="0.25">
      <c r="A299" s="98">
        <v>1.0521311523682499</v>
      </c>
      <c r="B299">
        <v>4.21</v>
      </c>
      <c r="C299">
        <v>3.82</v>
      </c>
    </row>
    <row r="300" spans="1:3" x14ac:dyDescent="0.25">
      <c r="A300" s="98">
        <v>1.0556753592358601</v>
      </c>
      <c r="B300">
        <v>4.16</v>
      </c>
      <c r="C300">
        <v>3.79</v>
      </c>
    </row>
    <row r="301" spans="1:3" x14ac:dyDescent="0.25">
      <c r="A301" s="98">
        <v>1.0592180571291101</v>
      </c>
      <c r="B301">
        <v>4.3499999999999996</v>
      </c>
      <c r="C301">
        <v>3.88</v>
      </c>
    </row>
    <row r="302" spans="1:3" x14ac:dyDescent="0.25">
      <c r="A302" s="98">
        <v>1.0627610011067601</v>
      </c>
      <c r="B302">
        <v>4.58</v>
      </c>
      <c r="C302">
        <v>3.99</v>
      </c>
    </row>
    <row r="303" spans="1:3" x14ac:dyDescent="0.25">
      <c r="A303" s="98">
        <v>1.0663036734031299</v>
      </c>
      <c r="B303">
        <v>4.6500000000000004</v>
      </c>
      <c r="C303">
        <v>4.04</v>
      </c>
    </row>
    <row r="304" spans="1:3" x14ac:dyDescent="0.25">
      <c r="A304" s="98">
        <v>1.0698476094117799</v>
      </c>
      <c r="B304">
        <v>4.55</v>
      </c>
      <c r="C304">
        <v>4.01</v>
      </c>
    </row>
    <row r="305" spans="1:3" x14ac:dyDescent="0.25">
      <c r="A305" s="98">
        <v>1.07339016971764</v>
      </c>
      <c r="B305">
        <v>4.34</v>
      </c>
      <c r="C305">
        <v>3.98</v>
      </c>
    </row>
    <row r="306" spans="1:3" x14ac:dyDescent="0.25">
      <c r="A306" s="98">
        <v>1.0769350403878399</v>
      </c>
      <c r="B306">
        <v>4.45</v>
      </c>
      <c r="C306">
        <v>4.21</v>
      </c>
    </row>
    <row r="307" spans="1:3" x14ac:dyDescent="0.25">
      <c r="A307" s="98">
        <v>1.08047986877737</v>
      </c>
      <c r="B307">
        <v>4.5599999999999996</v>
      </c>
      <c r="C307">
        <v>4.09</v>
      </c>
    </row>
    <row r="308" spans="1:3" x14ac:dyDescent="0.25">
      <c r="A308" s="98">
        <v>1.0840222940511099</v>
      </c>
      <c r="B308">
        <v>4.42</v>
      </c>
      <c r="C308">
        <v>4.25</v>
      </c>
    </row>
    <row r="309" spans="1:3" x14ac:dyDescent="0.25">
      <c r="A309" s="98">
        <v>1.0875650723388901</v>
      </c>
      <c r="B309">
        <v>4.6900000000000004</v>
      </c>
      <c r="C309">
        <v>4.03</v>
      </c>
    </row>
    <row r="310" spans="1:3" x14ac:dyDescent="0.25">
      <c r="A310" s="98">
        <v>1.09110964152548</v>
      </c>
      <c r="B310">
        <v>5.17</v>
      </c>
      <c r="C310">
        <v>4.1500000000000004</v>
      </c>
    </row>
    <row r="311" spans="1:3" x14ac:dyDescent="0.25">
      <c r="A311" s="98">
        <v>1.0946524485449001</v>
      </c>
      <c r="B311">
        <v>4.6900000000000004</v>
      </c>
      <c r="C311">
        <v>4.2300000000000004</v>
      </c>
    </row>
    <row r="312" spans="1:3" x14ac:dyDescent="0.25">
      <c r="A312" s="98">
        <v>1.09819893092468</v>
      </c>
      <c r="B312">
        <v>4.46</v>
      </c>
      <c r="C312">
        <v>4.29</v>
      </c>
    </row>
    <row r="313" spans="1:3" x14ac:dyDescent="0.25">
      <c r="A313" s="98">
        <v>1.1017419654682801</v>
      </c>
      <c r="B313">
        <v>3.9</v>
      </c>
      <c r="C313">
        <v>4.2699999999999996</v>
      </c>
    </row>
    <row r="314" spans="1:3" x14ac:dyDescent="0.25">
      <c r="A314" s="98">
        <v>1.1052853842355499</v>
      </c>
      <c r="B314">
        <v>4.43</v>
      </c>
      <c r="C314">
        <v>4.45</v>
      </c>
    </row>
    <row r="315" spans="1:3" x14ac:dyDescent="0.25">
      <c r="A315" s="98">
        <v>1.1088283977354001</v>
      </c>
      <c r="B315">
        <v>4.57</v>
      </c>
      <c r="C315">
        <v>4.46</v>
      </c>
    </row>
    <row r="316" spans="1:3" x14ac:dyDescent="0.25">
      <c r="A316" s="98">
        <v>1.1123709892122799</v>
      </c>
      <c r="B316">
        <v>4.76</v>
      </c>
      <c r="C316">
        <v>4.57</v>
      </c>
    </row>
    <row r="317" spans="1:3" x14ac:dyDescent="0.25">
      <c r="A317" s="98">
        <v>1.11591477505034</v>
      </c>
      <c r="B317">
        <v>4.37</v>
      </c>
      <c r="C317">
        <v>4.6500000000000004</v>
      </c>
    </row>
    <row r="318" spans="1:3" x14ac:dyDescent="0.25">
      <c r="A318" s="98">
        <v>1.1194580701821299</v>
      </c>
      <c r="B318">
        <v>4.34</v>
      </c>
      <c r="C318">
        <v>4.33</v>
      </c>
    </row>
    <row r="319" spans="1:3" x14ac:dyDescent="0.25">
      <c r="A319" s="98">
        <v>1.1230009598754001</v>
      </c>
      <c r="B319">
        <v>5.57</v>
      </c>
      <c r="C319">
        <v>4.67</v>
      </c>
    </row>
    <row r="320" spans="1:3" x14ac:dyDescent="0.25">
      <c r="A320" s="98">
        <v>1.1265446822179599</v>
      </c>
      <c r="B320">
        <v>4.37</v>
      </c>
      <c r="C320">
        <v>4.78</v>
      </c>
    </row>
    <row r="321" spans="1:3" x14ac:dyDescent="0.25">
      <c r="A321" s="98">
        <v>1.1300872728559701</v>
      </c>
      <c r="B321">
        <v>4.78</v>
      </c>
      <c r="C321">
        <v>4.75</v>
      </c>
    </row>
    <row r="322" spans="1:3" x14ac:dyDescent="0.25">
      <c r="A322" s="98">
        <v>1.1336309252017001</v>
      </c>
      <c r="B322">
        <v>4.41</v>
      </c>
      <c r="C322">
        <v>4.5999999999999996</v>
      </c>
    </row>
    <row r="323" spans="1:3" x14ac:dyDescent="0.25">
      <c r="A323" s="98">
        <v>1.1371728196905699</v>
      </c>
      <c r="B323">
        <v>4.91</v>
      </c>
      <c r="C323">
        <v>4.6100000000000003</v>
      </c>
    </row>
    <row r="324" spans="1:3" x14ac:dyDescent="0.25">
      <c r="A324" s="98">
        <v>1.14071583568497</v>
      </c>
      <c r="B324">
        <v>5.51</v>
      </c>
      <c r="C324">
        <v>4.62</v>
      </c>
    </row>
    <row r="325" spans="1:3" x14ac:dyDescent="0.25">
      <c r="A325" s="98">
        <v>1.14425998486854</v>
      </c>
      <c r="B325">
        <v>5.46</v>
      </c>
      <c r="C325">
        <v>4.8899999999999997</v>
      </c>
    </row>
    <row r="326" spans="1:3" x14ac:dyDescent="0.25">
      <c r="A326" s="98">
        <v>1.1478031012857399</v>
      </c>
      <c r="B326">
        <v>5.15</v>
      </c>
      <c r="C326">
        <v>4.78</v>
      </c>
    </row>
    <row r="327" spans="1:3" x14ac:dyDescent="0.25">
      <c r="A327" s="98">
        <v>1.15134455723895</v>
      </c>
      <c r="B327">
        <v>4.71</v>
      </c>
      <c r="C327">
        <v>4.8600000000000003</v>
      </c>
    </row>
    <row r="328" spans="1:3" x14ac:dyDescent="0.25">
      <c r="A328" s="98">
        <v>1.1548886204428099</v>
      </c>
      <c r="B328">
        <v>5.01</v>
      </c>
      <c r="C328">
        <v>4.82</v>
      </c>
    </row>
    <row r="329" spans="1:3" x14ac:dyDescent="0.25">
      <c r="A329" s="98">
        <v>1.1584341656444199</v>
      </c>
      <c r="B329">
        <v>5.0599999999999996</v>
      </c>
      <c r="C329">
        <v>4.72</v>
      </c>
    </row>
    <row r="330" spans="1:3" x14ac:dyDescent="0.25">
      <c r="A330" s="98">
        <v>1.1619782071643401</v>
      </c>
      <c r="B330">
        <v>5.26</v>
      </c>
      <c r="C330">
        <v>4.79</v>
      </c>
    </row>
    <row r="331" spans="1:3" x14ac:dyDescent="0.25">
      <c r="A331" s="98">
        <v>1.1655207238373899</v>
      </c>
      <c r="B331">
        <v>5.38</v>
      </c>
      <c r="C331">
        <v>4.6900000000000004</v>
      </c>
    </row>
    <row r="332" spans="1:3" x14ac:dyDescent="0.25">
      <c r="A332" s="98">
        <v>1.16906725890658</v>
      </c>
      <c r="B332">
        <v>5.19</v>
      </c>
      <c r="C332">
        <v>4.88</v>
      </c>
    </row>
    <row r="333" spans="1:3" x14ac:dyDescent="0.25">
      <c r="A333" s="98">
        <v>1.1726102824122799</v>
      </c>
      <c r="B333">
        <v>5.14</v>
      </c>
      <c r="C333">
        <v>5.08</v>
      </c>
    </row>
    <row r="334" spans="1:3" x14ac:dyDescent="0.25">
      <c r="A334" s="98">
        <v>1.1761536056189601</v>
      </c>
      <c r="B334">
        <v>5.37</v>
      </c>
      <c r="C334">
        <v>5.03</v>
      </c>
    </row>
    <row r="335" spans="1:3" x14ac:dyDescent="0.25">
      <c r="A335" s="98">
        <v>1.1796974712499799</v>
      </c>
      <c r="B335">
        <v>5.48</v>
      </c>
      <c r="C335">
        <v>4.93</v>
      </c>
    </row>
    <row r="336" spans="1:3" x14ac:dyDescent="0.25">
      <c r="A336" s="98">
        <v>1.1832416719032599</v>
      </c>
      <c r="B336">
        <v>4.6900000000000004</v>
      </c>
      <c r="C336">
        <v>5.24</v>
      </c>
    </row>
    <row r="337" spans="1:3" x14ac:dyDescent="0.25">
      <c r="A337" s="98">
        <v>1.1867852310339599</v>
      </c>
      <c r="B337">
        <v>5.68</v>
      </c>
      <c r="C337">
        <v>5.0999999999999996</v>
      </c>
    </row>
    <row r="338" spans="1:3" x14ac:dyDescent="0.25">
      <c r="A338" s="98">
        <v>1.1903283221247001</v>
      </c>
      <c r="B338">
        <v>5.62</v>
      </c>
      <c r="C338">
        <v>4.99</v>
      </c>
    </row>
    <row r="339" spans="1:3" x14ac:dyDescent="0.25">
      <c r="A339" s="98">
        <v>1.19387104469317</v>
      </c>
      <c r="B339">
        <v>5.4</v>
      </c>
      <c r="C339">
        <v>5.15</v>
      </c>
    </row>
    <row r="340" spans="1:3" x14ac:dyDescent="0.25">
      <c r="A340" s="98">
        <v>1.19741453054326</v>
      </c>
      <c r="B340">
        <v>5.2</v>
      </c>
      <c r="C340">
        <v>5.19</v>
      </c>
    </row>
    <row r="341" spans="1:3" x14ac:dyDescent="0.25">
      <c r="A341" s="98">
        <v>1.2009580006257199</v>
      </c>
      <c r="B341">
        <v>5.62</v>
      </c>
      <c r="C341">
        <v>5.07</v>
      </c>
    </row>
    <row r="342" spans="1:3" x14ac:dyDescent="0.25">
      <c r="A342" s="98">
        <v>1.2045004531575501</v>
      </c>
      <c r="B342">
        <v>5.38</v>
      </c>
      <c r="C342">
        <v>5.0999999999999996</v>
      </c>
    </row>
    <row r="343" spans="1:3" x14ac:dyDescent="0.25">
      <c r="A343" s="98">
        <v>1.20804231010101</v>
      </c>
      <c r="B343">
        <v>5.8</v>
      </c>
      <c r="C343">
        <v>4.99</v>
      </c>
    </row>
    <row r="344" spans="1:3" x14ac:dyDescent="0.25">
      <c r="A344" s="98">
        <v>1.2115859815147101</v>
      </c>
      <c r="B344">
        <v>6.19</v>
      </c>
      <c r="C344">
        <v>5.27</v>
      </c>
    </row>
    <row r="345" spans="1:3" x14ac:dyDescent="0.25">
      <c r="A345" s="98">
        <v>1.2151321162117801</v>
      </c>
      <c r="B345">
        <v>4.9400000000000004</v>
      </c>
      <c r="C345">
        <v>5.32</v>
      </c>
    </row>
    <row r="346" spans="1:3" x14ac:dyDescent="0.25">
      <c r="A346" s="98">
        <v>1.2186735669606199</v>
      </c>
      <c r="B346">
        <v>5.43</v>
      </c>
      <c r="C346">
        <v>5.41</v>
      </c>
    </row>
    <row r="347" spans="1:3" x14ac:dyDescent="0.25">
      <c r="A347" s="98">
        <v>1.2222151187669299</v>
      </c>
      <c r="B347">
        <v>5.63</v>
      </c>
      <c r="C347">
        <v>5.52</v>
      </c>
    </row>
    <row r="348" spans="1:3" x14ac:dyDescent="0.25">
      <c r="A348" s="98">
        <v>1.2257600632475401</v>
      </c>
      <c r="B348">
        <v>5.55</v>
      </c>
      <c r="C348">
        <v>5.31</v>
      </c>
    </row>
    <row r="349" spans="1:3" x14ac:dyDescent="0.25">
      <c r="A349" s="98">
        <v>1.2293029322778699</v>
      </c>
      <c r="B349">
        <v>5.9</v>
      </c>
      <c r="C349">
        <v>5.55</v>
      </c>
    </row>
    <row r="350" spans="1:3" x14ac:dyDescent="0.25">
      <c r="A350" s="98">
        <v>1.23284712751706</v>
      </c>
      <c r="B350">
        <v>5.81</v>
      </c>
      <c r="C350">
        <v>5.43</v>
      </c>
    </row>
    <row r="351" spans="1:3" x14ac:dyDescent="0.25">
      <c r="A351" s="98">
        <v>1.2363888624586401</v>
      </c>
      <c r="B351">
        <v>5.53</v>
      </c>
      <c r="C351">
        <v>5.83</v>
      </c>
    </row>
    <row r="352" spans="1:3" x14ac:dyDescent="0.25">
      <c r="A352" s="98">
        <v>1.2399314593772</v>
      </c>
      <c r="B352">
        <v>5.93</v>
      </c>
      <c r="C352">
        <v>5.71</v>
      </c>
    </row>
    <row r="353" spans="1:3" x14ac:dyDescent="0.25">
      <c r="A353" s="98">
        <v>1.2434756239807101</v>
      </c>
      <c r="B353">
        <v>5.95</v>
      </c>
      <c r="C353">
        <v>5.95</v>
      </c>
    </row>
    <row r="354" spans="1:3" x14ac:dyDescent="0.25">
      <c r="A354" s="98">
        <v>1.2470210500226999</v>
      </c>
      <c r="B354">
        <v>6.05</v>
      </c>
      <c r="C354">
        <v>5.94</v>
      </c>
    </row>
    <row r="355" spans="1:3" x14ac:dyDescent="0.25">
      <c r="A355" s="98">
        <v>1.25056466958037</v>
      </c>
      <c r="B355">
        <v>4.97</v>
      </c>
      <c r="C355">
        <v>5.94</v>
      </c>
    </row>
    <row r="356" spans="1:3" x14ac:dyDescent="0.25">
      <c r="A356" s="98">
        <v>1.25410736923968</v>
      </c>
      <c r="B356">
        <v>5.83</v>
      </c>
      <c r="C356">
        <v>5.66</v>
      </c>
    </row>
    <row r="357" spans="1:3" x14ac:dyDescent="0.25">
      <c r="A357" s="98">
        <v>1.25764943449033</v>
      </c>
      <c r="B357">
        <v>6.27</v>
      </c>
      <c r="C357">
        <v>5.46</v>
      </c>
    </row>
    <row r="358" spans="1:3" x14ac:dyDescent="0.25">
      <c r="A358" s="98">
        <v>1.26119364933835</v>
      </c>
      <c r="B358">
        <v>6</v>
      </c>
      <c r="C358">
        <v>5.61</v>
      </c>
    </row>
    <row r="359" spans="1:3" x14ac:dyDescent="0.25">
      <c r="A359" s="98">
        <v>1.26473635922979</v>
      </c>
      <c r="B359">
        <v>5.87</v>
      </c>
      <c r="C359">
        <v>5.67</v>
      </c>
    </row>
    <row r="360" spans="1:3" x14ac:dyDescent="0.25">
      <c r="A360" s="98">
        <v>1.2682789387084801</v>
      </c>
      <c r="B360">
        <v>5.72</v>
      </c>
      <c r="C360">
        <v>5.67</v>
      </c>
    </row>
    <row r="361" spans="1:3" x14ac:dyDescent="0.25">
      <c r="A361" s="98">
        <v>1.27182175286942</v>
      </c>
      <c r="B361">
        <v>6.44</v>
      </c>
      <c r="C361">
        <v>6.04</v>
      </c>
    </row>
    <row r="362" spans="1:3" x14ac:dyDescent="0.25">
      <c r="A362" s="98">
        <v>1.2753670987928301</v>
      </c>
      <c r="B362">
        <v>6.17</v>
      </c>
      <c r="C362">
        <v>6.06</v>
      </c>
    </row>
    <row r="363" spans="1:3" x14ac:dyDescent="0.25">
      <c r="A363" s="98">
        <v>1.2789116531389699</v>
      </c>
      <c r="B363">
        <v>5.26</v>
      </c>
      <c r="C363">
        <v>5.74</v>
      </c>
    </row>
    <row r="364" spans="1:3" x14ac:dyDescent="0.25">
      <c r="A364" s="98">
        <v>1.28245332586544</v>
      </c>
      <c r="B364">
        <v>6.74</v>
      </c>
      <c r="C364">
        <v>5.78</v>
      </c>
    </row>
    <row r="365" spans="1:3" x14ac:dyDescent="0.25">
      <c r="A365" s="98">
        <v>1.2859974660144899</v>
      </c>
      <c r="B365">
        <v>6.17</v>
      </c>
      <c r="C365">
        <v>5.99</v>
      </c>
    </row>
    <row r="366" spans="1:3" x14ac:dyDescent="0.25">
      <c r="A366" s="98">
        <v>1.2895390842468599</v>
      </c>
      <c r="B366">
        <v>6.24</v>
      </c>
      <c r="C366">
        <v>6.1</v>
      </c>
    </row>
    <row r="367" spans="1:3" x14ac:dyDescent="0.25">
      <c r="A367" s="98">
        <v>1.2930827841549</v>
      </c>
      <c r="B367">
        <v>6.63</v>
      </c>
      <c r="C367">
        <v>6.09</v>
      </c>
    </row>
    <row r="368" spans="1:3" x14ac:dyDescent="0.25">
      <c r="A368" s="98">
        <v>1.29662756836524</v>
      </c>
      <c r="B368">
        <v>5.85</v>
      </c>
      <c r="C368">
        <v>5.84</v>
      </c>
    </row>
    <row r="369" spans="1:3" x14ac:dyDescent="0.25">
      <c r="A369" s="98">
        <v>1.3001711640920901</v>
      </c>
      <c r="B369">
        <v>6.34</v>
      </c>
      <c r="C369">
        <v>6.27</v>
      </c>
    </row>
    <row r="370" spans="1:3" x14ac:dyDescent="0.25">
      <c r="A370" s="98">
        <v>1.30371385466169</v>
      </c>
      <c r="B370">
        <v>5.85</v>
      </c>
      <c r="C370">
        <v>6.18</v>
      </c>
    </row>
    <row r="371" spans="1:3" x14ac:dyDescent="0.25">
      <c r="A371" s="98">
        <v>1.30725738954212</v>
      </c>
      <c r="B371">
        <v>6.24</v>
      </c>
      <c r="C371">
        <v>6.09</v>
      </c>
    </row>
    <row r="372" spans="1:3" x14ac:dyDescent="0.25">
      <c r="A372" s="98">
        <v>1.3107996453234401</v>
      </c>
      <c r="B372">
        <v>6.09</v>
      </c>
      <c r="C372">
        <v>6.05</v>
      </c>
    </row>
    <row r="373" spans="1:3" x14ac:dyDescent="0.25">
      <c r="A373" s="98">
        <v>1.3143427373027301</v>
      </c>
      <c r="B373">
        <v>6.88</v>
      </c>
      <c r="C373">
        <v>6.25</v>
      </c>
    </row>
    <row r="374" spans="1:3" x14ac:dyDescent="0.25">
      <c r="A374" s="98">
        <v>1.31788757172999</v>
      </c>
      <c r="B374">
        <v>6.44</v>
      </c>
      <c r="C374">
        <v>6.2</v>
      </c>
    </row>
    <row r="375" spans="1:3" x14ac:dyDescent="0.25">
      <c r="A375" s="98">
        <v>1.3214335723386801</v>
      </c>
      <c r="B375">
        <v>6.19</v>
      </c>
      <c r="C375">
        <v>6.29</v>
      </c>
    </row>
    <row r="376" spans="1:3" x14ac:dyDescent="0.25">
      <c r="A376" s="98">
        <v>1.3249740804952601</v>
      </c>
      <c r="B376">
        <v>6.31</v>
      </c>
      <c r="C376">
        <v>6.46</v>
      </c>
    </row>
    <row r="377" spans="1:3" x14ac:dyDescent="0.25">
      <c r="A377" s="98">
        <v>1.3285169263791099</v>
      </c>
      <c r="B377">
        <v>6.36</v>
      </c>
      <c r="C377">
        <v>6.3</v>
      </c>
    </row>
    <row r="378" spans="1:3" x14ac:dyDescent="0.25">
      <c r="A378" s="98">
        <v>1.3320609959794401</v>
      </c>
      <c r="B378">
        <v>6.57</v>
      </c>
      <c r="C378">
        <v>6.27</v>
      </c>
    </row>
    <row r="379" spans="1:3" x14ac:dyDescent="0.25">
      <c r="A379" s="98">
        <v>1.3356041723765699</v>
      </c>
      <c r="B379">
        <v>6.4</v>
      </c>
      <c r="C379">
        <v>6.16</v>
      </c>
    </row>
    <row r="380" spans="1:3" x14ac:dyDescent="0.25">
      <c r="A380" s="98">
        <v>1.3391457015882999</v>
      </c>
      <c r="B380">
        <v>6.8</v>
      </c>
      <c r="C380">
        <v>6.38</v>
      </c>
    </row>
    <row r="381" spans="1:3" x14ac:dyDescent="0.25">
      <c r="A381" s="98">
        <v>1.3426898449714499</v>
      </c>
      <c r="B381">
        <v>6.52</v>
      </c>
      <c r="C381">
        <v>6.17</v>
      </c>
    </row>
    <row r="382" spans="1:3" x14ac:dyDescent="0.25">
      <c r="A382" s="98">
        <v>1.3462315928328901</v>
      </c>
      <c r="B382">
        <v>6.02</v>
      </c>
      <c r="C382">
        <v>6.35</v>
      </c>
    </row>
    <row r="383" spans="1:3" x14ac:dyDescent="0.25">
      <c r="A383" s="98">
        <v>1.3497743681735399</v>
      </c>
      <c r="B383">
        <v>6.71</v>
      </c>
      <c r="C383">
        <v>6.22</v>
      </c>
    </row>
    <row r="384" spans="1:3" x14ac:dyDescent="0.25">
      <c r="A384" s="98">
        <v>1.3533173034864401</v>
      </c>
      <c r="B384">
        <v>6.94</v>
      </c>
      <c r="C384">
        <v>6.34</v>
      </c>
    </row>
    <row r="385" spans="1:3" x14ac:dyDescent="0.25">
      <c r="A385" s="98">
        <v>1.3568598505689</v>
      </c>
      <c r="B385">
        <v>6.41</v>
      </c>
      <c r="C385">
        <v>6.6</v>
      </c>
    </row>
    <row r="386" spans="1:3" x14ac:dyDescent="0.25">
      <c r="A386" s="98">
        <v>1.36040335619891</v>
      </c>
      <c r="B386">
        <v>6.24</v>
      </c>
      <c r="C386">
        <v>6.32</v>
      </c>
    </row>
    <row r="387" spans="1:3" x14ac:dyDescent="0.25">
      <c r="A387" s="98">
        <v>1.36394593728361</v>
      </c>
      <c r="B387">
        <v>6.91</v>
      </c>
      <c r="C387">
        <v>6.75</v>
      </c>
    </row>
    <row r="388" spans="1:3" x14ac:dyDescent="0.25">
      <c r="A388" s="98">
        <v>1.36749228878705</v>
      </c>
      <c r="B388">
        <v>7.1</v>
      </c>
      <c r="C388">
        <v>6.71</v>
      </c>
    </row>
    <row r="389" spans="1:3" x14ac:dyDescent="0.25">
      <c r="A389" s="98">
        <v>1.37103674019928</v>
      </c>
      <c r="B389">
        <v>6.61</v>
      </c>
      <c r="C389">
        <v>6.55</v>
      </c>
    </row>
    <row r="390" spans="1:3" x14ac:dyDescent="0.25">
      <c r="A390" s="98">
        <v>1.3745803870536599</v>
      </c>
      <c r="B390">
        <v>6.26</v>
      </c>
      <c r="C390">
        <v>6.65</v>
      </c>
    </row>
    <row r="391" spans="1:3" x14ac:dyDescent="0.25">
      <c r="A391" s="98">
        <v>1.37812242507382</v>
      </c>
      <c r="B391">
        <v>6.64</v>
      </c>
      <c r="C391">
        <v>6.73</v>
      </c>
    </row>
    <row r="392" spans="1:3" x14ac:dyDescent="0.25">
      <c r="A392" s="98">
        <v>1.3816641125689999</v>
      </c>
      <c r="B392">
        <v>6.18</v>
      </c>
      <c r="C392">
        <v>6.5</v>
      </c>
    </row>
    <row r="393" spans="1:3" x14ac:dyDescent="0.25">
      <c r="A393" s="98">
        <v>1.3852079020716499</v>
      </c>
      <c r="B393">
        <v>6.47</v>
      </c>
      <c r="C393">
        <v>6.64</v>
      </c>
    </row>
    <row r="394" spans="1:3" x14ac:dyDescent="0.25">
      <c r="A394" s="98">
        <v>1.3887505230638699</v>
      </c>
      <c r="B394">
        <v>6.7</v>
      </c>
      <c r="C394">
        <v>6.57</v>
      </c>
    </row>
    <row r="395" spans="1:3" x14ac:dyDescent="0.25">
      <c r="A395" s="98">
        <v>1.39229570467163</v>
      </c>
      <c r="B395">
        <v>6.66</v>
      </c>
      <c r="C395">
        <v>6.59</v>
      </c>
    </row>
    <row r="396" spans="1:3" x14ac:dyDescent="0.25">
      <c r="A396" s="98">
        <v>1.39584085002541</v>
      </c>
      <c r="B396">
        <v>6.82</v>
      </c>
      <c r="C396">
        <v>6.54</v>
      </c>
    </row>
    <row r="397" spans="1:3" x14ac:dyDescent="0.25">
      <c r="A397" s="98">
        <v>1.39938582861865</v>
      </c>
      <c r="B397">
        <v>6.56</v>
      </c>
      <c r="C397">
        <v>6.82</v>
      </c>
    </row>
    <row r="398" spans="1:3" x14ac:dyDescent="0.25">
      <c r="A398" s="98">
        <v>1.4029285831087099</v>
      </c>
      <c r="B398">
        <v>6.75</v>
      </c>
      <c r="C398">
        <v>6.62</v>
      </c>
    </row>
    <row r="399" spans="1:3" x14ac:dyDescent="0.25">
      <c r="A399" s="98">
        <v>1.40647142868351</v>
      </c>
      <c r="B399">
        <v>7.04</v>
      </c>
      <c r="C399">
        <v>6.47</v>
      </c>
    </row>
    <row r="400" spans="1:3" x14ac:dyDescent="0.25">
      <c r="A400" s="98">
        <v>1.4100129637673999</v>
      </c>
      <c r="B400">
        <v>6.48</v>
      </c>
      <c r="C400">
        <v>6.83</v>
      </c>
    </row>
    <row r="401" spans="1:3" x14ac:dyDescent="0.25">
      <c r="A401" s="98">
        <v>1.4135581888148001</v>
      </c>
      <c r="B401">
        <v>6.96</v>
      </c>
      <c r="C401">
        <v>6.79</v>
      </c>
    </row>
    <row r="402" spans="1:3" x14ac:dyDescent="0.25">
      <c r="A402" s="98">
        <v>1.4171027099810201</v>
      </c>
      <c r="B402">
        <v>7.13</v>
      </c>
      <c r="C402">
        <v>7.11</v>
      </c>
    </row>
    <row r="403" spans="1:3" x14ac:dyDescent="0.25">
      <c r="A403" s="98">
        <v>1.4206467076915199</v>
      </c>
      <c r="B403">
        <v>6.73</v>
      </c>
      <c r="C403">
        <v>6.72</v>
      </c>
    </row>
    <row r="404" spans="1:3" x14ac:dyDescent="0.25">
      <c r="A404" s="98">
        <v>1.42419095306484</v>
      </c>
      <c r="B404">
        <v>7.4</v>
      </c>
      <c r="C404">
        <v>6.97</v>
      </c>
    </row>
    <row r="405" spans="1:3" x14ac:dyDescent="0.25">
      <c r="A405" s="98">
        <v>1.4277348398113601</v>
      </c>
      <c r="B405">
        <v>6.91</v>
      </c>
      <c r="C405">
        <v>7.32</v>
      </c>
    </row>
    <row r="406" spans="1:3" x14ac:dyDescent="0.25">
      <c r="A406" s="98">
        <v>1.4312765189122201</v>
      </c>
      <c r="B406">
        <v>6.68</v>
      </c>
      <c r="C406">
        <v>7.16</v>
      </c>
    </row>
    <row r="407" spans="1:3" x14ac:dyDescent="0.25">
      <c r="A407" s="98">
        <v>1.43482052056325</v>
      </c>
      <c r="B407">
        <v>6.92</v>
      </c>
      <c r="C407">
        <v>7.27</v>
      </c>
    </row>
    <row r="408" spans="1:3" x14ac:dyDescent="0.25">
      <c r="A408" s="98">
        <v>1.4383652305161501</v>
      </c>
      <c r="B408">
        <v>7.13</v>
      </c>
      <c r="C408">
        <v>7.03</v>
      </c>
    </row>
    <row r="409" spans="1:3" x14ac:dyDescent="0.25">
      <c r="A409" s="98">
        <v>1.44190686440578</v>
      </c>
      <c r="B409">
        <v>7.51</v>
      </c>
      <c r="C409">
        <v>6.86</v>
      </c>
    </row>
    <row r="410" spans="1:3" x14ac:dyDescent="0.25">
      <c r="A410" s="98">
        <v>1.44544896492251</v>
      </c>
      <c r="B410">
        <v>7.04</v>
      </c>
      <c r="C410">
        <v>6.91</v>
      </c>
    </row>
    <row r="411" spans="1:3" x14ac:dyDescent="0.25">
      <c r="A411" s="98">
        <v>1.44899243065604</v>
      </c>
      <c r="B411">
        <v>7.57</v>
      </c>
      <c r="C411">
        <v>7.18</v>
      </c>
    </row>
    <row r="412" spans="1:3" x14ac:dyDescent="0.25">
      <c r="A412" s="98">
        <v>1.4525354517775499</v>
      </c>
      <c r="B412">
        <v>7.22</v>
      </c>
      <c r="C412">
        <v>7.54</v>
      </c>
    </row>
    <row r="413" spans="1:3" x14ac:dyDescent="0.25">
      <c r="A413" s="98">
        <v>1.4560795238117299</v>
      </c>
      <c r="B413">
        <v>7.22</v>
      </c>
      <c r="C413">
        <v>7.22</v>
      </c>
    </row>
    <row r="414" spans="1:3" x14ac:dyDescent="0.25">
      <c r="A414" s="98">
        <v>1.4596225267648699</v>
      </c>
      <c r="B414">
        <v>7.2</v>
      </c>
      <c r="C414">
        <v>7.09</v>
      </c>
    </row>
    <row r="415" spans="1:3" x14ac:dyDescent="0.25">
      <c r="A415" s="98">
        <v>1.46316405169941</v>
      </c>
      <c r="B415">
        <v>7.36</v>
      </c>
      <c r="C415">
        <v>7.45</v>
      </c>
    </row>
    <row r="416" spans="1:3" x14ac:dyDescent="0.25">
      <c r="A416" s="98">
        <v>1.4667070160419799</v>
      </c>
      <c r="B416">
        <v>7.1</v>
      </c>
      <c r="C416">
        <v>7.59</v>
      </c>
    </row>
    <row r="417" spans="1:3" x14ac:dyDescent="0.25">
      <c r="A417" s="98">
        <v>1.4702520264519501</v>
      </c>
      <c r="B417">
        <v>7.28</v>
      </c>
      <c r="C417">
        <v>7.03</v>
      </c>
    </row>
    <row r="418" spans="1:3" x14ac:dyDescent="0.25">
      <c r="A418" s="98">
        <v>1.47379531374684</v>
      </c>
      <c r="B418">
        <v>7.49</v>
      </c>
      <c r="C418">
        <v>6.98</v>
      </c>
    </row>
    <row r="419" spans="1:3" x14ac:dyDescent="0.25">
      <c r="A419" s="98">
        <v>1.4773384628858801</v>
      </c>
      <c r="B419">
        <v>7.49</v>
      </c>
      <c r="C419">
        <v>7.11</v>
      </c>
    </row>
    <row r="420" spans="1:3" x14ac:dyDescent="0.25">
      <c r="A420" s="98">
        <v>1.4808814156165799</v>
      </c>
      <c r="B420">
        <v>7.53</v>
      </c>
      <c r="C420">
        <v>7.37</v>
      </c>
    </row>
    <row r="421" spans="1:3" x14ac:dyDescent="0.25">
      <c r="A421" s="98">
        <v>1.4844242922023401</v>
      </c>
      <c r="B421">
        <v>7.76</v>
      </c>
      <c r="C421">
        <v>7.12</v>
      </c>
    </row>
    <row r="422" spans="1:3" x14ac:dyDescent="0.25">
      <c r="A422" s="98">
        <v>1.4879703992825899</v>
      </c>
      <c r="B422">
        <v>7.24</v>
      </c>
      <c r="C422">
        <v>7.15</v>
      </c>
    </row>
    <row r="423" spans="1:3" x14ac:dyDescent="0.25">
      <c r="A423" s="98">
        <v>1.4915119783028401</v>
      </c>
      <c r="B423">
        <v>6.98</v>
      </c>
      <c r="C423">
        <v>7.52</v>
      </c>
    </row>
    <row r="424" spans="1:3" x14ac:dyDescent="0.25">
      <c r="A424" s="98">
        <v>1.4950568781461899</v>
      </c>
      <c r="B424">
        <v>7.19</v>
      </c>
      <c r="C424">
        <v>7.4</v>
      </c>
    </row>
    <row r="425" spans="1:3" x14ac:dyDescent="0.25">
      <c r="A425" s="98">
        <v>1.4985982341622801</v>
      </c>
      <c r="B425">
        <v>7.36</v>
      </c>
      <c r="C425">
        <v>7.01</v>
      </c>
    </row>
    <row r="426" spans="1:3" x14ac:dyDescent="0.25">
      <c r="A426" s="98">
        <v>1.5021414726089499</v>
      </c>
      <c r="B426">
        <v>7.65</v>
      </c>
      <c r="C426">
        <v>7.16</v>
      </c>
    </row>
    <row r="427" spans="1:3" x14ac:dyDescent="0.25">
      <c r="A427" s="98">
        <v>1.5056855241181599</v>
      </c>
      <c r="B427">
        <v>7.71</v>
      </c>
      <c r="C427">
        <v>7.58</v>
      </c>
    </row>
    <row r="428" spans="1:3" x14ac:dyDescent="0.25">
      <c r="A428" s="98">
        <v>1.5092286398013399</v>
      </c>
      <c r="B428">
        <v>7.59</v>
      </c>
      <c r="C428">
        <v>7.48</v>
      </c>
    </row>
    <row r="429" spans="1:3" x14ac:dyDescent="0.25">
      <c r="A429" s="98">
        <v>1.5127703921662401</v>
      </c>
      <c r="B429">
        <v>8.0399999999999991</v>
      </c>
      <c r="C429">
        <v>7.56</v>
      </c>
    </row>
    <row r="430" spans="1:3" x14ac:dyDescent="0.25">
      <c r="A430" s="98">
        <v>1.5163129277582501</v>
      </c>
      <c r="B430">
        <v>7.41</v>
      </c>
      <c r="C430">
        <v>7.46</v>
      </c>
    </row>
    <row r="431" spans="1:3" x14ac:dyDescent="0.25">
      <c r="A431" s="98">
        <v>1.51985570769067</v>
      </c>
      <c r="B431">
        <v>7.36</v>
      </c>
      <c r="C431">
        <v>7.64</v>
      </c>
    </row>
    <row r="432" spans="1:3" x14ac:dyDescent="0.25">
      <c r="A432" s="98">
        <v>1.52339849122144</v>
      </c>
      <c r="B432">
        <v>7.64</v>
      </c>
      <c r="C432">
        <v>7.51</v>
      </c>
    </row>
    <row r="433" spans="1:3" x14ac:dyDescent="0.25">
      <c r="A433" s="98">
        <v>1.52694053269094</v>
      </c>
      <c r="B433">
        <v>7.62</v>
      </c>
      <c r="C433">
        <v>7.68</v>
      </c>
    </row>
    <row r="434" spans="1:3" x14ac:dyDescent="0.25">
      <c r="A434" s="98">
        <v>1.5304872280083299</v>
      </c>
      <c r="B434">
        <v>7.74</v>
      </c>
      <c r="C434">
        <v>7.53</v>
      </c>
    </row>
    <row r="435" spans="1:3" x14ac:dyDescent="0.25">
      <c r="A435" s="98">
        <v>1.5340316499162601</v>
      </c>
      <c r="B435">
        <v>8</v>
      </c>
      <c r="C435">
        <v>7.88</v>
      </c>
    </row>
    <row r="436" spans="1:3" x14ac:dyDescent="0.25">
      <c r="A436" s="98">
        <v>1.53757396830452</v>
      </c>
      <c r="B436">
        <v>7.29</v>
      </c>
      <c r="C436">
        <v>7.89</v>
      </c>
    </row>
    <row r="437" spans="1:3" x14ac:dyDescent="0.25">
      <c r="A437" s="98">
        <v>1.54111913884679</v>
      </c>
      <c r="B437">
        <v>7.99</v>
      </c>
      <c r="C437">
        <v>8.0399999999999991</v>
      </c>
    </row>
    <row r="438" spans="1:3" x14ac:dyDescent="0.25">
      <c r="A438" s="98">
        <v>1.54466427455345</v>
      </c>
      <c r="B438">
        <v>8.16</v>
      </c>
      <c r="C438">
        <v>7.41</v>
      </c>
    </row>
    <row r="439" spans="1:3" x14ac:dyDescent="0.25">
      <c r="A439" s="98">
        <v>1.54820803156053</v>
      </c>
      <c r="B439">
        <v>7.73</v>
      </c>
      <c r="C439">
        <v>7.88</v>
      </c>
    </row>
    <row r="440" spans="1:3" x14ac:dyDescent="0.25">
      <c r="A440" s="98">
        <v>1.5517516638504101</v>
      </c>
      <c r="B440">
        <v>7.94</v>
      </c>
      <c r="C440">
        <v>7.86</v>
      </c>
    </row>
    <row r="441" spans="1:3" x14ac:dyDescent="0.25">
      <c r="A441" s="98">
        <v>1.5552946709206801</v>
      </c>
      <c r="B441">
        <v>8.18</v>
      </c>
      <c r="C441">
        <v>7.9</v>
      </c>
    </row>
    <row r="442" spans="1:3" x14ac:dyDescent="0.25">
      <c r="A442" s="98">
        <v>1.55883633825514</v>
      </c>
      <c r="B442">
        <v>8.0500000000000007</v>
      </c>
      <c r="C442">
        <v>8.14</v>
      </c>
    </row>
    <row r="443" spans="1:3" x14ac:dyDescent="0.25">
      <c r="A443" s="98">
        <v>1.5623784300464101</v>
      </c>
      <c r="B443">
        <v>8.31</v>
      </c>
      <c r="C443">
        <v>7.87</v>
      </c>
    </row>
    <row r="444" spans="1:3" x14ac:dyDescent="0.25">
      <c r="A444" s="98">
        <v>1.5659219692647399</v>
      </c>
      <c r="B444">
        <v>8.33</v>
      </c>
      <c r="C444">
        <v>8.08</v>
      </c>
    </row>
    <row r="445" spans="1:3" x14ac:dyDescent="0.25">
      <c r="A445" s="98">
        <v>1.56946586813639</v>
      </c>
      <c r="B445">
        <v>8.1199999999999992</v>
      </c>
      <c r="C445">
        <v>7.69</v>
      </c>
    </row>
    <row r="446" spans="1:3" x14ac:dyDescent="0.25">
      <c r="A446" s="98">
        <v>1.5730100606933699</v>
      </c>
      <c r="B446">
        <v>8.52</v>
      </c>
      <c r="C446">
        <v>7.78</v>
      </c>
    </row>
    <row r="447" spans="1:3" x14ac:dyDescent="0.25">
      <c r="A447" s="98">
        <v>1.5765532414394401</v>
      </c>
      <c r="B447">
        <v>7.56</v>
      </c>
      <c r="C447">
        <v>7.96</v>
      </c>
    </row>
    <row r="448" spans="1:3" x14ac:dyDescent="0.25">
      <c r="A448" s="98">
        <v>1.58009582872744</v>
      </c>
      <c r="B448">
        <v>8.1</v>
      </c>
      <c r="C448">
        <v>8.14</v>
      </c>
    </row>
    <row r="449" spans="1:3" x14ac:dyDescent="0.25">
      <c r="A449" s="98">
        <v>1.58363860627567</v>
      </c>
      <c r="B449">
        <v>8.17</v>
      </c>
      <c r="C449">
        <v>8.09</v>
      </c>
    </row>
    <row r="450" spans="1:3" x14ac:dyDescent="0.25">
      <c r="A450" s="98">
        <v>1.58718412703386</v>
      </c>
      <c r="B450">
        <v>7.76</v>
      </c>
      <c r="C450">
        <v>7.95</v>
      </c>
    </row>
    <row r="451" spans="1:3" x14ac:dyDescent="0.25">
      <c r="A451" s="98">
        <v>1.5907270466287899</v>
      </c>
      <c r="B451">
        <v>8.34</v>
      </c>
      <c r="C451">
        <v>7.93</v>
      </c>
    </row>
    <row r="452" spans="1:3" x14ac:dyDescent="0.25">
      <c r="A452" s="98">
        <v>1.5942709004437401</v>
      </c>
      <c r="B452">
        <v>7.56</v>
      </c>
      <c r="C452">
        <v>8.34</v>
      </c>
    </row>
    <row r="453" spans="1:3" x14ac:dyDescent="0.25">
      <c r="A453" s="98">
        <v>1.5978127496441199</v>
      </c>
      <c r="B453">
        <v>8.35</v>
      </c>
      <c r="C453">
        <v>8.2100000000000009</v>
      </c>
    </row>
    <row r="454" spans="1:3" x14ac:dyDescent="0.25">
      <c r="A454" s="98">
        <v>1.60135636569173</v>
      </c>
      <c r="B454">
        <v>8.25</v>
      </c>
      <c r="C454">
        <v>7.93</v>
      </c>
    </row>
    <row r="455" spans="1:3" x14ac:dyDescent="0.25">
      <c r="A455" s="98">
        <v>1.60489862360888</v>
      </c>
      <c r="B455">
        <v>7.99</v>
      </c>
      <c r="C455">
        <v>8.17</v>
      </c>
    </row>
    <row r="456" spans="1:3" x14ac:dyDescent="0.25">
      <c r="A456" s="98">
        <v>1.6084416746154899</v>
      </c>
      <c r="B456">
        <v>8.2200000000000006</v>
      </c>
      <c r="C456">
        <v>8.1</v>
      </c>
    </row>
    <row r="457" spans="1:3" x14ac:dyDescent="0.25">
      <c r="A457" s="98">
        <v>1.61198449559785</v>
      </c>
      <c r="B457">
        <v>8.2100000000000009</v>
      </c>
      <c r="C457">
        <v>8.33</v>
      </c>
    </row>
    <row r="458" spans="1:3" x14ac:dyDescent="0.25">
      <c r="A458" s="98">
        <v>1.6155275090701</v>
      </c>
      <c r="B458">
        <v>8.32</v>
      </c>
      <c r="C458">
        <v>8.15</v>
      </c>
    </row>
    <row r="459" spans="1:3" x14ac:dyDescent="0.25">
      <c r="A459" s="98">
        <v>1.61907016852387</v>
      </c>
      <c r="B459">
        <v>8.0500000000000007</v>
      </c>
      <c r="C459">
        <v>8.15</v>
      </c>
    </row>
    <row r="460" spans="1:3" x14ac:dyDescent="0.25">
      <c r="A460" s="98">
        <v>1.6226146124800001</v>
      </c>
      <c r="B460">
        <v>8.64</v>
      </c>
      <c r="C460">
        <v>8.25</v>
      </c>
    </row>
    <row r="461" spans="1:3" x14ac:dyDescent="0.25">
      <c r="A461" s="98">
        <v>1.6261574068389499</v>
      </c>
      <c r="B461">
        <v>8.56</v>
      </c>
      <c r="C461">
        <v>8.14</v>
      </c>
    </row>
    <row r="462" spans="1:3" x14ac:dyDescent="0.25">
      <c r="A462" s="98">
        <v>1.62970115845954</v>
      </c>
      <c r="B462">
        <v>8.16</v>
      </c>
      <c r="C462">
        <v>7.9</v>
      </c>
    </row>
    <row r="463" spans="1:3" x14ac:dyDescent="0.25">
      <c r="A463" s="98">
        <v>1.6332438637923301</v>
      </c>
      <c r="B463">
        <v>9.2100000000000009</v>
      </c>
      <c r="C463">
        <v>8.4</v>
      </c>
    </row>
    <row r="464" spans="1:3" x14ac:dyDescent="0.25">
      <c r="A464" s="98">
        <v>1.63678747340484</v>
      </c>
      <c r="B464">
        <v>8.68</v>
      </c>
      <c r="C464">
        <v>8.11</v>
      </c>
    </row>
    <row r="465" spans="1:3" x14ac:dyDescent="0.25">
      <c r="A465" s="98">
        <v>1.6403310570341501</v>
      </c>
      <c r="B465">
        <v>7.75</v>
      </c>
      <c r="C465">
        <v>8.4499999999999993</v>
      </c>
    </row>
    <row r="466" spans="1:3" x14ac:dyDescent="0.25">
      <c r="A466" s="98">
        <v>1.64387514160739</v>
      </c>
      <c r="B466">
        <v>8.39</v>
      </c>
      <c r="C466">
        <v>8.5500000000000007</v>
      </c>
    </row>
    <row r="467" spans="1:3" x14ac:dyDescent="0.25">
      <c r="A467" s="98">
        <v>1.6474187585987401</v>
      </c>
      <c r="B467">
        <v>8.4600000000000009</v>
      </c>
      <c r="C467">
        <v>8.11</v>
      </c>
    </row>
    <row r="468" spans="1:3" x14ac:dyDescent="0.25">
      <c r="A468" s="98">
        <v>1.6509629459789501</v>
      </c>
      <c r="B468">
        <v>8.68</v>
      </c>
      <c r="C468">
        <v>8.61</v>
      </c>
    </row>
    <row r="469" spans="1:3" x14ac:dyDescent="0.25">
      <c r="A469" s="98">
        <v>1.65450967951505</v>
      </c>
      <c r="B469">
        <v>8.6199999999999992</v>
      </c>
      <c r="C469">
        <v>8.56</v>
      </c>
    </row>
    <row r="470" spans="1:3" x14ac:dyDescent="0.25">
      <c r="A470" s="98">
        <v>1.65805205741414</v>
      </c>
      <c r="B470">
        <v>8.51</v>
      </c>
      <c r="C470">
        <v>8.51</v>
      </c>
    </row>
    <row r="471" spans="1:3" x14ac:dyDescent="0.25">
      <c r="A471" s="98">
        <v>1.6615959471850399</v>
      </c>
      <c r="B471">
        <v>9.0500000000000007</v>
      </c>
      <c r="C471">
        <v>8.44</v>
      </c>
    </row>
    <row r="472" spans="1:3" x14ac:dyDescent="0.25">
      <c r="A472" s="98">
        <v>1.66513967217118</v>
      </c>
      <c r="B472">
        <v>8.26</v>
      </c>
      <c r="C472">
        <v>8.6300000000000008</v>
      </c>
    </row>
    <row r="473" spans="1:3" x14ac:dyDescent="0.25">
      <c r="A473" s="98">
        <v>1.6686852613477801</v>
      </c>
      <c r="B473">
        <v>9.08</v>
      </c>
      <c r="C473">
        <v>8.57</v>
      </c>
    </row>
    <row r="474" spans="1:3" x14ac:dyDescent="0.25">
      <c r="A474" s="98">
        <v>1.6722272333116399</v>
      </c>
      <c r="B474">
        <v>9.17</v>
      </c>
      <c r="C474">
        <v>8.85</v>
      </c>
    </row>
    <row r="475" spans="1:3" x14ac:dyDescent="0.25">
      <c r="A475" s="98">
        <v>1.67577173367142</v>
      </c>
      <c r="B475">
        <v>8.7799999999999994</v>
      </c>
      <c r="C475">
        <v>8.67</v>
      </c>
    </row>
    <row r="476" spans="1:3" x14ac:dyDescent="0.25">
      <c r="A476" s="98">
        <v>1.67931649755548</v>
      </c>
      <c r="B476">
        <v>9.5</v>
      </c>
      <c r="C476">
        <v>8.26</v>
      </c>
    </row>
    <row r="477" spans="1:3" x14ac:dyDescent="0.25">
      <c r="A477" s="98">
        <v>1.6828596749625799</v>
      </c>
      <c r="B477">
        <v>9.19</v>
      </c>
      <c r="C477">
        <v>8.4700000000000006</v>
      </c>
    </row>
    <row r="478" spans="1:3" x14ac:dyDescent="0.25">
      <c r="A478" s="98">
        <v>1.6864022916831301</v>
      </c>
      <c r="B478">
        <v>9.17</v>
      </c>
      <c r="C478">
        <v>8.69</v>
      </c>
    </row>
    <row r="479" spans="1:3" x14ac:dyDescent="0.25">
      <c r="A479" s="98">
        <v>1.6899454128411</v>
      </c>
      <c r="B479">
        <v>8.51</v>
      </c>
      <c r="C479">
        <v>7.92</v>
      </c>
    </row>
    <row r="480" spans="1:3" x14ac:dyDescent="0.25">
      <c r="A480" s="98">
        <v>1.6934885660255401</v>
      </c>
      <c r="B480">
        <v>8.7100000000000009</v>
      </c>
      <c r="C480">
        <v>8.77</v>
      </c>
    </row>
    <row r="481" spans="1:3" x14ac:dyDescent="0.25">
      <c r="A481" s="98">
        <v>1.69703129717597</v>
      </c>
      <c r="B481">
        <v>8.59</v>
      </c>
      <c r="C481">
        <v>8.8000000000000007</v>
      </c>
    </row>
    <row r="482" spans="1:3" x14ac:dyDescent="0.25">
      <c r="A482" s="98">
        <v>1.70057407114792</v>
      </c>
      <c r="B482">
        <v>8.84</v>
      </c>
      <c r="C482">
        <v>8.52</v>
      </c>
    </row>
    <row r="483" spans="1:3" x14ac:dyDescent="0.25">
      <c r="A483" s="98">
        <v>1.7041167243211299</v>
      </c>
      <c r="B483">
        <v>8.9700000000000006</v>
      </c>
      <c r="C483">
        <v>8.92</v>
      </c>
    </row>
    <row r="484" spans="1:3" x14ac:dyDescent="0.25">
      <c r="A484" s="98">
        <v>1.7076615286811601</v>
      </c>
      <c r="B484">
        <v>9.2799999999999994</v>
      </c>
      <c r="C484">
        <v>8.74</v>
      </c>
    </row>
    <row r="485" spans="1:3" x14ac:dyDescent="0.25">
      <c r="A485" s="98">
        <v>1.7112040877397401</v>
      </c>
      <c r="B485">
        <v>8.36</v>
      </c>
      <c r="C485">
        <v>8.65</v>
      </c>
    </row>
    <row r="486" spans="1:3" x14ac:dyDescent="0.25">
      <c r="A486" s="98">
        <v>1.71474700267116</v>
      </c>
      <c r="B486">
        <v>9.17</v>
      </c>
      <c r="C486">
        <v>9.02</v>
      </c>
    </row>
    <row r="487" spans="1:3" x14ac:dyDescent="0.25">
      <c r="A487" s="98">
        <v>1.71829037396996</v>
      </c>
      <c r="B487">
        <v>9.52</v>
      </c>
      <c r="C487">
        <v>8.93</v>
      </c>
    </row>
    <row r="488" spans="1:3" x14ac:dyDescent="0.25">
      <c r="A488" s="98">
        <v>1.7218352635922201</v>
      </c>
      <c r="B488">
        <v>9.31</v>
      </c>
      <c r="C488">
        <v>8.83</v>
      </c>
    </row>
    <row r="489" spans="1:3" x14ac:dyDescent="0.25">
      <c r="A489" s="98">
        <v>1.7253769660437499</v>
      </c>
      <c r="B489">
        <v>8.5399999999999991</v>
      </c>
      <c r="C489">
        <v>8.66</v>
      </c>
    </row>
    <row r="490" spans="1:3" x14ac:dyDescent="0.25">
      <c r="A490" s="98">
        <v>1.72892050406999</v>
      </c>
      <c r="B490">
        <v>8.85</v>
      </c>
      <c r="C490">
        <v>9.06</v>
      </c>
    </row>
    <row r="491" spans="1:3" x14ac:dyDescent="0.25">
      <c r="A491" s="98">
        <v>1.73246426470301</v>
      </c>
      <c r="B491">
        <v>9.08</v>
      </c>
      <c r="C491">
        <v>8.66</v>
      </c>
    </row>
    <row r="492" spans="1:3" x14ac:dyDescent="0.25">
      <c r="A492" s="98">
        <v>1.73600866349758</v>
      </c>
      <c r="B492">
        <v>9.1</v>
      </c>
      <c r="C492">
        <v>9.02</v>
      </c>
    </row>
    <row r="493" spans="1:3" x14ac:dyDescent="0.25">
      <c r="A493" s="98">
        <v>1.7395516686638199</v>
      </c>
      <c r="B493">
        <v>9.74</v>
      </c>
      <c r="C493">
        <v>8.76</v>
      </c>
    </row>
    <row r="494" spans="1:3" x14ac:dyDescent="0.25">
      <c r="A494" s="98">
        <v>1.74309428277391</v>
      </c>
      <c r="B494">
        <v>9.1300000000000008</v>
      </c>
      <c r="C494">
        <v>8.9600000000000009</v>
      </c>
    </row>
    <row r="495" spans="1:3" x14ac:dyDescent="0.25">
      <c r="A495" s="98">
        <v>1.7466370998488501</v>
      </c>
      <c r="B495">
        <v>9.25</v>
      </c>
      <c r="C495">
        <v>8.81</v>
      </c>
    </row>
    <row r="496" spans="1:3" x14ac:dyDescent="0.25">
      <c r="A496" s="98">
        <v>1.7501805093774001</v>
      </c>
      <c r="B496">
        <v>9.2200000000000006</v>
      </c>
      <c r="C496">
        <v>8.86</v>
      </c>
    </row>
    <row r="497" spans="1:3" x14ac:dyDescent="0.25">
      <c r="A497" s="98">
        <v>1.75372489543976</v>
      </c>
      <c r="B497">
        <v>9.64</v>
      </c>
      <c r="C497">
        <v>8.94</v>
      </c>
    </row>
    <row r="498" spans="1:3" x14ac:dyDescent="0.25">
      <c r="A498" s="98">
        <v>1.7572678544620599</v>
      </c>
      <c r="B498">
        <v>9</v>
      </c>
      <c r="C498">
        <v>9.23</v>
      </c>
    </row>
    <row r="499" spans="1:3" x14ac:dyDescent="0.25">
      <c r="A499" s="98">
        <v>1.7608117778102499</v>
      </c>
      <c r="B499">
        <v>9.01</v>
      </c>
      <c r="C499">
        <v>8.99</v>
      </c>
    </row>
    <row r="500" spans="1:3" x14ac:dyDescent="0.25">
      <c r="A500" s="98">
        <v>1.76435460795958</v>
      </c>
      <c r="B500">
        <v>9.14</v>
      </c>
      <c r="C500">
        <v>9.06</v>
      </c>
    </row>
    <row r="501" spans="1:3" x14ac:dyDescent="0.25">
      <c r="A501" s="98">
        <v>1.7679000628380801</v>
      </c>
      <c r="B501">
        <v>9.6</v>
      </c>
      <c r="C501">
        <v>9.17</v>
      </c>
    </row>
    <row r="502" spans="1:3" x14ac:dyDescent="0.25">
      <c r="A502" s="98">
        <v>1.7714415127645999</v>
      </c>
      <c r="B502">
        <v>8.86</v>
      </c>
      <c r="C502">
        <v>9.08</v>
      </c>
    </row>
    <row r="503" spans="1:3" x14ac:dyDescent="0.25">
      <c r="A503" s="98">
        <v>1.7749832741253899</v>
      </c>
      <c r="B503">
        <v>9.1300000000000008</v>
      </c>
      <c r="C503">
        <v>8.92</v>
      </c>
    </row>
    <row r="504" spans="1:3" x14ac:dyDescent="0.25">
      <c r="A504" s="98">
        <v>1.77852575096267</v>
      </c>
      <c r="B504">
        <v>9.32</v>
      </c>
      <c r="C504">
        <v>9.2799999999999994</v>
      </c>
    </row>
    <row r="505" spans="1:3" x14ac:dyDescent="0.25">
      <c r="A505" s="98">
        <v>1.78206623080152</v>
      </c>
      <c r="B505">
        <v>9.2200000000000006</v>
      </c>
      <c r="C505">
        <v>8.92</v>
      </c>
    </row>
    <row r="506" spans="1:3" x14ac:dyDescent="0.25">
      <c r="A506" s="98">
        <v>1.78561155175721</v>
      </c>
      <c r="B506">
        <v>9.9600000000000009</v>
      </c>
      <c r="C506">
        <v>9.31</v>
      </c>
    </row>
    <row r="507" spans="1:3" x14ac:dyDescent="0.25">
      <c r="A507" s="98">
        <v>1.7891557810924601</v>
      </c>
      <c r="B507">
        <v>9.23</v>
      </c>
      <c r="C507">
        <v>9.0299999999999994</v>
      </c>
    </row>
    <row r="508" spans="1:3" x14ac:dyDescent="0.25">
      <c r="A508" s="98">
        <v>1.7926990748665901</v>
      </c>
      <c r="B508">
        <v>8.9600000000000009</v>
      </c>
      <c r="C508">
        <v>9.41</v>
      </c>
    </row>
    <row r="509" spans="1:3" x14ac:dyDescent="0.25">
      <c r="A509" s="98">
        <v>1.7962429706807399</v>
      </c>
      <c r="B509">
        <v>8.84</v>
      </c>
      <c r="C509">
        <v>9.31</v>
      </c>
    </row>
    <row r="510" spans="1:3" x14ac:dyDescent="0.25">
      <c r="A510" s="98">
        <v>1.7997857558120101</v>
      </c>
      <c r="B510">
        <v>9.15</v>
      </c>
      <c r="C510">
        <v>9.68</v>
      </c>
    </row>
    <row r="511" spans="1:3" x14ac:dyDescent="0.25">
      <c r="A511" s="98">
        <v>1.80332845196127</v>
      </c>
      <c r="B511">
        <v>9.11</v>
      </c>
      <c r="C511">
        <v>9.64</v>
      </c>
    </row>
    <row r="512" spans="1:3" x14ac:dyDescent="0.25">
      <c r="A512" s="98">
        <v>1.8068738105506801</v>
      </c>
      <c r="B512">
        <v>9.56</v>
      </c>
      <c r="C512">
        <v>9.43</v>
      </c>
    </row>
    <row r="513" spans="1:3" x14ac:dyDescent="0.25">
      <c r="A513" s="98">
        <v>1.810416769435</v>
      </c>
      <c r="B513">
        <v>9.48</v>
      </c>
      <c r="C513">
        <v>9.6199999999999992</v>
      </c>
    </row>
    <row r="514" spans="1:3" x14ac:dyDescent="0.25">
      <c r="A514" s="98">
        <v>1.8139612652306201</v>
      </c>
      <c r="B514">
        <v>9.0399999999999991</v>
      </c>
      <c r="C514">
        <v>9.85</v>
      </c>
    </row>
    <row r="515" spans="1:3" x14ac:dyDescent="0.25">
      <c r="A515" s="98">
        <v>1.8175042688129099</v>
      </c>
      <c r="B515">
        <v>9.25</v>
      </c>
      <c r="C515">
        <v>9.31</v>
      </c>
    </row>
    <row r="516" spans="1:3" x14ac:dyDescent="0.25">
      <c r="A516" s="98">
        <v>1.8210474629589799</v>
      </c>
      <c r="B516">
        <v>9.56</v>
      </c>
      <c r="C516">
        <v>9.76</v>
      </c>
    </row>
    <row r="517" spans="1:3" x14ac:dyDescent="0.25">
      <c r="A517" s="98">
        <v>1.82459156297975</v>
      </c>
      <c r="B517">
        <v>9.3800000000000008</v>
      </c>
      <c r="C517">
        <v>9.81</v>
      </c>
    </row>
    <row r="518" spans="1:3" x14ac:dyDescent="0.25">
      <c r="A518" s="98">
        <v>1.82813695632197</v>
      </c>
      <c r="B518">
        <v>9.15</v>
      </c>
      <c r="C518">
        <v>9.68</v>
      </c>
    </row>
    <row r="519" spans="1:3" x14ac:dyDescent="0.25">
      <c r="A519" s="98">
        <v>1.8316797615974001</v>
      </c>
      <c r="B519">
        <v>9.74</v>
      </c>
      <c r="C519">
        <v>9.5</v>
      </c>
    </row>
    <row r="520" spans="1:3" x14ac:dyDescent="0.25">
      <c r="A520" s="98">
        <v>1.8352239490328</v>
      </c>
      <c r="B520">
        <v>9.34</v>
      </c>
      <c r="C520">
        <v>9.77</v>
      </c>
    </row>
    <row r="521" spans="1:3" x14ac:dyDescent="0.25">
      <c r="A521" s="98">
        <v>1.83876729852623</v>
      </c>
      <c r="B521">
        <v>9.15</v>
      </c>
      <c r="C521">
        <v>9.68</v>
      </c>
    </row>
    <row r="522" spans="1:3" x14ac:dyDescent="0.25">
      <c r="A522" s="98">
        <v>1.8423091474506501</v>
      </c>
      <c r="B522">
        <v>10.45</v>
      </c>
      <c r="C522">
        <v>9.02</v>
      </c>
    </row>
    <row r="523" spans="1:3" x14ac:dyDescent="0.25">
      <c r="A523" s="98">
        <v>1.8458520147866599</v>
      </c>
      <c r="B523">
        <v>9.9700000000000006</v>
      </c>
      <c r="C523">
        <v>9.67</v>
      </c>
    </row>
    <row r="524" spans="1:3" x14ac:dyDescent="0.25">
      <c r="A524" s="98">
        <v>1.84939401800433</v>
      </c>
      <c r="B524">
        <v>9.1999999999999993</v>
      </c>
      <c r="C524">
        <v>9.4700000000000006</v>
      </c>
    </row>
    <row r="525" spans="1:3" x14ac:dyDescent="0.25">
      <c r="A525" s="98">
        <v>1.8529366164958001</v>
      </c>
      <c r="B525">
        <v>9.98</v>
      </c>
      <c r="C525">
        <v>9.67</v>
      </c>
    </row>
    <row r="526" spans="1:3" x14ac:dyDescent="0.25">
      <c r="A526" s="98">
        <v>1.8564793730278799</v>
      </c>
      <c r="B526">
        <v>9.39</v>
      </c>
      <c r="C526">
        <v>10.07</v>
      </c>
    </row>
    <row r="527" spans="1:3" x14ac:dyDescent="0.25">
      <c r="A527" s="98">
        <v>1.8600220653028401</v>
      </c>
      <c r="B527">
        <v>9.68</v>
      </c>
      <c r="C527">
        <v>9.7200000000000006</v>
      </c>
    </row>
    <row r="528" spans="1:3" x14ac:dyDescent="0.25">
      <c r="A528" s="98">
        <v>1.86356391385197</v>
      </c>
      <c r="B528">
        <v>9.39</v>
      </c>
      <c r="C528">
        <v>9.44</v>
      </c>
    </row>
    <row r="529" spans="1:3" x14ac:dyDescent="0.25">
      <c r="A529" s="98">
        <v>1.8671075896532401</v>
      </c>
      <c r="B529">
        <v>9.42</v>
      </c>
      <c r="C529">
        <v>9.19</v>
      </c>
    </row>
    <row r="530" spans="1:3" x14ac:dyDescent="0.25">
      <c r="A530" s="98">
        <v>1.8706502635997699</v>
      </c>
      <c r="B530">
        <v>9.75</v>
      </c>
      <c r="C530">
        <v>9.77</v>
      </c>
    </row>
    <row r="531" spans="1:3" x14ac:dyDescent="0.25">
      <c r="A531" s="98">
        <v>1.87419383860848</v>
      </c>
      <c r="B531">
        <v>9.84</v>
      </c>
      <c r="C531">
        <v>9.6999999999999993</v>
      </c>
    </row>
    <row r="532" spans="1:3" x14ac:dyDescent="0.25">
      <c r="A532" s="98">
        <v>1.8777377203327601</v>
      </c>
      <c r="B532">
        <v>10.039999999999999</v>
      </c>
      <c r="C532">
        <v>9.07</v>
      </c>
    </row>
    <row r="533" spans="1:3" x14ac:dyDescent="0.25">
      <c r="A533" s="98">
        <v>1.8812804794587401</v>
      </c>
      <c r="B533">
        <v>10.199999999999999</v>
      </c>
      <c r="C533">
        <v>9.6</v>
      </c>
    </row>
    <row r="534" spans="1:3" x14ac:dyDescent="0.25">
      <c r="A534" s="98">
        <v>1.8848219775877599</v>
      </c>
      <c r="B534">
        <v>9.56</v>
      </c>
      <c r="C534">
        <v>9.4499999999999993</v>
      </c>
    </row>
    <row r="535" spans="1:3" x14ac:dyDescent="0.25">
      <c r="A535" s="98">
        <v>1.88835389898883</v>
      </c>
      <c r="B535">
        <v>9.32</v>
      </c>
      <c r="C535">
        <v>9.6300000000000008</v>
      </c>
    </row>
    <row r="536" spans="1:3" x14ac:dyDescent="0.25">
      <c r="A536" s="98">
        <v>1.8918866192356301</v>
      </c>
      <c r="B536">
        <v>9.9</v>
      </c>
      <c r="C536">
        <v>9.18</v>
      </c>
    </row>
    <row r="537" spans="1:3" x14ac:dyDescent="0.25">
      <c r="A537" s="98">
        <v>1.8954210247099399</v>
      </c>
      <c r="B537">
        <v>9.41</v>
      </c>
      <c r="C537">
        <v>9.6199999999999992</v>
      </c>
    </row>
    <row r="538" spans="1:3" x14ac:dyDescent="0.25">
      <c r="A538" s="98">
        <v>1.89895319888437</v>
      </c>
      <c r="B538">
        <v>10.34</v>
      </c>
      <c r="C538">
        <v>9.7799999999999994</v>
      </c>
    </row>
    <row r="539" spans="1:3" x14ac:dyDescent="0.25">
      <c r="A539" s="98">
        <v>1.90248547082146</v>
      </c>
      <c r="B539">
        <v>9.91</v>
      </c>
      <c r="C539">
        <v>10</v>
      </c>
    </row>
    <row r="540" spans="1:3" x14ac:dyDescent="0.25">
      <c r="A540" s="98">
        <v>1.9060186404155299</v>
      </c>
      <c r="B540">
        <v>9.9</v>
      </c>
      <c r="C540">
        <v>10.1</v>
      </c>
    </row>
    <row r="541" spans="1:3" x14ac:dyDescent="0.25">
      <c r="A541" s="98">
        <v>1.9095511429067</v>
      </c>
      <c r="B541">
        <v>10.08</v>
      </c>
      <c r="C541">
        <v>9.91</v>
      </c>
    </row>
    <row r="542" spans="1:3" x14ac:dyDescent="0.25">
      <c r="A542" s="98">
        <v>1.91308459184236</v>
      </c>
      <c r="B542">
        <v>9.39</v>
      </c>
      <c r="C542">
        <v>9.86</v>
      </c>
    </row>
    <row r="543" spans="1:3" x14ac:dyDescent="0.25">
      <c r="A543" s="98">
        <v>1.91661638560118</v>
      </c>
      <c r="B543">
        <v>10.43</v>
      </c>
      <c r="C543">
        <v>9.74</v>
      </c>
    </row>
    <row r="544" spans="1:3" x14ac:dyDescent="0.25">
      <c r="A544" s="98">
        <v>1.9201531425891101</v>
      </c>
      <c r="B544">
        <v>9.81</v>
      </c>
      <c r="C544">
        <v>9.81</v>
      </c>
    </row>
    <row r="545" spans="1:3" x14ac:dyDescent="0.25">
      <c r="A545" s="98">
        <v>1.9236951431631999</v>
      </c>
      <c r="B545">
        <v>10.49</v>
      </c>
      <c r="C545">
        <v>9.7200000000000006</v>
      </c>
    </row>
    <row r="546" spans="1:3" x14ac:dyDescent="0.25">
      <c r="A546" s="98">
        <v>1.92723919655437</v>
      </c>
      <c r="B546">
        <v>10.039999999999999</v>
      </c>
      <c r="C546">
        <v>9.6</v>
      </c>
    </row>
    <row r="547" spans="1:3" x14ac:dyDescent="0.25">
      <c r="A547" s="98">
        <v>1.93078442395837</v>
      </c>
      <c r="B547">
        <v>9.34</v>
      </c>
      <c r="C547">
        <v>10.02</v>
      </c>
    </row>
    <row r="548" spans="1:3" x14ac:dyDescent="0.25">
      <c r="A548" s="98">
        <v>1.9343281742654399</v>
      </c>
      <c r="B548">
        <v>10.19</v>
      </c>
      <c r="C548">
        <v>9.4499999999999993</v>
      </c>
    </row>
    <row r="549" spans="1:3" x14ac:dyDescent="0.25">
      <c r="A549" s="98">
        <v>1.9378704808045299</v>
      </c>
      <c r="B549">
        <v>10.119999999999999</v>
      </c>
      <c r="C549">
        <v>10.130000000000001</v>
      </c>
    </row>
    <row r="550" spans="1:3" x14ac:dyDescent="0.25">
      <c r="A550" s="98">
        <v>1.9414121877263999</v>
      </c>
      <c r="B550">
        <v>9.7100000000000009</v>
      </c>
      <c r="C550">
        <v>9.99</v>
      </c>
    </row>
    <row r="551" spans="1:3" x14ac:dyDescent="0.25">
      <c r="A551" s="98">
        <v>1.94495629571102</v>
      </c>
      <c r="B551">
        <v>9.82</v>
      </c>
      <c r="C551">
        <v>9.7799999999999994</v>
      </c>
    </row>
    <row r="552" spans="1:3" x14ac:dyDescent="0.25">
      <c r="A552" s="98">
        <v>1.94850078827253</v>
      </c>
      <c r="B552">
        <v>10.08</v>
      </c>
      <c r="C552">
        <v>9.82</v>
      </c>
    </row>
    <row r="553" spans="1:3" x14ac:dyDescent="0.25">
      <c r="A553" s="98">
        <v>1.9520433632863801</v>
      </c>
      <c r="B553">
        <v>9.93</v>
      </c>
      <c r="C553">
        <v>10.050000000000001</v>
      </c>
    </row>
    <row r="554" spans="1:3" x14ac:dyDescent="0.25">
      <c r="A554" s="98">
        <v>1.9555866521652101</v>
      </c>
      <c r="B554">
        <v>10.3</v>
      </c>
      <c r="C554">
        <v>9.5500000000000007</v>
      </c>
    </row>
    <row r="555" spans="1:3" x14ac:dyDescent="0.25">
      <c r="A555" s="98">
        <v>1.9591293598380299</v>
      </c>
      <c r="B555">
        <v>10.15</v>
      </c>
      <c r="C555">
        <v>10.18</v>
      </c>
    </row>
    <row r="556" spans="1:3" x14ac:dyDescent="0.25">
      <c r="A556" s="98">
        <v>1.9626724289523201</v>
      </c>
      <c r="B556">
        <v>9.77</v>
      </c>
      <c r="C556">
        <v>9.59</v>
      </c>
    </row>
    <row r="557" spans="1:3" x14ac:dyDescent="0.25">
      <c r="A557" s="98">
        <v>1.96621752232865</v>
      </c>
      <c r="B557">
        <v>9.9700000000000006</v>
      </c>
      <c r="C557">
        <v>10.26</v>
      </c>
    </row>
    <row r="558" spans="1:3" x14ac:dyDescent="0.25">
      <c r="A558" s="98">
        <v>1.9697588452586401</v>
      </c>
      <c r="B558">
        <v>10.4</v>
      </c>
      <c r="C558">
        <v>8.5399999999999991</v>
      </c>
    </row>
    <row r="559" spans="1:3" x14ac:dyDescent="0.25">
      <c r="A559" s="98">
        <v>1.97330134009873</v>
      </c>
      <c r="B559">
        <v>6.91</v>
      </c>
      <c r="C559">
        <v>0</v>
      </c>
    </row>
    <row r="560" spans="1:3" x14ac:dyDescent="0.25">
      <c r="A560" s="98">
        <v>1.9768461181830399</v>
      </c>
      <c r="B560">
        <v>9.0299999999999994</v>
      </c>
      <c r="C560">
        <v>8.6300000000000008</v>
      </c>
    </row>
    <row r="561" spans="1:3" x14ac:dyDescent="0.25">
      <c r="A561" s="98">
        <v>1.9803884965346901</v>
      </c>
      <c r="B561">
        <v>9.7200000000000006</v>
      </c>
      <c r="C561">
        <v>8.8000000000000007</v>
      </c>
    </row>
    <row r="562" spans="1:3" x14ac:dyDescent="0.25">
      <c r="A562" s="98">
        <v>1.98393284917429</v>
      </c>
      <c r="B562">
        <v>9.3000000000000007</v>
      </c>
      <c r="C562">
        <v>9.0399999999999991</v>
      </c>
    </row>
    <row r="563" spans="1:3" x14ac:dyDescent="0.25">
      <c r="A563" s="98">
        <v>1.9874756819616799</v>
      </c>
      <c r="B563">
        <v>9.1300000000000008</v>
      </c>
      <c r="C563">
        <v>9.64</v>
      </c>
    </row>
    <row r="564" spans="1:3" x14ac:dyDescent="0.25">
      <c r="A564" s="98">
        <v>1.9910175710640501</v>
      </c>
      <c r="B564">
        <v>10.050000000000001</v>
      </c>
      <c r="C564">
        <v>9.33</v>
      </c>
    </row>
    <row r="565" spans="1:3" x14ac:dyDescent="0.25">
      <c r="A565" s="98">
        <v>1.9945614284056199</v>
      </c>
      <c r="B565">
        <v>9.34</v>
      </c>
      <c r="C565">
        <v>9.2899999999999991</v>
      </c>
    </row>
    <row r="566" spans="1:3" x14ac:dyDescent="0.25">
      <c r="A566" s="98">
        <v>1.9981058887475001</v>
      </c>
      <c r="B566">
        <v>9.49</v>
      </c>
      <c r="C566">
        <v>9.6999999999999993</v>
      </c>
    </row>
    <row r="567" spans="1:3" x14ac:dyDescent="0.25">
      <c r="A567" s="98">
        <v>2.0016483749118099</v>
      </c>
      <c r="B567">
        <v>9.81</v>
      </c>
      <c r="C567">
        <v>9.3699999999999992</v>
      </c>
    </row>
    <row r="568" spans="1:3" x14ac:dyDescent="0.25">
      <c r="A568" s="98">
        <v>2.0051935411548101</v>
      </c>
      <c r="B568">
        <v>9.7799999999999994</v>
      </c>
      <c r="C568">
        <v>9.17</v>
      </c>
    </row>
    <row r="569" spans="1:3" x14ac:dyDescent="0.25">
      <c r="A569" s="98">
        <v>2.0087361489953799</v>
      </c>
      <c r="B569">
        <v>9.99</v>
      </c>
      <c r="C569">
        <v>9.6199999999999992</v>
      </c>
    </row>
    <row r="570" spans="1:3" x14ac:dyDescent="0.25">
      <c r="A570" s="98">
        <v>2.0122790843137901</v>
      </c>
      <c r="B570">
        <v>10.34</v>
      </c>
      <c r="C570">
        <v>9.3000000000000007</v>
      </c>
    </row>
    <row r="571" spans="1:3" x14ac:dyDescent="0.25">
      <c r="A571" s="98">
        <v>2.0158232368308</v>
      </c>
      <c r="B571">
        <v>9.75</v>
      </c>
      <c r="C571">
        <v>9.81</v>
      </c>
    </row>
    <row r="572" spans="1:3" x14ac:dyDescent="0.25">
      <c r="A572" s="98">
        <v>2.0193655014810701</v>
      </c>
      <c r="B572">
        <v>10.01</v>
      </c>
      <c r="C572">
        <v>9.48</v>
      </c>
    </row>
    <row r="573" spans="1:3" x14ac:dyDescent="0.25">
      <c r="A573" s="98">
        <v>2.0229073732870502</v>
      </c>
      <c r="B573">
        <v>10.220000000000001</v>
      </c>
      <c r="C573">
        <v>9.42</v>
      </c>
    </row>
    <row r="574" spans="1:3" x14ac:dyDescent="0.25">
      <c r="A574" s="98">
        <v>2.0264506144600798</v>
      </c>
      <c r="B574">
        <v>10.050000000000001</v>
      </c>
      <c r="C574">
        <v>9.44</v>
      </c>
    </row>
    <row r="575" spans="1:3" x14ac:dyDescent="0.25">
      <c r="A575" s="98">
        <v>2.0299929893403101</v>
      </c>
      <c r="B575">
        <v>9.3699999999999992</v>
      </c>
      <c r="C575">
        <v>9.5299999999999994</v>
      </c>
    </row>
    <row r="576" spans="1:3" x14ac:dyDescent="0.25">
      <c r="A576" s="98">
        <v>2.0335364247196202</v>
      </c>
      <c r="B576">
        <v>9.83</v>
      </c>
      <c r="C576">
        <v>9.9499999999999993</v>
      </c>
    </row>
    <row r="577" spans="1:3" x14ac:dyDescent="0.25">
      <c r="A577" s="98">
        <v>2.0370789271813798</v>
      </c>
      <c r="B577">
        <v>10.18</v>
      </c>
      <c r="C577">
        <v>9.85</v>
      </c>
    </row>
    <row r="578" spans="1:3" x14ac:dyDescent="0.25">
      <c r="A578" s="98">
        <v>2.0406230367112999</v>
      </c>
      <c r="B578">
        <v>10.02</v>
      </c>
      <c r="C578">
        <v>9.61</v>
      </c>
    </row>
    <row r="579" spans="1:3" x14ac:dyDescent="0.25">
      <c r="A579" s="98">
        <v>2.0441692864342902</v>
      </c>
      <c r="B579">
        <v>9.4499999999999993</v>
      </c>
      <c r="C579">
        <v>9.77</v>
      </c>
    </row>
    <row r="580" spans="1:3" x14ac:dyDescent="0.25">
      <c r="A580" s="98">
        <v>2.0477114110246801</v>
      </c>
      <c r="B580">
        <v>10.19</v>
      </c>
      <c r="C580">
        <v>9.82</v>
      </c>
    </row>
    <row r="581" spans="1:3" x14ac:dyDescent="0.25">
      <c r="A581" s="98">
        <v>2.0512530126891702</v>
      </c>
      <c r="B581">
        <v>9.4700000000000006</v>
      </c>
      <c r="C581">
        <v>9.98</v>
      </c>
    </row>
    <row r="582" spans="1:3" x14ac:dyDescent="0.25">
      <c r="A582" s="98">
        <v>2.0547949358324198</v>
      </c>
      <c r="B582">
        <v>10.09</v>
      </c>
      <c r="C582">
        <v>9.7200000000000006</v>
      </c>
    </row>
    <row r="583" spans="1:3" x14ac:dyDescent="0.25">
      <c r="A583" s="98">
        <v>2.0583399801287299</v>
      </c>
      <c r="B583">
        <v>10.24</v>
      </c>
      <c r="C583">
        <v>9.69</v>
      </c>
    </row>
    <row r="584" spans="1:3" x14ac:dyDescent="0.25">
      <c r="A584" s="98">
        <v>2.06188225818453</v>
      </c>
      <c r="B584">
        <v>10.08</v>
      </c>
      <c r="C584">
        <v>9.8800000000000008</v>
      </c>
    </row>
    <row r="585" spans="1:3" x14ac:dyDescent="0.25">
      <c r="A585" s="98">
        <v>2.0654247280237801</v>
      </c>
      <c r="B585">
        <v>10.16</v>
      </c>
      <c r="C585">
        <v>9.83</v>
      </c>
    </row>
    <row r="586" spans="1:3" x14ac:dyDescent="0.25">
      <c r="A586" s="98">
        <v>2.06897001236677</v>
      </c>
      <c r="B586">
        <v>10.3</v>
      </c>
      <c r="C586">
        <v>9.84</v>
      </c>
    </row>
    <row r="587" spans="1:3" x14ac:dyDescent="0.25">
      <c r="A587" s="98">
        <v>2.0725126627087498</v>
      </c>
      <c r="B587">
        <v>9.9600000000000009</v>
      </c>
      <c r="C587">
        <v>10.220000000000001</v>
      </c>
    </row>
    <row r="588" spans="1:3" x14ac:dyDescent="0.25">
      <c r="A588" s="98">
        <v>2.0760553112294899</v>
      </c>
      <c r="B588">
        <v>10.6</v>
      </c>
      <c r="C588">
        <v>10.02</v>
      </c>
    </row>
    <row r="589" spans="1:3" x14ac:dyDescent="0.25">
      <c r="A589" s="98">
        <v>2.0795965441895801</v>
      </c>
      <c r="B589">
        <v>10.19</v>
      </c>
      <c r="C589">
        <v>9.92</v>
      </c>
    </row>
    <row r="590" spans="1:3" x14ac:dyDescent="0.25">
      <c r="A590" s="98">
        <v>2.0831402866542299</v>
      </c>
      <c r="B590">
        <v>9.76</v>
      </c>
      <c r="C590">
        <v>9.77</v>
      </c>
    </row>
    <row r="591" spans="1:3" x14ac:dyDescent="0.25">
      <c r="A591" s="98">
        <v>2.08668197369134</v>
      </c>
      <c r="B591">
        <v>10.16</v>
      </c>
      <c r="C591">
        <v>9.5500000000000007</v>
      </c>
    </row>
    <row r="592" spans="1:3" x14ac:dyDescent="0.25">
      <c r="A592" s="98">
        <v>2.09022572872815</v>
      </c>
      <c r="B592">
        <v>10.06</v>
      </c>
      <c r="C592">
        <v>10.199999999999999</v>
      </c>
    </row>
    <row r="593" spans="1:3" x14ac:dyDescent="0.25">
      <c r="A593" s="98">
        <v>2.0937662583755099</v>
      </c>
      <c r="B593">
        <v>9.33</v>
      </c>
      <c r="C593">
        <v>9.33</v>
      </c>
    </row>
    <row r="594" spans="1:3" x14ac:dyDescent="0.25">
      <c r="A594" s="98">
        <v>2.09730817707048</v>
      </c>
      <c r="B594">
        <v>10.33</v>
      </c>
      <c r="C594">
        <v>9.41</v>
      </c>
    </row>
    <row r="595" spans="1:3" x14ac:dyDescent="0.25">
      <c r="A595" s="98">
        <v>2.1008513377275699</v>
      </c>
      <c r="B595">
        <v>9.74</v>
      </c>
      <c r="C595">
        <v>9.6999999999999993</v>
      </c>
    </row>
    <row r="596" spans="1:3" x14ac:dyDescent="0.25">
      <c r="A596" s="98">
        <v>2.1043937242031099</v>
      </c>
      <c r="B596">
        <v>9.93</v>
      </c>
      <c r="C596">
        <v>9.86</v>
      </c>
    </row>
    <row r="597" spans="1:3" x14ac:dyDescent="0.25">
      <c r="A597" s="98">
        <v>2.1079362330999598</v>
      </c>
      <c r="B597">
        <v>9.9600000000000009</v>
      </c>
      <c r="C597">
        <v>9.6</v>
      </c>
    </row>
    <row r="598" spans="1:3" x14ac:dyDescent="0.25">
      <c r="A598" s="98">
        <v>2.1114798614051602</v>
      </c>
      <c r="B598">
        <v>9.6199999999999992</v>
      </c>
      <c r="C598">
        <v>9.7200000000000006</v>
      </c>
    </row>
    <row r="599" spans="1:3" x14ac:dyDescent="0.25">
      <c r="A599" s="98">
        <v>2.11502298323092</v>
      </c>
      <c r="B599">
        <v>9.94</v>
      </c>
      <c r="C599">
        <v>9.66</v>
      </c>
    </row>
    <row r="600" spans="1:3" x14ac:dyDescent="0.25">
      <c r="A600" s="98">
        <v>2.1185683801383801</v>
      </c>
      <c r="B600">
        <v>10.32</v>
      </c>
      <c r="C600">
        <v>9.51</v>
      </c>
    </row>
    <row r="601" spans="1:3" x14ac:dyDescent="0.25">
      <c r="A601" s="98">
        <v>2.1221098802376601</v>
      </c>
      <c r="B601">
        <v>10.039999999999999</v>
      </c>
      <c r="C601">
        <v>9.89</v>
      </c>
    </row>
    <row r="602" spans="1:3" x14ac:dyDescent="0.25">
      <c r="A602" s="98">
        <v>2.1256526863409402</v>
      </c>
      <c r="B602">
        <v>9.5500000000000007</v>
      </c>
      <c r="C602">
        <v>9.8699999999999992</v>
      </c>
    </row>
    <row r="603" spans="1:3" x14ac:dyDescent="0.25">
      <c r="A603" s="98">
        <v>2.1291953945877302</v>
      </c>
      <c r="B603">
        <v>10.15</v>
      </c>
      <c r="C603">
        <v>10</v>
      </c>
    </row>
    <row r="604" spans="1:3" x14ac:dyDescent="0.25">
      <c r="A604" s="98">
        <v>2.1327380514255201</v>
      </c>
      <c r="B604">
        <v>9.8000000000000007</v>
      </c>
      <c r="C604">
        <v>9.67</v>
      </c>
    </row>
    <row r="605" spans="1:3" x14ac:dyDescent="0.25">
      <c r="A605" s="98">
        <v>2.13627964828301</v>
      </c>
      <c r="B605">
        <v>10.38</v>
      </c>
      <c r="C605">
        <v>9.6</v>
      </c>
    </row>
    <row r="606" spans="1:3" x14ac:dyDescent="0.25">
      <c r="A606" s="98">
        <v>2.1398222162381302</v>
      </c>
      <c r="B606">
        <v>9.65</v>
      </c>
      <c r="C606">
        <v>10.16</v>
      </c>
    </row>
    <row r="607" spans="1:3" x14ac:dyDescent="0.25">
      <c r="A607" s="98">
        <v>2.1433652231538698</v>
      </c>
      <c r="B607">
        <v>10.02</v>
      </c>
      <c r="C607">
        <v>10</v>
      </c>
    </row>
    <row r="608" spans="1:3" x14ac:dyDescent="0.25">
      <c r="A608" s="98">
        <v>2.1469078703886901</v>
      </c>
      <c r="B608">
        <v>10.08</v>
      </c>
      <c r="C608">
        <v>9.61</v>
      </c>
    </row>
    <row r="609" spans="1:3" x14ac:dyDescent="0.25">
      <c r="A609" s="98">
        <v>2.15045085384889</v>
      </c>
      <c r="B609">
        <v>9.89</v>
      </c>
      <c r="C609">
        <v>9.6</v>
      </c>
    </row>
    <row r="610" spans="1:3" x14ac:dyDescent="0.25">
      <c r="A610" s="98">
        <v>2.1539951390138299</v>
      </c>
      <c r="B610">
        <v>10.220000000000001</v>
      </c>
      <c r="C610">
        <v>9.48</v>
      </c>
    </row>
    <row r="611" spans="1:3" x14ac:dyDescent="0.25">
      <c r="A611" s="98">
        <v>2.1575389054141598</v>
      </c>
      <c r="B611">
        <v>10.37</v>
      </c>
      <c r="C611">
        <v>10.06</v>
      </c>
    </row>
    <row r="612" spans="1:3" x14ac:dyDescent="0.25">
      <c r="A612" s="98">
        <v>2.1610823814074198</v>
      </c>
      <c r="B612">
        <v>10.52</v>
      </c>
      <c r="C612">
        <v>10.15</v>
      </c>
    </row>
    <row r="613" spans="1:3" x14ac:dyDescent="0.25">
      <c r="A613" s="98">
        <v>2.1646252914876798</v>
      </c>
      <c r="B613">
        <v>9.7799999999999994</v>
      </c>
      <c r="C613">
        <v>10.14</v>
      </c>
    </row>
    <row r="614" spans="1:3" x14ac:dyDescent="0.25">
      <c r="A614" s="98">
        <v>2.1681667177544699</v>
      </c>
      <c r="B614">
        <v>9.76</v>
      </c>
      <c r="C614">
        <v>9.82</v>
      </c>
    </row>
    <row r="615" spans="1:3" x14ac:dyDescent="0.25">
      <c r="A615" s="98">
        <v>2.17171173689542</v>
      </c>
      <c r="B615">
        <v>10.32</v>
      </c>
      <c r="C615">
        <v>10.029999999999999</v>
      </c>
    </row>
    <row r="616" spans="1:3" x14ac:dyDescent="0.25">
      <c r="A616" s="98">
        <v>2.1752537563387899</v>
      </c>
      <c r="B616">
        <v>9.98</v>
      </c>
      <c r="C616">
        <v>9.6999999999999993</v>
      </c>
    </row>
    <row r="617" spans="1:3" x14ac:dyDescent="0.25">
      <c r="A617" s="98">
        <v>2.1787972962745901</v>
      </c>
      <c r="B617">
        <v>10.48</v>
      </c>
      <c r="C617">
        <v>10.09</v>
      </c>
    </row>
    <row r="618" spans="1:3" x14ac:dyDescent="0.25">
      <c r="A618" s="98">
        <v>2.1823400142843998</v>
      </c>
      <c r="B618">
        <v>10.210000000000001</v>
      </c>
      <c r="C618">
        <v>9.9700000000000006</v>
      </c>
    </row>
    <row r="619" spans="1:3" x14ac:dyDescent="0.25">
      <c r="A619" s="98">
        <v>2.18588381965403</v>
      </c>
      <c r="B619">
        <v>10.25</v>
      </c>
      <c r="C619">
        <v>9.98</v>
      </c>
    </row>
    <row r="620" spans="1:3" x14ac:dyDescent="0.25">
      <c r="A620" s="98">
        <v>2.1894276482363502</v>
      </c>
      <c r="B620">
        <v>9.75</v>
      </c>
      <c r="C620">
        <v>9.8000000000000007</v>
      </c>
    </row>
    <row r="621" spans="1:3" x14ac:dyDescent="0.25">
      <c r="A621" s="98">
        <v>2.1929696621718202</v>
      </c>
      <c r="B621">
        <v>10.45</v>
      </c>
      <c r="C621">
        <v>9.91</v>
      </c>
    </row>
    <row r="622" spans="1:3" x14ac:dyDescent="0.25">
      <c r="A622" s="98">
        <v>2.1965133562739201</v>
      </c>
      <c r="B622">
        <v>10.47</v>
      </c>
      <c r="C622">
        <v>9.7100000000000009</v>
      </c>
    </row>
    <row r="623" spans="1:3" x14ac:dyDescent="0.25">
      <c r="A623" s="98">
        <v>2.2000547686274401</v>
      </c>
      <c r="B623">
        <v>10.36</v>
      </c>
      <c r="C623">
        <v>10.1</v>
      </c>
    </row>
    <row r="624" spans="1:3" x14ac:dyDescent="0.25">
      <c r="A624" s="98">
        <v>2.20359834512626</v>
      </c>
      <c r="B624">
        <v>9.94</v>
      </c>
      <c r="C624">
        <v>9.69</v>
      </c>
    </row>
    <row r="625" spans="1:3" x14ac:dyDescent="0.25">
      <c r="A625" s="98">
        <v>2.2071400280738298</v>
      </c>
      <c r="B625">
        <v>9.94</v>
      </c>
      <c r="C625">
        <v>10</v>
      </c>
    </row>
    <row r="626" spans="1:3" x14ac:dyDescent="0.25">
      <c r="A626" s="98">
        <v>2.2106837252941398</v>
      </c>
      <c r="B626">
        <v>10.119999999999999</v>
      </c>
      <c r="C626">
        <v>9.61</v>
      </c>
    </row>
    <row r="627" spans="1:3" x14ac:dyDescent="0.25">
      <c r="A627" s="98">
        <v>2.21422618355464</v>
      </c>
      <c r="B627">
        <v>10.48</v>
      </c>
      <c r="C627">
        <v>9.89</v>
      </c>
    </row>
    <row r="628" spans="1:3" x14ac:dyDescent="0.25">
      <c r="A628" s="98">
        <v>2.21776813250449</v>
      </c>
      <c r="B628">
        <v>10.4</v>
      </c>
      <c r="C628">
        <v>9.76</v>
      </c>
    </row>
    <row r="629" spans="1:3" x14ac:dyDescent="0.25">
      <c r="A629" s="98">
        <v>2.2213120752297</v>
      </c>
      <c r="B629">
        <v>10.25</v>
      </c>
      <c r="C629">
        <v>9.49</v>
      </c>
    </row>
    <row r="630" spans="1:3" x14ac:dyDescent="0.25">
      <c r="A630" s="98">
        <v>2.2248561786059899</v>
      </c>
      <c r="B630">
        <v>9.8699999999999992</v>
      </c>
      <c r="C630">
        <v>9.6999999999999993</v>
      </c>
    </row>
    <row r="631" spans="1:3" x14ac:dyDescent="0.25">
      <c r="A631" s="98">
        <v>2.2283977440551399</v>
      </c>
      <c r="B631">
        <v>10.26</v>
      </c>
      <c r="C631">
        <v>9.9600000000000009</v>
      </c>
    </row>
    <row r="632" spans="1:3" x14ac:dyDescent="0.25">
      <c r="A632" s="98">
        <v>2.2319416461167498</v>
      </c>
      <c r="B632">
        <v>10.16</v>
      </c>
      <c r="C632">
        <v>9.7100000000000009</v>
      </c>
    </row>
    <row r="633" spans="1:3" x14ac:dyDescent="0.25">
      <c r="A633" s="98">
        <v>2.2354847019579598</v>
      </c>
      <c r="B633">
        <v>9.6300000000000008</v>
      </c>
      <c r="C633">
        <v>9.66</v>
      </c>
    </row>
    <row r="634" spans="1:3" x14ac:dyDescent="0.25">
      <c r="A634" s="98">
        <v>2.2390285610048801</v>
      </c>
      <c r="B634">
        <v>9.5299999999999994</v>
      </c>
      <c r="C634">
        <v>9.74</v>
      </c>
    </row>
    <row r="635" spans="1:3" x14ac:dyDescent="0.25">
      <c r="A635" s="98">
        <v>2.2425724462833601</v>
      </c>
      <c r="B635">
        <v>10.32</v>
      </c>
      <c r="C635">
        <v>9.9499999999999993</v>
      </c>
    </row>
    <row r="636" spans="1:3" x14ac:dyDescent="0.25">
      <c r="A636" s="98">
        <v>2.2461165067111999</v>
      </c>
      <c r="B636">
        <v>9.9600000000000009</v>
      </c>
      <c r="C636">
        <v>9.4600000000000009</v>
      </c>
    </row>
    <row r="637" spans="1:3" x14ac:dyDescent="0.25">
      <c r="A637" s="98">
        <v>2.2496586694430398</v>
      </c>
      <c r="B637">
        <v>9.69</v>
      </c>
      <c r="C637">
        <v>9.84</v>
      </c>
    </row>
    <row r="638" spans="1:3" x14ac:dyDescent="0.25">
      <c r="A638" s="98">
        <v>2.2532027376194801</v>
      </c>
      <c r="B638">
        <v>10.37</v>
      </c>
      <c r="C638">
        <v>10.1</v>
      </c>
    </row>
    <row r="639" spans="1:3" x14ac:dyDescent="0.25">
      <c r="A639" s="98">
        <v>2.2567457092305001</v>
      </c>
      <c r="B639">
        <v>10.33</v>
      </c>
      <c r="C639">
        <v>10.08</v>
      </c>
    </row>
    <row r="640" spans="1:3" x14ac:dyDescent="0.25">
      <c r="A640" s="98">
        <v>2.26028955450764</v>
      </c>
      <c r="B640">
        <v>9.9600000000000009</v>
      </c>
      <c r="C640">
        <v>9.7200000000000006</v>
      </c>
    </row>
    <row r="641" spans="1:3" x14ac:dyDescent="0.25">
      <c r="A641" s="98">
        <v>2.2638313290531902</v>
      </c>
      <c r="B641">
        <v>10.68</v>
      </c>
      <c r="C641">
        <v>9.7200000000000006</v>
      </c>
    </row>
    <row r="642" spans="1:3" x14ac:dyDescent="0.25">
      <c r="A642" s="98">
        <v>2.2673739796269801</v>
      </c>
      <c r="B642">
        <v>10.34</v>
      </c>
      <c r="C642">
        <v>9.7899999999999991</v>
      </c>
    </row>
    <row r="643" spans="1:3" x14ac:dyDescent="0.25">
      <c r="A643" s="98">
        <v>2.2709179282685099</v>
      </c>
      <c r="B643">
        <v>9.6300000000000008</v>
      </c>
      <c r="C643">
        <v>9.7799999999999994</v>
      </c>
    </row>
    <row r="644" spans="1:3" x14ac:dyDescent="0.25">
      <c r="A644" s="98">
        <v>2.27446360671961</v>
      </c>
      <c r="B644">
        <v>10</v>
      </c>
      <c r="C644">
        <v>9.5500000000000007</v>
      </c>
    </row>
    <row r="645" spans="1:3" x14ac:dyDescent="0.25">
      <c r="A645" s="98">
        <v>2.2780075220542901</v>
      </c>
      <c r="B645">
        <v>9.7200000000000006</v>
      </c>
      <c r="C645">
        <v>9.82</v>
      </c>
    </row>
    <row r="646" spans="1:3" x14ac:dyDescent="0.25">
      <c r="A646" s="98">
        <v>2.2815509603586399</v>
      </c>
      <c r="B646">
        <v>9.5500000000000007</v>
      </c>
      <c r="C646">
        <v>9.8800000000000008</v>
      </c>
    </row>
    <row r="647" spans="1:3" x14ac:dyDescent="0.25">
      <c r="A647" s="98">
        <v>2.2850938085990902</v>
      </c>
      <c r="B647">
        <v>10.14</v>
      </c>
      <c r="C647">
        <v>10.06</v>
      </c>
    </row>
    <row r="648" spans="1:3" x14ac:dyDescent="0.25">
      <c r="A648" s="98">
        <v>2.28863686388841</v>
      </c>
      <c r="B648">
        <v>10.029999999999999</v>
      </c>
      <c r="C648">
        <v>9.75</v>
      </c>
    </row>
    <row r="649" spans="1:3" x14ac:dyDescent="0.25">
      <c r="A649" s="98">
        <v>2.2921809704160201</v>
      </c>
      <c r="B649">
        <v>9.31</v>
      </c>
      <c r="C649">
        <v>10.1</v>
      </c>
    </row>
    <row r="650" spans="1:3" x14ac:dyDescent="0.25">
      <c r="A650" s="98">
        <v>2.2957248823289498</v>
      </c>
      <c r="B650">
        <v>10.31</v>
      </c>
      <c r="C650">
        <v>10.06</v>
      </c>
    </row>
    <row r="651" spans="1:3" x14ac:dyDescent="0.25">
      <c r="A651" s="98">
        <v>2.29926658835124</v>
      </c>
      <c r="B651">
        <v>9.9700000000000006</v>
      </c>
      <c r="C651">
        <v>9.98</v>
      </c>
    </row>
    <row r="652" spans="1:3" x14ac:dyDescent="0.25">
      <c r="A652" s="98">
        <v>2.3028109486069899</v>
      </c>
      <c r="B652">
        <v>10.4</v>
      </c>
      <c r="C652">
        <v>9.93</v>
      </c>
    </row>
    <row r="653" spans="1:3" x14ac:dyDescent="0.25">
      <c r="A653" s="98">
        <v>2.30635356573594</v>
      </c>
      <c r="B653">
        <v>10.43</v>
      </c>
      <c r="C653">
        <v>9.9600000000000009</v>
      </c>
    </row>
    <row r="654" spans="1:3" x14ac:dyDescent="0.25">
      <c r="A654" s="98">
        <v>2.3098957542468002</v>
      </c>
      <c r="B654">
        <v>10.78</v>
      </c>
      <c r="C654">
        <v>9.7200000000000006</v>
      </c>
    </row>
    <row r="655" spans="1:3" x14ac:dyDescent="0.25">
      <c r="A655" s="98">
        <v>2.31343953059779</v>
      </c>
      <c r="B655">
        <v>9.8699999999999992</v>
      </c>
      <c r="C655">
        <v>10.1</v>
      </c>
    </row>
    <row r="656" spans="1:3" x14ac:dyDescent="0.25">
      <c r="A656" s="98">
        <v>2.3169825957770702</v>
      </c>
      <c r="B656">
        <v>9.82</v>
      </c>
      <c r="C656">
        <v>9.9600000000000009</v>
      </c>
    </row>
    <row r="657" spans="1:3" x14ac:dyDescent="0.25">
      <c r="A657" s="98">
        <v>2.3205253640258698</v>
      </c>
      <c r="B657">
        <v>9.98</v>
      </c>
      <c r="C657">
        <v>10.050000000000001</v>
      </c>
    </row>
    <row r="658" spans="1:3" x14ac:dyDescent="0.25">
      <c r="A658" s="98">
        <v>2.3240678113147002</v>
      </c>
      <c r="B658">
        <v>10.45</v>
      </c>
      <c r="C658">
        <v>9.98</v>
      </c>
    </row>
    <row r="659" spans="1:3" x14ac:dyDescent="0.25">
      <c r="A659" s="98">
        <v>2.3276101433292502</v>
      </c>
      <c r="B659">
        <v>9.94</v>
      </c>
      <c r="C659">
        <v>9.6300000000000008</v>
      </c>
    </row>
    <row r="660" spans="1:3" x14ac:dyDescent="0.25">
      <c r="A660" s="98">
        <v>2.33115243316248</v>
      </c>
      <c r="B660">
        <v>9.85</v>
      </c>
      <c r="C660">
        <v>9.9700000000000006</v>
      </c>
    </row>
    <row r="661" spans="1:3" x14ac:dyDescent="0.25">
      <c r="A661" s="98">
        <v>2.3346947515893799</v>
      </c>
      <c r="B661">
        <v>10.27</v>
      </c>
      <c r="C661">
        <v>9.66</v>
      </c>
    </row>
    <row r="662" spans="1:3" x14ac:dyDescent="0.25">
      <c r="A662" s="98">
        <v>2.3382385620916302</v>
      </c>
      <c r="B662">
        <v>10.52</v>
      </c>
      <c r="C662">
        <v>9.8800000000000008</v>
      </c>
    </row>
    <row r="663" spans="1:3" x14ac:dyDescent="0.25">
      <c r="A663" s="98">
        <v>2.3417812860067202</v>
      </c>
      <c r="B663">
        <v>10.55</v>
      </c>
      <c r="C663">
        <v>10.47</v>
      </c>
    </row>
    <row r="664" spans="1:3" x14ac:dyDescent="0.25">
      <c r="A664" s="98">
        <v>2.3453249147755102</v>
      </c>
      <c r="B664">
        <v>10.26</v>
      </c>
      <c r="C664">
        <v>9.8699999999999992</v>
      </c>
    </row>
    <row r="665" spans="1:3" x14ac:dyDescent="0.25">
      <c r="A665" s="98">
        <v>2.3488675452934298</v>
      </c>
      <c r="B665">
        <v>10.53</v>
      </c>
      <c r="C665">
        <v>9.89</v>
      </c>
    </row>
    <row r="666" spans="1:3" x14ac:dyDescent="0.25">
      <c r="A666" s="98">
        <v>2.35240982736702</v>
      </c>
      <c r="B666">
        <v>9.76</v>
      </c>
      <c r="C666">
        <v>9.7899999999999991</v>
      </c>
    </row>
    <row r="667" spans="1:3" x14ac:dyDescent="0.25">
      <c r="A667" s="98">
        <v>2.3559513552486901</v>
      </c>
      <c r="B667">
        <v>9.48</v>
      </c>
      <c r="C667">
        <v>10.14</v>
      </c>
    </row>
    <row r="668" spans="1:3" x14ac:dyDescent="0.25">
      <c r="A668" s="98">
        <v>2.3594950832592101</v>
      </c>
      <c r="B668">
        <v>10.81</v>
      </c>
      <c r="C668">
        <v>9.9</v>
      </c>
    </row>
    <row r="669" spans="1:3" x14ac:dyDescent="0.25">
      <c r="A669" s="98">
        <v>2.3630395272925999</v>
      </c>
      <c r="B669">
        <v>10.51</v>
      </c>
      <c r="C669">
        <v>10.15</v>
      </c>
    </row>
    <row r="670" spans="1:3" x14ac:dyDescent="0.25">
      <c r="A670" s="98">
        <v>2.36658272162631</v>
      </c>
      <c r="B670">
        <v>10.19</v>
      </c>
      <c r="C670">
        <v>10.08</v>
      </c>
    </row>
    <row r="671" spans="1:3" x14ac:dyDescent="0.25">
      <c r="A671" s="98">
        <v>2.3701250166363099</v>
      </c>
      <c r="B671">
        <v>10.039999999999999</v>
      </c>
      <c r="C671">
        <v>10.1</v>
      </c>
    </row>
    <row r="672" spans="1:3" x14ac:dyDescent="0.25">
      <c r="A672" s="98">
        <v>2.37366987257092</v>
      </c>
      <c r="B672">
        <v>9.6</v>
      </c>
      <c r="C672">
        <v>9.8699999999999992</v>
      </c>
    </row>
    <row r="673" spans="1:3" x14ac:dyDescent="0.25">
      <c r="A673" s="98">
        <v>2.3772109975527802</v>
      </c>
      <c r="B673">
        <v>10.62</v>
      </c>
      <c r="C673">
        <v>9.98</v>
      </c>
    </row>
    <row r="674" spans="1:3" x14ac:dyDescent="0.25">
      <c r="A674" s="98">
        <v>2.38075268404351</v>
      </c>
      <c r="B674">
        <v>9.73</v>
      </c>
      <c r="C674">
        <v>9.92</v>
      </c>
    </row>
    <row r="675" spans="1:3" x14ac:dyDescent="0.25">
      <c r="A675" s="98">
        <v>2.3842952814256702</v>
      </c>
      <c r="B675">
        <v>9.85</v>
      </c>
      <c r="C675">
        <v>9.57</v>
      </c>
    </row>
    <row r="676" spans="1:3" x14ac:dyDescent="0.25">
      <c r="A676" s="98">
        <v>2.3878371108240501</v>
      </c>
      <c r="B676">
        <v>9.8800000000000008</v>
      </c>
      <c r="C676">
        <v>9.82</v>
      </c>
    </row>
    <row r="677" spans="1:3" x14ac:dyDescent="0.25">
      <c r="A677" s="98">
        <v>2.3913809083126201</v>
      </c>
      <c r="B677">
        <v>9.75</v>
      </c>
      <c r="C677">
        <v>9.9</v>
      </c>
    </row>
    <row r="678" spans="1:3" x14ac:dyDescent="0.25">
      <c r="A678" s="98">
        <v>2.3949226011998102</v>
      </c>
      <c r="B678">
        <v>10.15</v>
      </c>
      <c r="C678">
        <v>9.8000000000000007</v>
      </c>
    </row>
    <row r="679" spans="1:3" x14ac:dyDescent="0.25">
      <c r="A679" s="98">
        <v>2.39846642827546</v>
      </c>
      <c r="B679">
        <v>10.23</v>
      </c>
      <c r="C679">
        <v>9.89</v>
      </c>
    </row>
    <row r="680" spans="1:3" x14ac:dyDescent="0.25">
      <c r="A680" s="98">
        <v>2.40200814198012</v>
      </c>
      <c r="B680">
        <v>10</v>
      </c>
      <c r="C680">
        <v>9.64</v>
      </c>
    </row>
    <row r="681" spans="1:3" x14ac:dyDescent="0.25">
      <c r="A681" s="98">
        <v>2.4055522479061699</v>
      </c>
      <c r="B681">
        <v>9.39</v>
      </c>
      <c r="C681">
        <v>9.4600000000000009</v>
      </c>
    </row>
    <row r="682" spans="1:3" x14ac:dyDescent="0.25">
      <c r="A682" s="98">
        <v>2.4090940397757001</v>
      </c>
      <c r="B682">
        <v>10.06</v>
      </c>
      <c r="C682">
        <v>9.77</v>
      </c>
    </row>
    <row r="683" spans="1:3" x14ac:dyDescent="0.25">
      <c r="A683" s="98">
        <v>2.4126376482678702</v>
      </c>
      <c r="B683">
        <v>10.78</v>
      </c>
      <c r="C683">
        <v>9.6</v>
      </c>
    </row>
    <row r="684" spans="1:3" x14ac:dyDescent="0.25">
      <c r="A684" s="98">
        <v>2.41618151027295</v>
      </c>
      <c r="B684">
        <v>9.7899999999999991</v>
      </c>
      <c r="C684">
        <v>10.01</v>
      </c>
    </row>
    <row r="685" spans="1:3" x14ac:dyDescent="0.25">
      <c r="A685" s="98">
        <v>2.4197241320874898</v>
      </c>
      <c r="B685">
        <v>9.85</v>
      </c>
      <c r="C685">
        <v>9.94</v>
      </c>
    </row>
    <row r="686" spans="1:3" x14ac:dyDescent="0.25">
      <c r="A686" s="98">
        <v>2.4232673329777099</v>
      </c>
      <c r="B686">
        <v>10.050000000000001</v>
      </c>
      <c r="C686">
        <v>9.9600000000000009</v>
      </c>
    </row>
    <row r="687" spans="1:3" x14ac:dyDescent="0.25">
      <c r="A687" s="98">
        <v>2.4268102718503299</v>
      </c>
      <c r="B687">
        <v>9.77</v>
      </c>
      <c r="C687">
        <v>10.08</v>
      </c>
    </row>
    <row r="688" spans="1:3" x14ac:dyDescent="0.25">
      <c r="A688" s="98">
        <v>2.4303526992268001</v>
      </c>
      <c r="B688">
        <v>10.4</v>
      </c>
      <c r="C688">
        <v>9.6199999999999992</v>
      </c>
    </row>
    <row r="689" spans="1:3" x14ac:dyDescent="0.25">
      <c r="A689" s="98">
        <v>2.4338964788394901</v>
      </c>
      <c r="B689">
        <v>9.6300000000000008</v>
      </c>
      <c r="C689">
        <v>9.7899999999999991</v>
      </c>
    </row>
    <row r="690" spans="1:3" x14ac:dyDescent="0.25">
      <c r="A690" s="98">
        <v>2.4374383366549401</v>
      </c>
      <c r="B690">
        <v>9.83</v>
      </c>
      <c r="C690">
        <v>9.99</v>
      </c>
    </row>
    <row r="691" spans="1:3" x14ac:dyDescent="0.25">
      <c r="A691" s="98">
        <v>2.4409811851271801</v>
      </c>
      <c r="B691">
        <v>9.91</v>
      </c>
      <c r="C691">
        <v>9.76</v>
      </c>
    </row>
    <row r="692" spans="1:3" x14ac:dyDescent="0.25">
      <c r="A692" s="98">
        <v>2.4445255057017001</v>
      </c>
      <c r="B692">
        <v>10.06</v>
      </c>
      <c r="C692">
        <v>9.86</v>
      </c>
    </row>
    <row r="693" spans="1:3" x14ac:dyDescent="0.25">
      <c r="A693" s="98">
        <v>2.44806915379232</v>
      </c>
      <c r="B693">
        <v>10.35</v>
      </c>
      <c r="C693">
        <v>9.76</v>
      </c>
    </row>
    <row r="694" spans="1:3" x14ac:dyDescent="0.25">
      <c r="A694" s="98">
        <v>2.45161292175451</v>
      </c>
      <c r="B694">
        <v>10.11</v>
      </c>
      <c r="C694">
        <v>9.39</v>
      </c>
    </row>
    <row r="695" spans="1:3" x14ac:dyDescent="0.25">
      <c r="A695" s="98">
        <v>2.4551569902289798</v>
      </c>
      <c r="B695">
        <v>10.039999999999999</v>
      </c>
      <c r="C695">
        <v>9.94</v>
      </c>
    </row>
    <row r="696" spans="1:3" x14ac:dyDescent="0.25">
      <c r="A696" s="98">
        <v>2.4586989064956102</v>
      </c>
      <c r="B696">
        <v>10.07</v>
      </c>
      <c r="C696">
        <v>9.85</v>
      </c>
    </row>
    <row r="697" spans="1:3" x14ac:dyDescent="0.25">
      <c r="A697" s="98">
        <v>2.46224413621204</v>
      </c>
      <c r="B697">
        <v>9.91</v>
      </c>
      <c r="C697">
        <v>9.8699999999999992</v>
      </c>
    </row>
    <row r="698" spans="1:3" x14ac:dyDescent="0.25">
      <c r="A698" s="98">
        <v>2.46578793846898</v>
      </c>
      <c r="B698">
        <v>10.46</v>
      </c>
      <c r="C698">
        <v>9.6999999999999993</v>
      </c>
    </row>
    <row r="699" spans="1:3" x14ac:dyDescent="0.25">
      <c r="A699" s="98">
        <v>2.4693314748395299</v>
      </c>
      <c r="B699">
        <v>10.24</v>
      </c>
      <c r="C699">
        <v>9.82</v>
      </c>
    </row>
    <row r="700" spans="1:3" x14ac:dyDescent="0.25">
      <c r="A700" s="98">
        <v>2.4728759195186401</v>
      </c>
      <c r="B700">
        <v>10.47</v>
      </c>
      <c r="C700">
        <v>9.7200000000000006</v>
      </c>
    </row>
    <row r="701" spans="1:3" x14ac:dyDescent="0.25">
      <c r="A701" s="98">
        <v>2.4764200041636202</v>
      </c>
      <c r="B701">
        <v>10.52</v>
      </c>
      <c r="C701">
        <v>9.6</v>
      </c>
    </row>
    <row r="702" spans="1:3" x14ac:dyDescent="0.25">
      <c r="A702" s="98">
        <v>2.4799609848470601</v>
      </c>
      <c r="B702">
        <v>10.36</v>
      </c>
      <c r="C702">
        <v>9.77</v>
      </c>
    </row>
    <row r="703" spans="1:3" x14ac:dyDescent="0.25">
      <c r="A703" s="98">
        <v>2.48350607633038</v>
      </c>
      <c r="B703">
        <v>10.52</v>
      </c>
      <c r="C703">
        <v>9.61</v>
      </c>
    </row>
    <row r="704" spans="1:3" x14ac:dyDescent="0.25">
      <c r="A704" s="98">
        <v>2.4870487586546801</v>
      </c>
      <c r="B704">
        <v>10.5</v>
      </c>
      <c r="C704">
        <v>9.7799999999999994</v>
      </c>
    </row>
    <row r="705" spans="1:3" x14ac:dyDescent="0.25">
      <c r="A705" s="98">
        <v>2.4905914499969302</v>
      </c>
      <c r="B705">
        <v>10.44</v>
      </c>
      <c r="C705">
        <v>9.7100000000000009</v>
      </c>
    </row>
    <row r="706" spans="1:3" x14ac:dyDescent="0.25">
      <c r="A706" s="98">
        <v>2.4941333168689801</v>
      </c>
      <c r="B706">
        <v>9.7799999999999994</v>
      </c>
      <c r="C706">
        <v>9.74</v>
      </c>
    </row>
    <row r="707" spans="1:3" x14ac:dyDescent="0.25">
      <c r="A707" s="98">
        <v>2.4976772376011902</v>
      </c>
      <c r="B707">
        <v>10.31</v>
      </c>
      <c r="C707">
        <v>9.84</v>
      </c>
    </row>
    <row r="708" spans="1:3" x14ac:dyDescent="0.25">
      <c r="A708" s="98">
        <v>2.5012188020348498</v>
      </c>
      <c r="B708">
        <v>10.16</v>
      </c>
      <c r="C708">
        <v>9.65</v>
      </c>
    </row>
    <row r="709" spans="1:3" x14ac:dyDescent="0.25">
      <c r="A709" s="98">
        <v>2.5047613381070102</v>
      </c>
      <c r="B709">
        <v>10.27</v>
      </c>
      <c r="C709">
        <v>10.130000000000001</v>
      </c>
    </row>
    <row r="710" spans="1:3" x14ac:dyDescent="0.25">
      <c r="A710" s="98">
        <v>2.5083030490797902</v>
      </c>
      <c r="B710">
        <v>9.6</v>
      </c>
      <c r="C710">
        <v>9.6</v>
      </c>
    </row>
    <row r="711" spans="1:3" x14ac:dyDescent="0.25">
      <c r="A711" s="98">
        <v>2.5118489222945901</v>
      </c>
      <c r="B711">
        <v>9.5299999999999994</v>
      </c>
      <c r="C711">
        <v>9.7799999999999994</v>
      </c>
    </row>
    <row r="712" spans="1:3" x14ac:dyDescent="0.25">
      <c r="A712" s="98">
        <v>2.5153918911847799</v>
      </c>
      <c r="B712">
        <v>10.38</v>
      </c>
      <c r="C712">
        <v>9.5500000000000007</v>
      </c>
    </row>
    <row r="713" spans="1:3" x14ac:dyDescent="0.25">
      <c r="A713" s="98">
        <v>2.5189358669519399</v>
      </c>
      <c r="B713">
        <v>10.39</v>
      </c>
      <c r="C713">
        <v>9.5299999999999994</v>
      </c>
    </row>
    <row r="714" spans="1:3" x14ac:dyDescent="0.25">
      <c r="A714" s="98">
        <v>2.5224787755089699</v>
      </c>
      <c r="B714">
        <v>9.68</v>
      </c>
      <c r="C714">
        <v>9.8800000000000008</v>
      </c>
    </row>
    <row r="715" spans="1:3" x14ac:dyDescent="0.25">
      <c r="A715" s="98">
        <v>2.5260254660414301</v>
      </c>
      <c r="B715">
        <v>9.9</v>
      </c>
      <c r="C715">
        <v>9.56</v>
      </c>
    </row>
    <row r="716" spans="1:3" x14ac:dyDescent="0.25">
      <c r="A716" s="98">
        <v>2.5295671480783701</v>
      </c>
      <c r="B716">
        <v>9.8699999999999992</v>
      </c>
      <c r="C716">
        <v>9.5500000000000007</v>
      </c>
    </row>
    <row r="717" spans="1:3" x14ac:dyDescent="0.25">
      <c r="A717" s="98">
        <v>2.53311046917129</v>
      </c>
      <c r="B717">
        <v>10.19</v>
      </c>
      <c r="C717">
        <v>9.73</v>
      </c>
    </row>
    <row r="718" spans="1:3" x14ac:dyDescent="0.25">
      <c r="A718" s="98">
        <v>2.5366527393239502</v>
      </c>
      <c r="B718">
        <v>9.6</v>
      </c>
      <c r="C718">
        <v>9.44</v>
      </c>
    </row>
    <row r="719" spans="1:3" x14ac:dyDescent="0.25">
      <c r="A719" s="98">
        <v>2.54019579340462</v>
      </c>
      <c r="B719">
        <v>9.8800000000000008</v>
      </c>
      <c r="C719">
        <v>9.7799999999999994</v>
      </c>
    </row>
    <row r="720" spans="1:3" x14ac:dyDescent="0.25">
      <c r="A720" s="98">
        <v>2.5437391859789602</v>
      </c>
      <c r="B720">
        <v>10.199999999999999</v>
      </c>
      <c r="C720">
        <v>9.76</v>
      </c>
    </row>
    <row r="721" spans="1:3" x14ac:dyDescent="0.25">
      <c r="A721" s="98">
        <v>2.54728353953471</v>
      </c>
      <c r="B721">
        <v>9.4499999999999993</v>
      </c>
      <c r="C721">
        <v>9.42</v>
      </c>
    </row>
    <row r="722" spans="1:3" x14ac:dyDescent="0.25">
      <c r="A722" s="98">
        <v>2.5508271504717799</v>
      </c>
      <c r="B722">
        <v>9.5299999999999994</v>
      </c>
      <c r="C722">
        <v>9.6999999999999993</v>
      </c>
    </row>
    <row r="723" spans="1:3" x14ac:dyDescent="0.25">
      <c r="A723" s="98">
        <v>2.5543700559768401</v>
      </c>
      <c r="B723">
        <v>9.86</v>
      </c>
      <c r="C723">
        <v>9.4</v>
      </c>
    </row>
    <row r="724" spans="1:3" x14ac:dyDescent="0.25">
      <c r="A724" s="98">
        <v>2.5579149859315802</v>
      </c>
      <c r="B724">
        <v>9.7100000000000009</v>
      </c>
      <c r="C724">
        <v>9.89</v>
      </c>
    </row>
    <row r="725" spans="1:3" x14ac:dyDescent="0.25">
      <c r="A725" s="98">
        <v>2.5614578502818302</v>
      </c>
      <c r="B725">
        <v>10.14</v>
      </c>
      <c r="C725">
        <v>9.57</v>
      </c>
    </row>
    <row r="726" spans="1:3" x14ac:dyDescent="0.25">
      <c r="A726" s="98">
        <v>2.5650019290546502</v>
      </c>
      <c r="B726">
        <v>9.7100000000000009</v>
      </c>
      <c r="C726">
        <v>9.5</v>
      </c>
    </row>
    <row r="727" spans="1:3" x14ac:dyDescent="0.25">
      <c r="A727" s="98">
        <v>2.5685433898590202</v>
      </c>
      <c r="B727">
        <v>9.6</v>
      </c>
      <c r="C727">
        <v>9.39</v>
      </c>
    </row>
    <row r="728" spans="1:3" x14ac:dyDescent="0.25">
      <c r="A728" s="98">
        <v>2.5720868899424798</v>
      </c>
      <c r="B728">
        <v>9.4700000000000006</v>
      </c>
      <c r="C728">
        <v>9.6</v>
      </c>
    </row>
    <row r="729" spans="1:3" x14ac:dyDescent="0.25">
      <c r="A729" s="98">
        <v>2.5756287248046301</v>
      </c>
      <c r="B729">
        <v>9.17</v>
      </c>
      <c r="C729">
        <v>9.2899999999999991</v>
      </c>
    </row>
    <row r="730" spans="1:3" x14ac:dyDescent="0.25">
      <c r="A730" s="98">
        <v>2.5791727307549199</v>
      </c>
      <c r="B730">
        <v>9.86</v>
      </c>
      <c r="C730">
        <v>9.51</v>
      </c>
    </row>
    <row r="731" spans="1:3" x14ac:dyDescent="0.25">
      <c r="A731" s="98">
        <v>2.5827169753887</v>
      </c>
      <c r="B731">
        <v>9.9</v>
      </c>
      <c r="C731">
        <v>9.48</v>
      </c>
    </row>
    <row r="732" spans="1:3" x14ac:dyDescent="0.25">
      <c r="A732" s="98">
        <v>2.5862585027019098</v>
      </c>
      <c r="B732">
        <v>10</v>
      </c>
      <c r="C732">
        <v>9.85</v>
      </c>
    </row>
    <row r="733" spans="1:3" x14ac:dyDescent="0.25">
      <c r="A733" s="98">
        <v>2.5898016979131402</v>
      </c>
      <c r="B733">
        <v>10.06</v>
      </c>
      <c r="C733">
        <v>9.6300000000000008</v>
      </c>
    </row>
    <row r="734" spans="1:3" x14ac:dyDescent="0.25">
      <c r="A734" s="98">
        <v>2.5933475170919098</v>
      </c>
      <c r="B734">
        <v>9.34</v>
      </c>
      <c r="C734">
        <v>9.41</v>
      </c>
    </row>
    <row r="735" spans="1:3" x14ac:dyDescent="0.25">
      <c r="A735" s="98">
        <v>2.5968871682771901</v>
      </c>
      <c r="B735">
        <v>9.57</v>
      </c>
      <c r="C735">
        <v>9.52</v>
      </c>
    </row>
    <row r="736" spans="1:3" x14ac:dyDescent="0.25">
      <c r="A736" s="98">
        <v>2.6004296184248301</v>
      </c>
      <c r="B736">
        <v>9.9499999999999993</v>
      </c>
      <c r="C736">
        <v>9.4</v>
      </c>
    </row>
    <row r="737" spans="1:3" x14ac:dyDescent="0.25">
      <c r="A737" s="98">
        <v>2.6039720000326598</v>
      </c>
      <c r="B737">
        <v>9.6300000000000008</v>
      </c>
      <c r="C737">
        <v>9.61</v>
      </c>
    </row>
    <row r="738" spans="1:3" x14ac:dyDescent="0.25">
      <c r="A738" s="98">
        <v>2.6075158460327801</v>
      </c>
      <c r="B738">
        <v>9.42</v>
      </c>
      <c r="C738">
        <v>9.6</v>
      </c>
    </row>
    <row r="739" spans="1:3" x14ac:dyDescent="0.25">
      <c r="A739" s="98">
        <v>2.61105910048992</v>
      </c>
      <c r="B739">
        <v>9.7200000000000006</v>
      </c>
      <c r="C739">
        <v>9.4700000000000006</v>
      </c>
    </row>
    <row r="740" spans="1:3" x14ac:dyDescent="0.25">
      <c r="A740" s="98">
        <v>2.6146030045604198</v>
      </c>
      <c r="B740">
        <v>9.91</v>
      </c>
      <c r="C740">
        <v>9.61</v>
      </c>
    </row>
    <row r="741" spans="1:3" x14ac:dyDescent="0.25">
      <c r="A741" s="98">
        <v>2.6181474669774301</v>
      </c>
      <c r="B741">
        <v>9.6199999999999992</v>
      </c>
      <c r="C741">
        <v>9.14</v>
      </c>
    </row>
    <row r="742" spans="1:3" x14ac:dyDescent="0.25">
      <c r="A742" s="98">
        <v>2.6216893103332399</v>
      </c>
      <c r="B742">
        <v>9.77</v>
      </c>
      <c r="C742">
        <v>9.1999999999999993</v>
      </c>
    </row>
    <row r="743" spans="1:3" x14ac:dyDescent="0.25">
      <c r="A743" s="98">
        <v>2.6252320998024001</v>
      </c>
      <c r="B743">
        <v>9.4700000000000006</v>
      </c>
      <c r="C743">
        <v>9.61</v>
      </c>
    </row>
    <row r="744" spans="1:3" x14ac:dyDescent="0.25">
      <c r="A744" s="98">
        <v>2.6287737462642</v>
      </c>
      <c r="B744">
        <v>10.050000000000001</v>
      </c>
      <c r="C744">
        <v>9.66</v>
      </c>
    </row>
    <row r="745" spans="1:3" x14ac:dyDescent="0.25">
      <c r="A745" s="98">
        <v>2.6323171354443899</v>
      </c>
      <c r="B745">
        <v>9.89</v>
      </c>
      <c r="C745">
        <v>9.66</v>
      </c>
    </row>
    <row r="746" spans="1:3" x14ac:dyDescent="0.25">
      <c r="A746" s="98">
        <v>2.63585972439359</v>
      </c>
      <c r="B746">
        <v>10.89</v>
      </c>
      <c r="C746">
        <v>9.49</v>
      </c>
    </row>
    <row r="747" spans="1:3" x14ac:dyDescent="0.25">
      <c r="A747" s="98">
        <v>2.6394012507575502</v>
      </c>
      <c r="B747">
        <v>10.32</v>
      </c>
      <c r="C747">
        <v>9.5500000000000007</v>
      </c>
    </row>
    <row r="748" spans="1:3" x14ac:dyDescent="0.25">
      <c r="A748" s="98">
        <v>2.6429441237283999</v>
      </c>
      <c r="B748">
        <v>9.9700000000000006</v>
      </c>
      <c r="C748">
        <v>9.1300000000000008</v>
      </c>
    </row>
    <row r="749" spans="1:3" x14ac:dyDescent="0.25">
      <c r="A749" s="98">
        <v>2.64648718137432</v>
      </c>
      <c r="B749">
        <v>9.31</v>
      </c>
      <c r="C749">
        <v>9.1199999999999992</v>
      </c>
    </row>
    <row r="750" spans="1:3" x14ac:dyDescent="0.25">
      <c r="A750" s="98">
        <v>2.6500302252283801</v>
      </c>
      <c r="B750">
        <v>9.23</v>
      </c>
      <c r="C750">
        <v>9.2899999999999991</v>
      </c>
    </row>
    <row r="751" spans="1:3" x14ac:dyDescent="0.25">
      <c r="A751" s="98">
        <v>2.6535726544205702</v>
      </c>
      <c r="B751">
        <v>9.32</v>
      </c>
      <c r="C751">
        <v>9.2200000000000006</v>
      </c>
    </row>
    <row r="752" spans="1:3" x14ac:dyDescent="0.25">
      <c r="A752" s="98">
        <v>2.6571175752304201</v>
      </c>
      <c r="B752">
        <v>9.7899999999999991</v>
      </c>
      <c r="C752">
        <v>9.5299999999999994</v>
      </c>
    </row>
    <row r="753" spans="1:3" x14ac:dyDescent="0.25">
      <c r="A753" s="98">
        <v>2.6606625967389999</v>
      </c>
      <c r="B753">
        <v>9.56</v>
      </c>
      <c r="C753">
        <v>9.24</v>
      </c>
    </row>
    <row r="754" spans="1:3" x14ac:dyDescent="0.25">
      <c r="A754" s="98">
        <v>2.6642051779120002</v>
      </c>
      <c r="B754">
        <v>9.7899999999999991</v>
      </c>
      <c r="C754">
        <v>9.3699999999999992</v>
      </c>
    </row>
    <row r="755" spans="1:3" x14ac:dyDescent="0.25">
      <c r="A755" s="98">
        <v>2.6677488985326501</v>
      </c>
      <c r="B755">
        <v>9.09</v>
      </c>
      <c r="C755">
        <v>9.5399999999999991</v>
      </c>
    </row>
    <row r="756" spans="1:3" x14ac:dyDescent="0.25">
      <c r="A756" s="98">
        <v>2.6712927552285</v>
      </c>
      <c r="B756">
        <v>9.91</v>
      </c>
      <c r="C756">
        <v>9.43</v>
      </c>
    </row>
    <row r="757" spans="1:3" x14ac:dyDescent="0.25">
      <c r="A757" s="98">
        <v>2.67483572036579</v>
      </c>
      <c r="B757">
        <v>9.43</v>
      </c>
      <c r="C757">
        <v>9.5500000000000007</v>
      </c>
    </row>
    <row r="758" spans="1:3" x14ac:dyDescent="0.25">
      <c r="A758" s="98">
        <v>2.6783804972911298</v>
      </c>
      <c r="B758">
        <v>9.82</v>
      </c>
      <c r="C758">
        <v>9.11</v>
      </c>
    </row>
    <row r="759" spans="1:3" x14ac:dyDescent="0.25">
      <c r="A759" s="98">
        <v>2.6819237431552598</v>
      </c>
      <c r="B759">
        <v>8.93</v>
      </c>
      <c r="C759">
        <v>9.24</v>
      </c>
    </row>
    <row r="760" spans="1:3" x14ac:dyDescent="0.25">
      <c r="A760" s="98">
        <v>2.6854674752277301</v>
      </c>
      <c r="B760">
        <v>9.4600000000000009</v>
      </c>
      <c r="C760">
        <v>9.34</v>
      </c>
    </row>
    <row r="761" spans="1:3" x14ac:dyDescent="0.25">
      <c r="A761" s="98">
        <v>2.6890107945545898</v>
      </c>
      <c r="B761">
        <v>9.65</v>
      </c>
      <c r="C761">
        <v>9.1199999999999992</v>
      </c>
    </row>
    <row r="762" spans="1:3" x14ac:dyDescent="0.25">
      <c r="A762" s="98">
        <v>2.69255467960128</v>
      </c>
      <c r="B762">
        <v>9.7899999999999991</v>
      </c>
      <c r="C762">
        <v>9.25</v>
      </c>
    </row>
    <row r="763" spans="1:3" x14ac:dyDescent="0.25">
      <c r="A763" s="98">
        <v>2.6960958864622602</v>
      </c>
      <c r="B763">
        <v>9.44</v>
      </c>
      <c r="C763">
        <v>9.33</v>
      </c>
    </row>
    <row r="764" spans="1:3" x14ac:dyDescent="0.25">
      <c r="A764" s="98">
        <v>2.6996383846909899</v>
      </c>
      <c r="B764">
        <v>9.6</v>
      </c>
      <c r="C764">
        <v>9.25</v>
      </c>
    </row>
    <row r="765" spans="1:3" x14ac:dyDescent="0.25">
      <c r="A765" s="98">
        <v>2.70318012021206</v>
      </c>
      <c r="B765">
        <v>9.91</v>
      </c>
      <c r="C765">
        <v>9.43</v>
      </c>
    </row>
    <row r="766" spans="1:3" x14ac:dyDescent="0.25">
      <c r="A766" s="98">
        <v>2.7067251894209101</v>
      </c>
      <c r="B766">
        <v>10.52</v>
      </c>
      <c r="C766">
        <v>9.25</v>
      </c>
    </row>
    <row r="767" spans="1:3" x14ac:dyDescent="0.25">
      <c r="A767" s="98">
        <v>2.7102710886575498</v>
      </c>
      <c r="B767">
        <v>9.59</v>
      </c>
      <c r="C767">
        <v>9.24</v>
      </c>
    </row>
    <row r="768" spans="1:3" x14ac:dyDescent="0.25">
      <c r="A768" s="98">
        <v>2.7138161330256199</v>
      </c>
      <c r="B768">
        <v>9.7899999999999991</v>
      </c>
      <c r="C768">
        <v>9.4</v>
      </c>
    </row>
    <row r="769" spans="1:3" x14ac:dyDescent="0.25">
      <c r="A769" s="98">
        <v>2.71735877325689</v>
      </c>
      <c r="B769">
        <v>9.58</v>
      </c>
      <c r="C769">
        <v>9.33</v>
      </c>
    </row>
    <row r="770" spans="1:3" x14ac:dyDescent="0.25">
      <c r="A770" s="98">
        <v>2.72090130913588</v>
      </c>
      <c r="B770">
        <v>9.6199999999999992</v>
      </c>
      <c r="C770">
        <v>9.44</v>
      </c>
    </row>
    <row r="771" spans="1:3" x14ac:dyDescent="0.25">
      <c r="A771" s="98">
        <v>2.7244453141203602</v>
      </c>
      <c r="B771">
        <v>9.49</v>
      </c>
      <c r="C771">
        <v>9.4</v>
      </c>
    </row>
    <row r="772" spans="1:3" x14ac:dyDescent="0.25">
      <c r="A772" s="98">
        <v>2.7279889803407298</v>
      </c>
      <c r="B772">
        <v>9.42</v>
      </c>
      <c r="C772">
        <v>9.43</v>
      </c>
    </row>
    <row r="773" spans="1:3" x14ac:dyDescent="0.25">
      <c r="A773" s="98">
        <v>2.7315307299792702</v>
      </c>
      <c r="B773">
        <v>9.6300000000000008</v>
      </c>
      <c r="C773">
        <v>8.9700000000000006</v>
      </c>
    </row>
    <row r="774" spans="1:3" x14ac:dyDescent="0.25">
      <c r="A774" s="98">
        <v>2.7350733464128401</v>
      </c>
      <c r="B774">
        <v>9.02</v>
      </c>
      <c r="C774">
        <v>9.23</v>
      </c>
    </row>
    <row r="775" spans="1:3" x14ac:dyDescent="0.25">
      <c r="A775" s="98">
        <v>2.7386166233045</v>
      </c>
      <c r="B775">
        <v>9.18</v>
      </c>
      <c r="C775">
        <v>9.2100000000000009</v>
      </c>
    </row>
    <row r="776" spans="1:3" x14ac:dyDescent="0.25">
      <c r="A776" s="98">
        <v>2.7421603130355998</v>
      </c>
      <c r="B776">
        <v>9.5500000000000007</v>
      </c>
      <c r="C776">
        <v>9.5399999999999991</v>
      </c>
    </row>
    <row r="777" spans="1:3" x14ac:dyDescent="0.25">
      <c r="A777" s="98">
        <v>2.7457037501092301</v>
      </c>
      <c r="B777">
        <v>9.25</v>
      </c>
      <c r="C777">
        <v>9.15</v>
      </c>
    </row>
    <row r="778" spans="1:3" x14ac:dyDescent="0.25">
      <c r="A778" s="98">
        <v>2.7492473633752899</v>
      </c>
      <c r="B778">
        <v>9.24</v>
      </c>
      <c r="C778">
        <v>9.0399999999999991</v>
      </c>
    </row>
    <row r="779" spans="1:3" x14ac:dyDescent="0.25">
      <c r="A779" s="98">
        <v>2.75279021205173</v>
      </c>
      <c r="B779">
        <v>9.07</v>
      </c>
      <c r="C779">
        <v>9.16</v>
      </c>
    </row>
    <row r="780" spans="1:3" x14ac:dyDescent="0.25">
      <c r="A780" s="98">
        <v>2.7563323617036701</v>
      </c>
      <c r="B780">
        <v>9.2100000000000009</v>
      </c>
      <c r="C780">
        <v>9.14</v>
      </c>
    </row>
    <row r="781" spans="1:3" x14ac:dyDescent="0.25">
      <c r="A781" s="98">
        <v>2.7598774288981001</v>
      </c>
      <c r="B781">
        <v>9.1300000000000008</v>
      </c>
      <c r="C781">
        <v>9.07</v>
      </c>
    </row>
    <row r="782" spans="1:3" x14ac:dyDescent="0.25">
      <c r="A782" s="98">
        <v>2.7634214288493002</v>
      </c>
      <c r="B782">
        <v>8.5299999999999994</v>
      </c>
      <c r="C782">
        <v>9.23</v>
      </c>
    </row>
    <row r="783" spans="1:3" x14ac:dyDescent="0.25">
      <c r="A783" s="98">
        <v>2.7669642011986801</v>
      </c>
      <c r="B783">
        <v>9.34</v>
      </c>
      <c r="C783">
        <v>9.3000000000000007</v>
      </c>
    </row>
    <row r="784" spans="1:3" x14ac:dyDescent="0.25">
      <c r="A784" s="98">
        <v>2.7705068865915101</v>
      </c>
      <c r="B784">
        <v>9.4</v>
      </c>
      <c r="C784">
        <v>9.15</v>
      </c>
    </row>
    <row r="785" spans="1:3" x14ac:dyDescent="0.25">
      <c r="A785" s="98">
        <v>2.7740515670345798</v>
      </c>
      <c r="B785">
        <v>9.24</v>
      </c>
      <c r="C785">
        <v>9.15</v>
      </c>
    </row>
    <row r="786" spans="1:3" x14ac:dyDescent="0.25">
      <c r="A786" s="98">
        <v>2.7775940955789</v>
      </c>
      <c r="B786">
        <v>9.2100000000000009</v>
      </c>
      <c r="C786">
        <v>9</v>
      </c>
    </row>
    <row r="787" spans="1:3" x14ac:dyDescent="0.25">
      <c r="A787" s="98">
        <v>2.7811366497035301</v>
      </c>
      <c r="B787">
        <v>9.17</v>
      </c>
      <c r="C787">
        <v>9.0299999999999994</v>
      </c>
    </row>
    <row r="788" spans="1:3" x14ac:dyDescent="0.25">
      <c r="A788" s="98">
        <v>2.7846802120904099</v>
      </c>
      <c r="B788">
        <v>9.1300000000000008</v>
      </c>
      <c r="C788">
        <v>9.01</v>
      </c>
    </row>
    <row r="789" spans="1:3" x14ac:dyDescent="0.25">
      <c r="A789" s="98">
        <v>2.7882220952930199</v>
      </c>
      <c r="B789">
        <v>9.7899999999999991</v>
      </c>
      <c r="C789">
        <v>9.0299999999999994</v>
      </c>
    </row>
    <row r="790" spans="1:3" x14ac:dyDescent="0.25">
      <c r="A790" s="98">
        <v>2.7917644771657599</v>
      </c>
      <c r="B790">
        <v>9.34</v>
      </c>
      <c r="C790">
        <v>9.0299999999999994</v>
      </c>
    </row>
    <row r="791" spans="1:3" x14ac:dyDescent="0.25">
      <c r="A791" s="98">
        <v>2.7953081179603299</v>
      </c>
      <c r="B791">
        <v>9.6199999999999992</v>
      </c>
      <c r="C791">
        <v>9.02</v>
      </c>
    </row>
    <row r="792" spans="1:3" x14ac:dyDescent="0.25">
      <c r="A792" s="98">
        <v>2.79884969631278</v>
      </c>
      <c r="B792">
        <v>8.9600000000000009</v>
      </c>
      <c r="C792">
        <v>8.98</v>
      </c>
    </row>
    <row r="793" spans="1:3" x14ac:dyDescent="0.25">
      <c r="A793" s="98">
        <v>2.8023935023502</v>
      </c>
      <c r="B793">
        <v>9.84</v>
      </c>
      <c r="C793">
        <v>9.2200000000000006</v>
      </c>
    </row>
    <row r="794" spans="1:3" x14ac:dyDescent="0.25">
      <c r="A794" s="98">
        <v>2.8059372830556502</v>
      </c>
      <c r="B794">
        <v>9.1999999999999993</v>
      </c>
      <c r="C794">
        <v>9.0399999999999991</v>
      </c>
    </row>
    <row r="795" spans="1:3" x14ac:dyDescent="0.25">
      <c r="A795" s="98">
        <v>2.8094800619339502</v>
      </c>
      <c r="B795">
        <v>9.01</v>
      </c>
      <c r="C795">
        <v>8.9499999999999993</v>
      </c>
    </row>
    <row r="796" spans="1:3" x14ac:dyDescent="0.25">
      <c r="A796" s="98">
        <v>2.8130226214506</v>
      </c>
      <c r="B796">
        <v>8.93</v>
      </c>
      <c r="C796">
        <v>9.2799999999999994</v>
      </c>
    </row>
    <row r="797" spans="1:3" x14ac:dyDescent="0.25">
      <c r="A797" s="98">
        <v>2.8165666268324401</v>
      </c>
      <c r="B797">
        <v>9.31</v>
      </c>
      <c r="C797">
        <v>8.76</v>
      </c>
    </row>
    <row r="798" spans="1:3" x14ac:dyDescent="0.25">
      <c r="A798" s="98">
        <v>2.8201091598139798</v>
      </c>
      <c r="B798">
        <v>9.5500000000000007</v>
      </c>
      <c r="C798">
        <v>9.07</v>
      </c>
    </row>
    <row r="799" spans="1:3" x14ac:dyDescent="0.25">
      <c r="A799" s="98">
        <v>2.8236517080333501</v>
      </c>
      <c r="B799">
        <v>9.5</v>
      </c>
      <c r="C799">
        <v>9.0399999999999991</v>
      </c>
    </row>
    <row r="800" spans="1:3" x14ac:dyDescent="0.25">
      <c r="A800" s="98">
        <v>2.8271956578504098</v>
      </c>
      <c r="B800">
        <v>9.52</v>
      </c>
      <c r="C800">
        <v>8.86</v>
      </c>
    </row>
    <row r="801" spans="1:3" x14ac:dyDescent="0.25">
      <c r="A801" s="98">
        <v>2.8307378072760701</v>
      </c>
      <c r="B801">
        <v>9.4700000000000006</v>
      </c>
      <c r="C801">
        <v>9.1</v>
      </c>
    </row>
    <row r="802" spans="1:3" x14ac:dyDescent="0.25">
      <c r="A802" s="98">
        <v>2.8342809886292102</v>
      </c>
      <c r="B802">
        <v>8.85</v>
      </c>
      <c r="C802">
        <v>9.09</v>
      </c>
    </row>
    <row r="803" spans="1:3" x14ac:dyDescent="0.25">
      <c r="A803" s="98">
        <v>2.83782306416167</v>
      </c>
      <c r="B803">
        <v>10.050000000000001</v>
      </c>
      <c r="C803">
        <v>9.23</v>
      </c>
    </row>
    <row r="804" spans="1:3" x14ac:dyDescent="0.25">
      <c r="A804" s="98">
        <v>2.8413682448311999</v>
      </c>
      <c r="B804">
        <v>8.85</v>
      </c>
      <c r="C804">
        <v>9.2200000000000006</v>
      </c>
    </row>
    <row r="805" spans="1:3" x14ac:dyDescent="0.25">
      <c r="A805" s="98">
        <v>2.8449132407760098</v>
      </c>
      <c r="B805">
        <v>10.15</v>
      </c>
      <c r="C805">
        <v>8.89</v>
      </c>
    </row>
    <row r="806" spans="1:3" x14ac:dyDescent="0.25">
      <c r="A806" s="98">
        <v>2.8484556584225702</v>
      </c>
      <c r="B806">
        <v>10.06</v>
      </c>
      <c r="C806">
        <v>9.14</v>
      </c>
    </row>
    <row r="807" spans="1:3" x14ac:dyDescent="0.25">
      <c r="A807" s="98">
        <v>2.8519994801558801</v>
      </c>
      <c r="B807">
        <v>9.32</v>
      </c>
      <c r="C807">
        <v>9.06</v>
      </c>
    </row>
    <row r="808" spans="1:3" x14ac:dyDescent="0.25">
      <c r="A808" s="98">
        <v>2.8555422903762899</v>
      </c>
      <c r="B808">
        <v>8.8699999999999992</v>
      </c>
      <c r="C808">
        <v>9.14</v>
      </c>
    </row>
    <row r="809" spans="1:3" x14ac:dyDescent="0.25">
      <c r="A809" s="98">
        <v>2.85908541362594</v>
      </c>
      <c r="B809">
        <v>8.5</v>
      </c>
      <c r="C809">
        <v>9.39</v>
      </c>
    </row>
    <row r="810" spans="1:3" x14ac:dyDescent="0.25">
      <c r="A810" s="98">
        <v>2.86262940038685</v>
      </c>
      <c r="B810">
        <v>9.65</v>
      </c>
      <c r="C810">
        <v>9.18</v>
      </c>
    </row>
    <row r="811" spans="1:3" x14ac:dyDescent="0.25">
      <c r="A811" s="98">
        <v>2.86617450529226</v>
      </c>
      <c r="B811">
        <v>8.9600000000000009</v>
      </c>
      <c r="C811">
        <v>8.89</v>
      </c>
    </row>
    <row r="812" spans="1:3" x14ac:dyDescent="0.25">
      <c r="A812" s="98">
        <v>2.8697170477553602</v>
      </c>
      <c r="B812">
        <v>9.1</v>
      </c>
      <c r="C812">
        <v>9.0399999999999991</v>
      </c>
    </row>
    <row r="813" spans="1:3" x14ac:dyDescent="0.25">
      <c r="A813" s="98">
        <v>2.8732606868280302</v>
      </c>
      <c r="B813">
        <v>9.16</v>
      </c>
      <c r="C813">
        <v>8.84</v>
      </c>
    </row>
    <row r="814" spans="1:3" x14ac:dyDescent="0.25">
      <c r="A814" s="98">
        <v>2.8768029921639799</v>
      </c>
      <c r="B814">
        <v>8.84</v>
      </c>
      <c r="C814">
        <v>8.83</v>
      </c>
    </row>
    <row r="815" spans="1:3" x14ac:dyDescent="0.25">
      <c r="A815" s="98">
        <v>2.8803460137490799</v>
      </c>
      <c r="B815">
        <v>8.9600000000000009</v>
      </c>
      <c r="C815">
        <v>8.6999999999999993</v>
      </c>
    </row>
    <row r="816" spans="1:3" x14ac:dyDescent="0.25">
      <c r="A816" s="98">
        <v>2.8838883355535798</v>
      </c>
      <c r="B816">
        <v>9.1</v>
      </c>
      <c r="C816">
        <v>8.81</v>
      </c>
    </row>
    <row r="817" spans="1:3" x14ac:dyDescent="0.25">
      <c r="A817" s="98">
        <v>2.8874315177842398</v>
      </c>
      <c r="B817">
        <v>9.14</v>
      </c>
      <c r="C817">
        <v>8.92</v>
      </c>
    </row>
    <row r="818" spans="1:3" x14ac:dyDescent="0.25">
      <c r="A818" s="98">
        <v>2.8909749921825201</v>
      </c>
      <c r="B818">
        <v>9</v>
      </c>
      <c r="C818">
        <v>8.9</v>
      </c>
    </row>
    <row r="819" spans="1:3" x14ac:dyDescent="0.25">
      <c r="A819" s="98">
        <v>2.8945203178513901</v>
      </c>
      <c r="B819">
        <v>9.44</v>
      </c>
      <c r="C819">
        <v>8.73</v>
      </c>
    </row>
    <row r="820" spans="1:3" x14ac:dyDescent="0.25">
      <c r="A820" s="98">
        <v>2.8980628479410102</v>
      </c>
      <c r="B820">
        <v>8.83</v>
      </c>
      <c r="C820">
        <v>8.83</v>
      </c>
    </row>
    <row r="821" spans="1:3" x14ac:dyDescent="0.25">
      <c r="A821" s="98">
        <v>2.90160586133047</v>
      </c>
      <c r="B821">
        <v>9.01</v>
      </c>
      <c r="C821">
        <v>8.58</v>
      </c>
    </row>
    <row r="822" spans="1:3" x14ac:dyDescent="0.25">
      <c r="A822" s="98">
        <v>2.9051472692853801</v>
      </c>
      <c r="B822">
        <v>8.59</v>
      </c>
      <c r="C822">
        <v>8.66</v>
      </c>
    </row>
    <row r="823" spans="1:3" x14ac:dyDescent="0.25">
      <c r="A823" s="98">
        <v>2.9086909797014999</v>
      </c>
      <c r="B823">
        <v>8.5399999999999991</v>
      </c>
      <c r="C823">
        <v>8.68</v>
      </c>
    </row>
    <row r="824" spans="1:3" x14ac:dyDescent="0.25">
      <c r="A824" s="98">
        <v>2.9122321100698501</v>
      </c>
      <c r="B824">
        <v>8.93</v>
      </c>
      <c r="C824">
        <v>8.5500000000000007</v>
      </c>
    </row>
    <row r="825" spans="1:3" x14ac:dyDescent="0.25">
      <c r="A825" s="98">
        <v>2.9157756939033601</v>
      </c>
      <c r="B825">
        <v>9.25</v>
      </c>
      <c r="C825">
        <v>8.5500000000000007</v>
      </c>
    </row>
    <row r="826" spans="1:3" x14ac:dyDescent="0.25">
      <c r="A826" s="98">
        <v>2.9193193284118601</v>
      </c>
      <c r="B826">
        <v>8.33</v>
      </c>
      <c r="C826">
        <v>8.17</v>
      </c>
    </row>
    <row r="827" spans="1:3" x14ac:dyDescent="0.25">
      <c r="A827" s="98">
        <v>2.9228633839443798</v>
      </c>
      <c r="B827">
        <v>8.42</v>
      </c>
      <c r="C827">
        <v>8.5</v>
      </c>
    </row>
    <row r="828" spans="1:3" x14ac:dyDescent="0.25">
      <c r="A828" s="98">
        <v>2.9264049416945999</v>
      </c>
      <c r="B828">
        <v>8.39</v>
      </c>
      <c r="C828">
        <v>8.5</v>
      </c>
    </row>
    <row r="829" spans="1:3" x14ac:dyDescent="0.25">
      <c r="A829" s="98">
        <v>2.9299468075180402</v>
      </c>
      <c r="B829">
        <v>9.35</v>
      </c>
      <c r="C829">
        <v>8.5</v>
      </c>
    </row>
    <row r="830" spans="1:3" x14ac:dyDescent="0.25">
      <c r="A830" s="98">
        <v>2.9334893742313999</v>
      </c>
      <c r="B830">
        <v>9.34</v>
      </c>
      <c r="C830">
        <v>8.4499999999999993</v>
      </c>
    </row>
    <row r="831" spans="1:3" x14ac:dyDescent="0.25">
      <c r="A831" s="98">
        <v>2.9370319128036502</v>
      </c>
      <c r="B831">
        <v>9.11</v>
      </c>
      <c r="C831">
        <v>8.3699999999999992</v>
      </c>
    </row>
    <row r="832" spans="1:3" x14ac:dyDescent="0.25">
      <c r="A832" s="98">
        <v>2.94057699135608</v>
      </c>
      <c r="B832">
        <v>8.61</v>
      </c>
      <c r="C832">
        <v>8.51</v>
      </c>
    </row>
    <row r="833" spans="1:3" x14ac:dyDescent="0.25">
      <c r="A833" s="98">
        <v>2.9441189234124199</v>
      </c>
      <c r="B833">
        <v>8.68</v>
      </c>
      <c r="C833">
        <v>8.32</v>
      </c>
    </row>
    <row r="834" spans="1:3" x14ac:dyDescent="0.25">
      <c r="A834" s="98">
        <v>2.9476617223686601</v>
      </c>
      <c r="B834">
        <v>8.94</v>
      </c>
      <c r="C834">
        <v>8.59</v>
      </c>
    </row>
    <row r="835" spans="1:3" x14ac:dyDescent="0.25">
      <c r="A835" s="98">
        <v>2.95120539722067</v>
      </c>
      <c r="B835">
        <v>8.19</v>
      </c>
      <c r="C835">
        <v>8.67</v>
      </c>
    </row>
    <row r="836" spans="1:3" x14ac:dyDescent="0.25">
      <c r="A836" s="98">
        <v>2.9547480667961898</v>
      </c>
      <c r="B836">
        <v>9.11</v>
      </c>
      <c r="C836">
        <v>8.64</v>
      </c>
    </row>
    <row r="837" spans="1:3" x14ac:dyDescent="0.25">
      <c r="A837" s="98">
        <v>2.95829223116238</v>
      </c>
      <c r="B837">
        <v>9.58</v>
      </c>
      <c r="C837">
        <v>8.8800000000000008</v>
      </c>
    </row>
    <row r="838" spans="1:3" x14ac:dyDescent="0.25">
      <c r="A838" s="98">
        <v>2.9618356859021699</v>
      </c>
      <c r="B838">
        <v>8.52</v>
      </c>
      <c r="C838">
        <v>8.5399999999999991</v>
      </c>
    </row>
    <row r="839" spans="1:3" x14ac:dyDescent="0.25">
      <c r="A839" s="98">
        <v>2.9653821516368102</v>
      </c>
      <c r="B839">
        <v>8.69</v>
      </c>
      <c r="C839">
        <v>8.56</v>
      </c>
    </row>
    <row r="840" spans="1:3" x14ac:dyDescent="0.25">
      <c r="A840" s="98">
        <v>2.9689260396913202</v>
      </c>
      <c r="B840">
        <v>9.19</v>
      </c>
      <c r="C840">
        <v>8.31</v>
      </c>
    </row>
    <row r="841" spans="1:3" x14ac:dyDescent="0.25">
      <c r="A841" s="98">
        <v>2.97247237648125</v>
      </c>
      <c r="B841">
        <v>8.52</v>
      </c>
      <c r="C841">
        <v>8.33</v>
      </c>
    </row>
    <row r="842" spans="1:3" x14ac:dyDescent="0.25">
      <c r="A842" s="98">
        <v>2.9760150391525602</v>
      </c>
      <c r="B842">
        <v>8.51</v>
      </c>
      <c r="C842">
        <v>8.27</v>
      </c>
    </row>
    <row r="843" spans="1:3" x14ac:dyDescent="0.25">
      <c r="A843" s="98">
        <v>2.97955871659848</v>
      </c>
      <c r="B843">
        <v>9.25</v>
      </c>
      <c r="C843">
        <v>8.65</v>
      </c>
    </row>
    <row r="844" spans="1:3" x14ac:dyDescent="0.25">
      <c r="A844" s="98">
        <v>2.98310002816496</v>
      </c>
      <c r="B844">
        <v>8.85</v>
      </c>
      <c r="C844">
        <v>8.51</v>
      </c>
    </row>
    <row r="845" spans="1:3" x14ac:dyDescent="0.25">
      <c r="A845" s="98">
        <v>2.98664498119442</v>
      </c>
      <c r="B845">
        <v>8.66</v>
      </c>
      <c r="C845">
        <v>8.48</v>
      </c>
    </row>
    <row r="846" spans="1:3" x14ac:dyDescent="0.25">
      <c r="A846" s="98">
        <v>2.9901878605617398</v>
      </c>
      <c r="B846">
        <v>8.1199999999999992</v>
      </c>
      <c r="C846">
        <v>8.36</v>
      </c>
    </row>
    <row r="847" spans="1:3" x14ac:dyDescent="0.25">
      <c r="A847" s="98">
        <v>2.9937311466479701</v>
      </c>
      <c r="B847">
        <v>8.8699999999999992</v>
      </c>
      <c r="C847">
        <v>8.1</v>
      </c>
    </row>
    <row r="848" spans="1:3" x14ac:dyDescent="0.25">
      <c r="A848" s="98">
        <v>2.9972740524676098</v>
      </c>
      <c r="B848">
        <v>9.0500000000000007</v>
      </c>
      <c r="C848">
        <v>8.17</v>
      </c>
    </row>
    <row r="849" spans="1:3" x14ac:dyDescent="0.25">
      <c r="A849" s="98">
        <v>3.0008189073039402</v>
      </c>
      <c r="B849">
        <v>9.09</v>
      </c>
      <c r="C849">
        <v>8.33</v>
      </c>
    </row>
    <row r="850" spans="1:3" x14ac:dyDescent="0.25">
      <c r="A850" s="98">
        <v>3.0043603104352901</v>
      </c>
      <c r="B850">
        <v>8.65</v>
      </c>
      <c r="C850">
        <v>8.5299999999999994</v>
      </c>
    </row>
    <row r="851" spans="1:3" x14ac:dyDescent="0.25">
      <c r="A851" s="98">
        <v>3.0079017842036699</v>
      </c>
      <c r="B851">
        <v>8.3000000000000007</v>
      </c>
      <c r="C851">
        <v>8.36</v>
      </c>
    </row>
    <row r="852" spans="1:3" x14ac:dyDescent="0.25">
      <c r="A852" s="98">
        <v>3.0114457202951099</v>
      </c>
      <c r="B852">
        <v>9.24</v>
      </c>
      <c r="C852">
        <v>8.4700000000000006</v>
      </c>
    </row>
    <row r="853" spans="1:3" x14ac:dyDescent="0.25">
      <c r="A853" s="98">
        <v>3.0149884729418401</v>
      </c>
      <c r="B853">
        <v>8.93</v>
      </c>
      <c r="C853">
        <v>8.43</v>
      </c>
    </row>
    <row r="854" spans="1:3" x14ac:dyDescent="0.25">
      <c r="A854" s="98">
        <v>3.0185305104045899</v>
      </c>
      <c r="B854">
        <v>8.6199999999999992</v>
      </c>
      <c r="C854">
        <v>8.7899999999999991</v>
      </c>
    </row>
    <row r="855" spans="1:3" x14ac:dyDescent="0.25">
      <c r="A855" s="98">
        <v>3.0220720921456801</v>
      </c>
      <c r="B855">
        <v>9.2899999999999991</v>
      </c>
      <c r="C855">
        <v>8.6999999999999993</v>
      </c>
    </row>
    <row r="856" spans="1:3" x14ac:dyDescent="0.25">
      <c r="A856" s="98">
        <v>3.0256160435411599</v>
      </c>
      <c r="B856">
        <v>8.36</v>
      </c>
      <c r="C856">
        <v>8.44</v>
      </c>
    </row>
    <row r="857" spans="1:3" x14ac:dyDescent="0.25">
      <c r="A857" s="98">
        <v>3.0291599111369298</v>
      </c>
      <c r="B857">
        <v>9.0500000000000007</v>
      </c>
      <c r="C857">
        <v>8.4700000000000006</v>
      </c>
    </row>
    <row r="858" spans="1:3" x14ac:dyDescent="0.25">
      <c r="A858" s="98">
        <v>3.0327019744394001</v>
      </c>
      <c r="B858">
        <v>8.25</v>
      </c>
      <c r="C858">
        <v>8.31</v>
      </c>
    </row>
    <row r="859" spans="1:3" x14ac:dyDescent="0.25">
      <c r="A859" s="98">
        <v>3.0362459938283299</v>
      </c>
      <c r="B859">
        <v>8.27</v>
      </c>
      <c r="C859">
        <v>8.51</v>
      </c>
    </row>
    <row r="860" spans="1:3" x14ac:dyDescent="0.25">
      <c r="A860" s="98">
        <v>3.0397885794716801</v>
      </c>
      <c r="B860">
        <v>9.1999999999999993</v>
      </c>
      <c r="C860">
        <v>8.5</v>
      </c>
    </row>
    <row r="861" spans="1:3" x14ac:dyDescent="0.25">
      <c r="A861" s="98">
        <v>3.04333310966138</v>
      </c>
      <c r="B861">
        <v>8.73</v>
      </c>
      <c r="C861">
        <v>8.42</v>
      </c>
    </row>
    <row r="862" spans="1:3" x14ac:dyDescent="0.25">
      <c r="A862" s="98">
        <v>3.0468762058681902</v>
      </c>
      <c r="B862">
        <v>8.57</v>
      </c>
      <c r="C862">
        <v>8.33</v>
      </c>
    </row>
    <row r="863" spans="1:3" x14ac:dyDescent="0.25">
      <c r="A863" s="98">
        <v>3.0504175623202698</v>
      </c>
      <c r="B863">
        <v>8.43</v>
      </c>
      <c r="C863">
        <v>8.39</v>
      </c>
    </row>
    <row r="864" spans="1:3" x14ac:dyDescent="0.25">
      <c r="A864" s="98">
        <v>3.0539603353484899</v>
      </c>
      <c r="B864">
        <v>8.77</v>
      </c>
      <c r="C864">
        <v>8.39</v>
      </c>
    </row>
    <row r="865" spans="1:3" x14ac:dyDescent="0.25">
      <c r="A865" s="98">
        <v>3.05750301174543</v>
      </c>
      <c r="B865">
        <v>8.1300000000000008</v>
      </c>
      <c r="C865">
        <v>8.33</v>
      </c>
    </row>
    <row r="866" spans="1:3" x14ac:dyDescent="0.25">
      <c r="A866" s="98">
        <v>3.0610461602553101</v>
      </c>
      <c r="B866">
        <v>8.2799999999999994</v>
      </c>
      <c r="C866">
        <v>8.41</v>
      </c>
    </row>
    <row r="867" spans="1:3" x14ac:dyDescent="0.25">
      <c r="A867" s="98">
        <v>3.0645876866468602</v>
      </c>
      <c r="B867">
        <v>8.61</v>
      </c>
      <c r="C867">
        <v>8.26</v>
      </c>
    </row>
    <row r="868" spans="1:3" x14ac:dyDescent="0.25">
      <c r="A868" s="98">
        <v>3.06813124338785</v>
      </c>
      <c r="B868">
        <v>8.4</v>
      </c>
      <c r="C868">
        <v>8.4600000000000009</v>
      </c>
    </row>
    <row r="869" spans="1:3" x14ac:dyDescent="0.25">
      <c r="A869" s="98">
        <v>3.0716745347446799</v>
      </c>
      <c r="B869">
        <v>8.42</v>
      </c>
      <c r="C869">
        <v>8.33</v>
      </c>
    </row>
    <row r="870" spans="1:3" x14ac:dyDescent="0.25">
      <c r="A870" s="98">
        <v>3.07521826286558</v>
      </c>
      <c r="B870">
        <v>8.1999999999999993</v>
      </c>
      <c r="C870">
        <v>8.42</v>
      </c>
    </row>
    <row r="871" spans="1:3" x14ac:dyDescent="0.25">
      <c r="A871" s="98">
        <v>3.0787633802107002</v>
      </c>
      <c r="B871">
        <v>8.5</v>
      </c>
      <c r="C871">
        <v>8.35</v>
      </c>
    </row>
    <row r="872" spans="1:3" x14ac:dyDescent="0.25">
      <c r="A872" s="98">
        <v>3.0823063409052498</v>
      </c>
      <c r="B872">
        <v>8.75</v>
      </c>
      <c r="C872">
        <v>8.0399999999999991</v>
      </c>
    </row>
    <row r="873" spans="1:3" x14ac:dyDescent="0.25">
      <c r="A873" s="98">
        <v>3.08584997491152</v>
      </c>
      <c r="B873">
        <v>8.4700000000000006</v>
      </c>
      <c r="C873">
        <v>8.1199999999999992</v>
      </c>
    </row>
    <row r="874" spans="1:3" x14ac:dyDescent="0.25">
      <c r="A874" s="98">
        <v>3.0893935942208302</v>
      </c>
      <c r="B874">
        <v>7.77</v>
      </c>
      <c r="C874">
        <v>8.39</v>
      </c>
    </row>
    <row r="875" spans="1:3" x14ac:dyDescent="0.25">
      <c r="A875" s="98">
        <v>3.0929350497490802</v>
      </c>
      <c r="B875">
        <v>8.36</v>
      </c>
      <c r="C875">
        <v>8.27</v>
      </c>
    </row>
    <row r="876" spans="1:3" x14ac:dyDescent="0.25">
      <c r="A876" s="98">
        <v>3.0964786295372</v>
      </c>
      <c r="B876">
        <v>9.0299999999999994</v>
      </c>
      <c r="C876">
        <v>8.11</v>
      </c>
    </row>
    <row r="877" spans="1:3" x14ac:dyDescent="0.25">
      <c r="A877" s="98">
        <v>3.1000196641462798</v>
      </c>
      <c r="B877">
        <v>8.57</v>
      </c>
      <c r="C877">
        <v>8.39</v>
      </c>
    </row>
    <row r="878" spans="1:3" x14ac:dyDescent="0.25">
      <c r="A878" s="98">
        <v>3.1035628086549201</v>
      </c>
      <c r="B878">
        <v>8.35</v>
      </c>
      <c r="C878">
        <v>8.2899999999999991</v>
      </c>
    </row>
    <row r="879" spans="1:3" x14ac:dyDescent="0.25">
      <c r="A879" s="98">
        <v>3.1071051630267301</v>
      </c>
      <c r="B879">
        <v>8.69</v>
      </c>
      <c r="C879">
        <v>8.1199999999999992</v>
      </c>
    </row>
    <row r="880" spans="1:3" x14ac:dyDescent="0.25">
      <c r="A880" s="98">
        <v>3.11064795862745</v>
      </c>
      <c r="B880">
        <v>8.25</v>
      </c>
      <c r="C880">
        <v>7.95</v>
      </c>
    </row>
    <row r="881" spans="1:3" x14ac:dyDescent="0.25">
      <c r="A881" s="98">
        <v>3.11419091551392</v>
      </c>
      <c r="B881">
        <v>8.3800000000000008</v>
      </c>
      <c r="C881">
        <v>8.2799999999999994</v>
      </c>
    </row>
    <row r="882" spans="1:3" x14ac:dyDescent="0.25">
      <c r="A882" s="98">
        <v>3.1177348355893701</v>
      </c>
      <c r="B882">
        <v>8.69</v>
      </c>
      <c r="C882">
        <v>8.17</v>
      </c>
    </row>
    <row r="883" spans="1:3" x14ac:dyDescent="0.25">
      <c r="A883" s="98">
        <v>3.12127797058886</v>
      </c>
      <c r="B883">
        <v>8.1300000000000008</v>
      </c>
      <c r="C883">
        <v>7.97</v>
      </c>
    </row>
    <row r="884" spans="1:3" x14ac:dyDescent="0.25">
      <c r="A884" s="98">
        <v>3.1248194410238002</v>
      </c>
      <c r="B884">
        <v>8.32</v>
      </c>
      <c r="C884">
        <v>8.1</v>
      </c>
    </row>
    <row r="885" spans="1:3" x14ac:dyDescent="0.25">
      <c r="A885" s="98">
        <v>3.1283626737638701</v>
      </c>
      <c r="B885">
        <v>8.19</v>
      </c>
      <c r="C885">
        <v>8.34</v>
      </c>
    </row>
    <row r="886" spans="1:3" x14ac:dyDescent="0.25">
      <c r="A886" s="98">
        <v>3.1319056899624802</v>
      </c>
      <c r="B886">
        <v>8.68</v>
      </c>
      <c r="C886">
        <v>8.0299999999999994</v>
      </c>
    </row>
    <row r="887" spans="1:3" x14ac:dyDescent="0.25">
      <c r="A887" s="98">
        <v>3.1354486019136698</v>
      </c>
      <c r="B887">
        <v>8.35</v>
      </c>
      <c r="C887">
        <v>8.14</v>
      </c>
    </row>
    <row r="888" spans="1:3" x14ac:dyDescent="0.25">
      <c r="A888" s="98">
        <v>3.1389936671930299</v>
      </c>
      <c r="B888">
        <v>8.0500000000000007</v>
      </c>
      <c r="C888">
        <v>8.1199999999999992</v>
      </c>
    </row>
    <row r="889" spans="1:3" x14ac:dyDescent="0.25">
      <c r="A889" s="98">
        <v>3.1425363240915298</v>
      </c>
      <c r="B889">
        <v>8.77</v>
      </c>
      <c r="C889">
        <v>8.16</v>
      </c>
    </row>
    <row r="890" spans="1:3" x14ac:dyDescent="0.25">
      <c r="A890" s="98">
        <v>3.1460791781434301</v>
      </c>
      <c r="B890">
        <v>8.4700000000000006</v>
      </c>
      <c r="C890">
        <v>8.07</v>
      </c>
    </row>
    <row r="891" spans="1:3" x14ac:dyDescent="0.25">
      <c r="A891" s="98">
        <v>3.1496211543513599</v>
      </c>
      <c r="B891">
        <v>8.0500000000000007</v>
      </c>
      <c r="C891">
        <v>8</v>
      </c>
    </row>
    <row r="892" spans="1:3" x14ac:dyDescent="0.25">
      <c r="A892" s="98">
        <v>3.15316429664691</v>
      </c>
      <c r="B892">
        <v>8.61</v>
      </c>
      <c r="C892">
        <v>8.14</v>
      </c>
    </row>
    <row r="893" spans="1:3" x14ac:dyDescent="0.25">
      <c r="A893" s="98">
        <v>3.1567068794811202</v>
      </c>
      <c r="B893">
        <v>8.44</v>
      </c>
      <c r="C893">
        <v>8.0299999999999994</v>
      </c>
    </row>
    <row r="894" spans="1:3" x14ac:dyDescent="0.25">
      <c r="A894" s="98">
        <v>3.1602491229607002</v>
      </c>
      <c r="B894">
        <v>8.09</v>
      </c>
      <c r="C894">
        <v>8.23</v>
      </c>
    </row>
    <row r="895" spans="1:3" x14ac:dyDescent="0.25">
      <c r="A895" s="98">
        <v>3.1637921446065098</v>
      </c>
      <c r="B895">
        <v>7.57</v>
      </c>
      <c r="C895">
        <v>8.14</v>
      </c>
    </row>
    <row r="896" spans="1:3" x14ac:dyDescent="0.25">
      <c r="A896" s="98">
        <v>3.1673352056189801</v>
      </c>
      <c r="B896">
        <v>8.94</v>
      </c>
      <c r="C896">
        <v>7.95</v>
      </c>
    </row>
    <row r="897" spans="1:3" x14ac:dyDescent="0.25">
      <c r="A897" s="98">
        <v>3.1708779217357899</v>
      </c>
      <c r="B897">
        <v>8.6300000000000008</v>
      </c>
      <c r="C897">
        <v>7.86</v>
      </c>
    </row>
    <row r="898" spans="1:3" x14ac:dyDescent="0.25">
      <c r="A898" s="98">
        <v>3.17442203323046</v>
      </c>
      <c r="B898">
        <v>8.43</v>
      </c>
      <c r="C898">
        <v>7.88</v>
      </c>
    </row>
    <row r="899" spans="1:3" x14ac:dyDescent="0.25">
      <c r="A899" s="98">
        <v>3.1779661122957799</v>
      </c>
      <c r="B899">
        <v>8.49</v>
      </c>
      <c r="C899">
        <v>7.91</v>
      </c>
    </row>
    <row r="900" spans="1:3" x14ac:dyDescent="0.25">
      <c r="A900" s="98">
        <v>3.1815096526620499</v>
      </c>
      <c r="B900">
        <v>7.89</v>
      </c>
      <c r="C900">
        <v>8.09</v>
      </c>
    </row>
    <row r="901" spans="1:3" x14ac:dyDescent="0.25">
      <c r="A901" s="98">
        <v>3.1850521811622099</v>
      </c>
      <c r="B901">
        <v>8.0500000000000007</v>
      </c>
      <c r="C901">
        <v>7.7</v>
      </c>
    </row>
    <row r="902" spans="1:3" x14ac:dyDescent="0.25">
      <c r="A902" s="98">
        <v>3.1885941069711099</v>
      </c>
      <c r="B902">
        <v>7.92</v>
      </c>
      <c r="C902">
        <v>7.87</v>
      </c>
    </row>
    <row r="903" spans="1:3" x14ac:dyDescent="0.25">
      <c r="A903" s="98">
        <v>3.19213800819383</v>
      </c>
      <c r="B903">
        <v>8.66</v>
      </c>
      <c r="C903">
        <v>7.76</v>
      </c>
    </row>
    <row r="904" spans="1:3" x14ac:dyDescent="0.25">
      <c r="A904" s="98">
        <v>3.1956810360263801</v>
      </c>
      <c r="B904">
        <v>7.96</v>
      </c>
      <c r="C904">
        <v>7.89</v>
      </c>
    </row>
    <row r="905" spans="1:3" x14ac:dyDescent="0.25">
      <c r="A905" s="98">
        <v>3.1992227910072701</v>
      </c>
      <c r="B905">
        <v>8.41</v>
      </c>
      <c r="C905">
        <v>7.63</v>
      </c>
    </row>
    <row r="906" spans="1:3" x14ac:dyDescent="0.25">
      <c r="A906" s="98">
        <v>3.2027657375070699</v>
      </c>
      <c r="B906">
        <v>8.0299999999999994</v>
      </c>
      <c r="C906">
        <v>7.79</v>
      </c>
    </row>
    <row r="907" spans="1:3" x14ac:dyDescent="0.25">
      <c r="A907" s="98">
        <v>3.2063093185535099</v>
      </c>
      <c r="B907">
        <v>8.6</v>
      </c>
      <c r="C907">
        <v>7.84</v>
      </c>
    </row>
    <row r="908" spans="1:3" x14ac:dyDescent="0.25">
      <c r="A908" s="98">
        <v>3.2098520458406798</v>
      </c>
      <c r="B908">
        <v>8.42</v>
      </c>
      <c r="C908">
        <v>7.88</v>
      </c>
    </row>
    <row r="909" spans="1:3" x14ac:dyDescent="0.25">
      <c r="A909" s="98">
        <v>3.2133963404319901</v>
      </c>
      <c r="B909">
        <v>7.75</v>
      </c>
      <c r="C909">
        <v>7.71</v>
      </c>
    </row>
    <row r="910" spans="1:3" x14ac:dyDescent="0.25">
      <c r="A910" s="98">
        <v>3.2169378902183601</v>
      </c>
      <c r="B910">
        <v>8.25</v>
      </c>
      <c r="C910">
        <v>7.88</v>
      </c>
    </row>
    <row r="911" spans="1:3" x14ac:dyDescent="0.25">
      <c r="A911" s="98">
        <v>3.2204808384952699</v>
      </c>
      <c r="B911">
        <v>8.35</v>
      </c>
      <c r="C911">
        <v>7.78</v>
      </c>
    </row>
    <row r="912" spans="1:3" x14ac:dyDescent="0.25">
      <c r="A912" s="98">
        <v>3.2240247554028398</v>
      </c>
      <c r="B912">
        <v>7.72</v>
      </c>
      <c r="C912">
        <v>7.81</v>
      </c>
    </row>
    <row r="913" spans="1:3" x14ac:dyDescent="0.25">
      <c r="A913" s="98">
        <v>3.2275676428664601</v>
      </c>
      <c r="B913">
        <v>7.98</v>
      </c>
      <c r="C913">
        <v>7.85</v>
      </c>
    </row>
    <row r="914" spans="1:3" x14ac:dyDescent="0.25">
      <c r="A914" s="98">
        <v>3.23111133882293</v>
      </c>
      <c r="B914">
        <v>8.41</v>
      </c>
      <c r="C914">
        <v>7.96</v>
      </c>
    </row>
    <row r="915" spans="1:3" x14ac:dyDescent="0.25">
      <c r="A915" s="98">
        <v>3.2346562661561702</v>
      </c>
      <c r="B915">
        <v>7.92</v>
      </c>
      <c r="C915">
        <v>7.88</v>
      </c>
    </row>
    <row r="916" spans="1:3" x14ac:dyDescent="0.25">
      <c r="A916" s="98">
        <v>3.2381986969488601</v>
      </c>
      <c r="B916">
        <v>7.74</v>
      </c>
      <c r="C916">
        <v>7.73</v>
      </c>
    </row>
    <row r="917" spans="1:3" x14ac:dyDescent="0.25">
      <c r="A917" s="98">
        <v>3.24174199037529</v>
      </c>
      <c r="B917">
        <v>8.16</v>
      </c>
      <c r="C917">
        <v>7.55</v>
      </c>
    </row>
    <row r="918" spans="1:3" x14ac:dyDescent="0.25">
      <c r="A918" s="98">
        <v>3.2452845495442499</v>
      </c>
      <c r="B918">
        <v>7.85</v>
      </c>
      <c r="C918">
        <v>7.7</v>
      </c>
    </row>
    <row r="919" spans="1:3" x14ac:dyDescent="0.25">
      <c r="A919" s="98">
        <v>3.2488285459577999</v>
      </c>
      <c r="B919">
        <v>8.41</v>
      </c>
      <c r="C919">
        <v>7.72</v>
      </c>
    </row>
    <row r="920" spans="1:3" x14ac:dyDescent="0.25">
      <c r="A920" s="98">
        <v>3.2523701887218999</v>
      </c>
      <c r="B920">
        <v>7.74</v>
      </c>
      <c r="C920">
        <v>7.78</v>
      </c>
    </row>
    <row r="921" spans="1:3" x14ac:dyDescent="0.25">
      <c r="A921" s="98">
        <v>3.2559129629422099</v>
      </c>
      <c r="B921">
        <v>7.76</v>
      </c>
      <c r="C921">
        <v>7.79</v>
      </c>
    </row>
    <row r="922" spans="1:3" x14ac:dyDescent="0.25">
      <c r="A922" s="98">
        <v>3.2594557793107302</v>
      </c>
      <c r="B922">
        <v>7.47</v>
      </c>
      <c r="C922">
        <v>7.81</v>
      </c>
    </row>
    <row r="923" spans="1:3" x14ac:dyDescent="0.25">
      <c r="A923" s="98">
        <v>3.26300296316544</v>
      </c>
      <c r="B923">
        <v>7.36</v>
      </c>
      <c r="C923">
        <v>7.7</v>
      </c>
    </row>
    <row r="924" spans="1:3" x14ac:dyDescent="0.25">
      <c r="A924" s="98">
        <v>3.2665459234791698</v>
      </c>
      <c r="B924">
        <v>8.33</v>
      </c>
      <c r="C924">
        <v>7.6</v>
      </c>
    </row>
    <row r="925" spans="1:3" x14ac:dyDescent="0.25">
      <c r="A925" s="98">
        <v>3.27008932577791</v>
      </c>
      <c r="B925">
        <v>7.88</v>
      </c>
      <c r="C925">
        <v>7.61</v>
      </c>
    </row>
    <row r="926" spans="1:3" x14ac:dyDescent="0.25">
      <c r="A926" s="98">
        <v>3.2736319823839</v>
      </c>
      <c r="B926">
        <v>8.5299999999999994</v>
      </c>
      <c r="C926">
        <v>7.63</v>
      </c>
    </row>
    <row r="927" spans="1:3" x14ac:dyDescent="0.25">
      <c r="A927" s="98">
        <v>3.2771751022393998</v>
      </c>
      <c r="B927">
        <v>7.98</v>
      </c>
      <c r="C927">
        <v>7.72</v>
      </c>
    </row>
    <row r="928" spans="1:3" x14ac:dyDescent="0.25">
      <c r="A928" s="98">
        <v>3.28071820250815</v>
      </c>
      <c r="B928">
        <v>8.1199999999999992</v>
      </c>
      <c r="C928">
        <v>7.7</v>
      </c>
    </row>
    <row r="929" spans="1:3" x14ac:dyDescent="0.25">
      <c r="A929" s="98">
        <v>3.2842631677952001</v>
      </c>
      <c r="B929">
        <v>8.14</v>
      </c>
      <c r="C929">
        <v>7.26</v>
      </c>
    </row>
    <row r="930" spans="1:3" x14ac:dyDescent="0.25">
      <c r="A930" s="98">
        <v>3.2878058002778698</v>
      </c>
      <c r="B930">
        <v>8.3000000000000007</v>
      </c>
      <c r="C930">
        <v>7.44</v>
      </c>
    </row>
    <row r="931" spans="1:3" x14ac:dyDescent="0.25">
      <c r="A931" s="98">
        <v>3.29134968530248</v>
      </c>
      <c r="B931">
        <v>8.19</v>
      </c>
      <c r="C931">
        <v>7.77</v>
      </c>
    </row>
    <row r="932" spans="1:3" x14ac:dyDescent="0.25">
      <c r="A932" s="98">
        <v>3.2948922101435798</v>
      </c>
      <c r="B932">
        <v>7.78</v>
      </c>
      <c r="C932">
        <v>7.58</v>
      </c>
    </row>
    <row r="933" spans="1:3" x14ac:dyDescent="0.25">
      <c r="A933" s="98">
        <v>3.2984349370278601</v>
      </c>
      <c r="B933">
        <v>7.67</v>
      </c>
      <c r="C933">
        <v>7.53</v>
      </c>
    </row>
    <row r="934" spans="1:3" x14ac:dyDescent="0.25">
      <c r="A934" s="98">
        <v>3.30197775180141</v>
      </c>
      <c r="B934">
        <v>7.21</v>
      </c>
      <c r="C934">
        <v>7.72</v>
      </c>
    </row>
    <row r="935" spans="1:3" x14ac:dyDescent="0.25">
      <c r="A935" s="98">
        <v>3.3055225994244699</v>
      </c>
      <c r="B935">
        <v>7.56</v>
      </c>
      <c r="C935">
        <v>7.73</v>
      </c>
    </row>
    <row r="936" spans="1:3" x14ac:dyDescent="0.25">
      <c r="A936" s="98">
        <v>3.3090638956482699</v>
      </c>
      <c r="B936">
        <v>8.17</v>
      </c>
      <c r="C936">
        <v>7.39</v>
      </c>
    </row>
    <row r="937" spans="1:3" x14ac:dyDescent="0.25">
      <c r="A937" s="98">
        <v>3.3126069646742602</v>
      </c>
      <c r="B937">
        <v>8.09</v>
      </c>
      <c r="C937">
        <v>7.43</v>
      </c>
    </row>
    <row r="938" spans="1:3" x14ac:dyDescent="0.25">
      <c r="A938" s="98">
        <v>3.3161494056383698</v>
      </c>
      <c r="B938">
        <v>7.33</v>
      </c>
      <c r="C938">
        <v>7.36</v>
      </c>
    </row>
    <row r="939" spans="1:3" x14ac:dyDescent="0.25">
      <c r="A939" s="98">
        <v>3.31969232388668</v>
      </c>
      <c r="B939">
        <v>7.86</v>
      </c>
      <c r="C939">
        <v>7.58</v>
      </c>
    </row>
    <row r="940" spans="1:3" x14ac:dyDescent="0.25">
      <c r="A940" s="98">
        <v>3.3232329396572302</v>
      </c>
      <c r="B940">
        <v>8.1</v>
      </c>
      <c r="C940">
        <v>7.58</v>
      </c>
    </row>
    <row r="941" spans="1:3" x14ac:dyDescent="0.25">
      <c r="A941" s="98">
        <v>3.3267756052867101</v>
      </c>
      <c r="B941">
        <v>7.31</v>
      </c>
      <c r="C941">
        <v>7.42</v>
      </c>
    </row>
    <row r="942" spans="1:3" x14ac:dyDescent="0.25">
      <c r="A942" s="98">
        <v>3.3303214537766199</v>
      </c>
      <c r="B942">
        <v>7.62</v>
      </c>
      <c r="C942">
        <v>7.39</v>
      </c>
    </row>
    <row r="943" spans="1:3" x14ac:dyDescent="0.25">
      <c r="A943" s="98">
        <v>3.3338638061064199</v>
      </c>
      <c r="B943">
        <v>7.41</v>
      </c>
      <c r="C943">
        <v>7.67</v>
      </c>
    </row>
    <row r="944" spans="1:3" x14ac:dyDescent="0.25">
      <c r="A944" s="98">
        <v>3.3374099666156098</v>
      </c>
      <c r="B944">
        <v>7.77</v>
      </c>
      <c r="C944">
        <v>7.34</v>
      </c>
    </row>
    <row r="945" spans="1:3" x14ac:dyDescent="0.25">
      <c r="A945" s="98">
        <v>3.3409529773835702</v>
      </c>
      <c r="B945">
        <v>7.72</v>
      </c>
      <c r="C945">
        <v>7.29</v>
      </c>
    </row>
    <row r="946" spans="1:3" x14ac:dyDescent="0.25">
      <c r="A946" s="98">
        <v>3.3444964514672701</v>
      </c>
      <c r="B946">
        <v>7.45</v>
      </c>
      <c r="C946">
        <v>7.57</v>
      </c>
    </row>
    <row r="947" spans="1:3" x14ac:dyDescent="0.25">
      <c r="A947" s="98">
        <v>3.3480389176364298</v>
      </c>
      <c r="B947">
        <v>7.58</v>
      </c>
      <c r="C947">
        <v>7.5</v>
      </c>
    </row>
    <row r="948" spans="1:3" x14ac:dyDescent="0.25">
      <c r="A948" s="98">
        <v>3.3515838865880601</v>
      </c>
      <c r="B948">
        <v>7.13</v>
      </c>
      <c r="C948">
        <v>7.29</v>
      </c>
    </row>
    <row r="949" spans="1:3" x14ac:dyDescent="0.25">
      <c r="A949" s="98">
        <v>3.3551289109444098</v>
      </c>
      <c r="B949">
        <v>7.36</v>
      </c>
      <c r="C949">
        <v>7.43</v>
      </c>
    </row>
    <row r="950" spans="1:3" x14ac:dyDescent="0.25">
      <c r="A950" s="98">
        <v>3.3586715024488898</v>
      </c>
      <c r="B950">
        <v>8.01</v>
      </c>
      <c r="C950">
        <v>7.63</v>
      </c>
    </row>
    <row r="951" spans="1:3" x14ac:dyDescent="0.25">
      <c r="A951" s="98">
        <v>3.3622155707633001</v>
      </c>
      <c r="B951">
        <v>7.38</v>
      </c>
      <c r="C951">
        <v>7.14</v>
      </c>
    </row>
    <row r="952" spans="1:3" x14ac:dyDescent="0.25">
      <c r="A952" s="98">
        <v>3.3657584242577898</v>
      </c>
      <c r="B952">
        <v>7.58</v>
      </c>
      <c r="C952">
        <v>7.18</v>
      </c>
    </row>
    <row r="953" spans="1:3" x14ac:dyDescent="0.25">
      <c r="A953" s="98">
        <v>3.36930380850478</v>
      </c>
      <c r="B953">
        <v>7.5</v>
      </c>
      <c r="C953">
        <v>7.44</v>
      </c>
    </row>
    <row r="954" spans="1:3" x14ac:dyDescent="0.25">
      <c r="A954" s="98">
        <v>3.3728465707544899</v>
      </c>
      <c r="B954">
        <v>7.71</v>
      </c>
      <c r="C954">
        <v>7.35</v>
      </c>
    </row>
    <row r="955" spans="1:3" x14ac:dyDescent="0.25">
      <c r="A955" s="98">
        <v>3.3763902929038898</v>
      </c>
      <c r="B955">
        <v>7.56</v>
      </c>
      <c r="C955">
        <v>7.38</v>
      </c>
    </row>
    <row r="956" spans="1:3" x14ac:dyDescent="0.25">
      <c r="A956" s="98">
        <v>3.3799342590349601</v>
      </c>
      <c r="B956">
        <v>8.1199999999999992</v>
      </c>
      <c r="C956">
        <v>7.45</v>
      </c>
    </row>
    <row r="957" spans="1:3" x14ac:dyDescent="0.25">
      <c r="A957" s="98">
        <v>3.3834764736559602</v>
      </c>
      <c r="B957">
        <v>7.43</v>
      </c>
      <c r="C957">
        <v>7.23</v>
      </c>
    </row>
    <row r="958" spans="1:3" x14ac:dyDescent="0.25">
      <c r="A958" s="98">
        <v>3.3870181599148999</v>
      </c>
      <c r="B958">
        <v>7.4</v>
      </c>
      <c r="C958">
        <v>7.29</v>
      </c>
    </row>
    <row r="959" spans="1:3" x14ac:dyDescent="0.25">
      <c r="A959" s="98">
        <v>3.3905626429065499</v>
      </c>
      <c r="B959">
        <v>7.41</v>
      </c>
      <c r="C959">
        <v>7.31</v>
      </c>
    </row>
    <row r="960" spans="1:3" x14ac:dyDescent="0.25">
      <c r="A960" s="98">
        <v>3.3941050536820101</v>
      </c>
      <c r="B960">
        <v>7.2</v>
      </c>
      <c r="C960">
        <v>7.37</v>
      </c>
    </row>
    <row r="961" spans="1:3" x14ac:dyDescent="0.25">
      <c r="A961" s="98">
        <v>3.3976489870912499</v>
      </c>
      <c r="B961">
        <v>7.53</v>
      </c>
      <c r="C961">
        <v>7.37</v>
      </c>
    </row>
    <row r="962" spans="1:3" x14ac:dyDescent="0.25">
      <c r="A962" s="98">
        <v>3.4011906948795998</v>
      </c>
      <c r="B962">
        <v>7.39</v>
      </c>
      <c r="C962">
        <v>7.43</v>
      </c>
    </row>
    <row r="963" spans="1:3" x14ac:dyDescent="0.25">
      <c r="A963" s="98">
        <v>3.4047336668107202</v>
      </c>
      <c r="B963">
        <v>7.01</v>
      </c>
      <c r="C963">
        <v>7.5</v>
      </c>
    </row>
    <row r="964" spans="1:3" x14ac:dyDescent="0.25">
      <c r="A964" s="98">
        <v>3.4082751735051402</v>
      </c>
      <c r="B964">
        <v>7.99</v>
      </c>
      <c r="C964">
        <v>7.54</v>
      </c>
    </row>
    <row r="965" spans="1:3" x14ac:dyDescent="0.25">
      <c r="A965" s="98">
        <v>3.41181763751639</v>
      </c>
      <c r="B965">
        <v>7.8</v>
      </c>
      <c r="C965">
        <v>7.57</v>
      </c>
    </row>
    <row r="966" spans="1:3" x14ac:dyDescent="0.25">
      <c r="A966" s="98">
        <v>3.4153603395543701</v>
      </c>
      <c r="B966">
        <v>7.69</v>
      </c>
      <c r="C966">
        <v>7.61</v>
      </c>
    </row>
    <row r="967" spans="1:3" x14ac:dyDescent="0.25">
      <c r="A967" s="98">
        <v>3.4189015958651301</v>
      </c>
      <c r="B967">
        <v>8</v>
      </c>
      <c r="C967">
        <v>7.66</v>
      </c>
    </row>
    <row r="968" spans="1:3" x14ac:dyDescent="0.25">
      <c r="A968" s="98">
        <v>3.4224468364594101</v>
      </c>
      <c r="B968">
        <v>7.6</v>
      </c>
      <c r="C968">
        <v>7.4</v>
      </c>
    </row>
    <row r="969" spans="1:3" x14ac:dyDescent="0.25">
      <c r="A969" s="98">
        <v>3.4259932856261699</v>
      </c>
      <c r="B969">
        <v>8.2899999999999991</v>
      </c>
      <c r="C969">
        <v>7.36</v>
      </c>
    </row>
    <row r="970" spans="1:3" x14ac:dyDescent="0.25">
      <c r="A970" s="98">
        <v>3.4295358909776898</v>
      </c>
      <c r="B970">
        <v>6.96</v>
      </c>
      <c r="C970">
        <v>7.29</v>
      </c>
    </row>
    <row r="971" spans="1:3" x14ac:dyDescent="0.25">
      <c r="A971" s="98">
        <v>3.4330797411998102</v>
      </c>
      <c r="B971">
        <v>7.44</v>
      </c>
      <c r="C971">
        <v>7.24</v>
      </c>
    </row>
    <row r="972" spans="1:3" x14ac:dyDescent="0.25">
      <c r="A972" s="98">
        <v>3.43662105392526</v>
      </c>
      <c r="B972">
        <v>7.7</v>
      </c>
      <c r="C972">
        <v>7.25</v>
      </c>
    </row>
    <row r="973" spans="1:3" x14ac:dyDescent="0.25">
      <c r="A973" s="98">
        <v>3.4401649434533299</v>
      </c>
      <c r="B973">
        <v>6.93</v>
      </c>
      <c r="C973">
        <v>7.33</v>
      </c>
    </row>
    <row r="974" spans="1:3" x14ac:dyDescent="0.25">
      <c r="A974" s="98">
        <v>3.4437065687389201</v>
      </c>
      <c r="B974">
        <v>7.02</v>
      </c>
      <c r="C974">
        <v>7.35</v>
      </c>
    </row>
    <row r="975" spans="1:3" x14ac:dyDescent="0.25">
      <c r="A975" s="98">
        <v>3.4472494812199299</v>
      </c>
      <c r="B975">
        <v>7.81</v>
      </c>
      <c r="C975">
        <v>7.29</v>
      </c>
    </row>
    <row r="976" spans="1:3" x14ac:dyDescent="0.25">
      <c r="A976" s="98">
        <v>3.4507933903513099</v>
      </c>
      <c r="B976">
        <v>7.28</v>
      </c>
      <c r="C976">
        <v>7.32</v>
      </c>
    </row>
    <row r="977" spans="1:3" x14ac:dyDescent="0.25">
      <c r="A977" s="98">
        <v>3.4543359576552</v>
      </c>
      <c r="B977">
        <v>7.21</v>
      </c>
      <c r="C977">
        <v>7.32</v>
      </c>
    </row>
    <row r="978" spans="1:3" x14ac:dyDescent="0.25">
      <c r="A978" s="98">
        <v>3.4578785654350499</v>
      </c>
      <c r="B978">
        <v>7.51</v>
      </c>
      <c r="C978">
        <v>7.38</v>
      </c>
    </row>
    <row r="979" spans="1:3" x14ac:dyDescent="0.25">
      <c r="A979" s="98">
        <v>3.4614237325886799</v>
      </c>
      <c r="B979">
        <v>7.07</v>
      </c>
      <c r="C979">
        <v>7.23</v>
      </c>
    </row>
    <row r="980" spans="1:3" x14ac:dyDescent="0.25">
      <c r="A980" s="98">
        <v>3.4649664326619201</v>
      </c>
      <c r="B980">
        <v>7.65</v>
      </c>
      <c r="C980">
        <v>7.28</v>
      </c>
    </row>
    <row r="981" spans="1:3" x14ac:dyDescent="0.25">
      <c r="A981" s="98">
        <v>3.4685081509969802</v>
      </c>
      <c r="B981">
        <v>7.33</v>
      </c>
      <c r="C981">
        <v>7.26</v>
      </c>
    </row>
    <row r="982" spans="1:3" x14ac:dyDescent="0.25">
      <c r="A982" s="98">
        <v>3.4720525012468801</v>
      </c>
      <c r="B982">
        <v>7.33</v>
      </c>
      <c r="C982">
        <v>7.4</v>
      </c>
    </row>
    <row r="983" spans="1:3" x14ac:dyDescent="0.25">
      <c r="A983" s="98">
        <v>3.4755962502956299</v>
      </c>
      <c r="B983">
        <v>7.89</v>
      </c>
      <c r="C983">
        <v>7.22</v>
      </c>
    </row>
    <row r="984" spans="1:3" x14ac:dyDescent="0.25">
      <c r="A984" s="98">
        <v>3.47913878067224</v>
      </c>
      <c r="B984">
        <v>7.7</v>
      </c>
      <c r="C984">
        <v>7.17</v>
      </c>
    </row>
    <row r="985" spans="1:3" x14ac:dyDescent="0.25">
      <c r="A985" s="98">
        <v>3.4826802615158998</v>
      </c>
      <c r="B985">
        <v>7.42</v>
      </c>
      <c r="C985">
        <v>7.1</v>
      </c>
    </row>
    <row r="986" spans="1:3" x14ac:dyDescent="0.25">
      <c r="A986" s="98">
        <v>3.4862232377076499</v>
      </c>
      <c r="B986">
        <v>7.59</v>
      </c>
      <c r="C986">
        <v>7.11</v>
      </c>
    </row>
    <row r="987" spans="1:3" x14ac:dyDescent="0.25">
      <c r="A987" s="98">
        <v>3.4897660569680999</v>
      </c>
      <c r="B987">
        <v>7.58</v>
      </c>
      <c r="C987">
        <v>7.4</v>
      </c>
    </row>
    <row r="988" spans="1:3" x14ac:dyDescent="0.25">
      <c r="A988" s="98">
        <v>3.4933088629609998</v>
      </c>
      <c r="B988">
        <v>7.17</v>
      </c>
      <c r="C988">
        <v>7.01</v>
      </c>
    </row>
    <row r="989" spans="1:3" x14ac:dyDescent="0.25">
      <c r="A989" s="98">
        <v>3.4968513629392302</v>
      </c>
      <c r="B989">
        <v>7.36</v>
      </c>
      <c r="C989">
        <v>7.16</v>
      </c>
    </row>
    <row r="990" spans="1:3" x14ac:dyDescent="0.25">
      <c r="A990" s="98">
        <v>3.5003947225709702</v>
      </c>
      <c r="B990">
        <v>7.49</v>
      </c>
      <c r="C990">
        <v>7</v>
      </c>
    </row>
    <row r="991" spans="1:3" x14ac:dyDescent="0.25">
      <c r="A991" s="98">
        <v>3.5039387434776099</v>
      </c>
      <c r="B991">
        <v>7.3</v>
      </c>
      <c r="C991">
        <v>7.37</v>
      </c>
    </row>
    <row r="992" spans="1:3" x14ac:dyDescent="0.25">
      <c r="A992" s="98">
        <v>3.5074822817080502</v>
      </c>
      <c r="B992">
        <v>7.48</v>
      </c>
      <c r="C992">
        <v>7.03</v>
      </c>
    </row>
    <row r="993" spans="1:3" x14ac:dyDescent="0.25">
      <c r="A993" s="98">
        <v>3.5110252933204098</v>
      </c>
      <c r="B993">
        <v>7.61</v>
      </c>
      <c r="C993">
        <v>7.13</v>
      </c>
    </row>
    <row r="994" spans="1:3" x14ac:dyDescent="0.25">
      <c r="A994" s="98">
        <v>3.51457013904496</v>
      </c>
      <c r="B994">
        <v>7.35</v>
      </c>
      <c r="C994">
        <v>7.07</v>
      </c>
    </row>
    <row r="995" spans="1:3" x14ac:dyDescent="0.25">
      <c r="A995" s="98">
        <v>3.5181148736454801</v>
      </c>
      <c r="B995">
        <v>7.15</v>
      </c>
      <c r="C995">
        <v>7.27</v>
      </c>
    </row>
    <row r="996" spans="1:3" x14ac:dyDescent="0.25">
      <c r="A996" s="98">
        <v>3.5216600998518599</v>
      </c>
      <c r="B996">
        <v>7.78</v>
      </c>
      <c r="C996">
        <v>7.05</v>
      </c>
    </row>
    <row r="997" spans="1:3" x14ac:dyDescent="0.25">
      <c r="A997" s="98">
        <v>3.5252036426740601</v>
      </c>
      <c r="B997">
        <v>6.87</v>
      </c>
      <c r="C997">
        <v>7.1</v>
      </c>
    </row>
    <row r="998" spans="1:3" x14ac:dyDescent="0.25">
      <c r="A998" s="98">
        <v>3.5287461825156599</v>
      </c>
      <c r="B998">
        <v>7.06</v>
      </c>
      <c r="C998">
        <v>7.09</v>
      </c>
    </row>
    <row r="999" spans="1:3" x14ac:dyDescent="0.25">
      <c r="A999" s="98">
        <v>3.5322878372006898</v>
      </c>
      <c r="B999">
        <v>7.02</v>
      </c>
      <c r="C999">
        <v>7.59</v>
      </c>
    </row>
    <row r="1000" spans="1:3" x14ac:dyDescent="0.25">
      <c r="A1000" s="98">
        <v>3.5358314825539199</v>
      </c>
      <c r="B1000">
        <v>6.74</v>
      </c>
      <c r="C1000">
        <v>7.2</v>
      </c>
    </row>
    <row r="1001" spans="1:3" x14ac:dyDescent="0.25">
      <c r="A1001" s="98">
        <v>3.5393743952832799</v>
      </c>
      <c r="B1001">
        <v>7.5</v>
      </c>
      <c r="C1001">
        <v>7.1</v>
      </c>
    </row>
    <row r="1002" spans="1:3" x14ac:dyDescent="0.25">
      <c r="A1002" s="98">
        <v>3.5429172887128799</v>
      </c>
      <c r="B1002">
        <v>7.12</v>
      </c>
      <c r="C1002">
        <v>7.07</v>
      </c>
    </row>
    <row r="1003" spans="1:3" x14ac:dyDescent="0.25">
      <c r="A1003" s="98">
        <v>3.54645964511566</v>
      </c>
      <c r="B1003">
        <v>7</v>
      </c>
      <c r="C1003">
        <v>7.12</v>
      </c>
    </row>
    <row r="1004" spans="1:3" x14ac:dyDescent="0.25">
      <c r="A1004" s="98">
        <v>3.5500024196836599</v>
      </c>
      <c r="B1004">
        <v>7.4</v>
      </c>
      <c r="C1004">
        <v>7.11</v>
      </c>
    </row>
    <row r="1005" spans="1:3" x14ac:dyDescent="0.25">
      <c r="A1005" s="98">
        <v>3.5535476770721099</v>
      </c>
      <c r="B1005">
        <v>6.91</v>
      </c>
      <c r="C1005">
        <v>6.89</v>
      </c>
    </row>
    <row r="1006" spans="1:3" x14ac:dyDescent="0.25">
      <c r="A1006" s="98">
        <v>3.5570933047654401</v>
      </c>
      <c r="B1006">
        <v>7.36</v>
      </c>
      <c r="C1006">
        <v>7.24</v>
      </c>
    </row>
    <row r="1007" spans="1:3" x14ac:dyDescent="0.25">
      <c r="A1007" s="98">
        <v>3.56063593551516</v>
      </c>
      <c r="B1007">
        <v>7.17</v>
      </c>
      <c r="C1007">
        <v>6.98</v>
      </c>
    </row>
    <row r="1008" spans="1:3" x14ac:dyDescent="0.25">
      <c r="A1008" s="98">
        <v>3.5641795578764501</v>
      </c>
      <c r="B1008">
        <v>6.95</v>
      </c>
      <c r="C1008">
        <v>7.31</v>
      </c>
    </row>
    <row r="1009" spans="1:3" x14ac:dyDescent="0.25">
      <c r="A1009" s="98">
        <v>3.5677236022551799</v>
      </c>
      <c r="B1009">
        <v>6.86</v>
      </c>
      <c r="C1009">
        <v>6.99</v>
      </c>
    </row>
    <row r="1010" spans="1:3" x14ac:dyDescent="0.25">
      <c r="A1010" s="98">
        <v>3.5712649899610698</v>
      </c>
      <c r="B1010">
        <v>6.86</v>
      </c>
      <c r="C1010">
        <v>6.98</v>
      </c>
    </row>
    <row r="1011" spans="1:3" x14ac:dyDescent="0.25">
      <c r="A1011" s="98">
        <v>3.5748071641833601</v>
      </c>
      <c r="B1011">
        <v>6.99</v>
      </c>
      <c r="C1011">
        <v>6.9</v>
      </c>
    </row>
    <row r="1012" spans="1:3" x14ac:dyDescent="0.25">
      <c r="A1012" s="98">
        <v>3.5783501559606301</v>
      </c>
      <c r="B1012">
        <v>6.71</v>
      </c>
      <c r="C1012">
        <v>6.93</v>
      </c>
    </row>
    <row r="1013" spans="1:3" x14ac:dyDescent="0.25">
      <c r="A1013" s="98">
        <v>3.5818930382640199</v>
      </c>
      <c r="B1013">
        <v>7.15</v>
      </c>
      <c r="C1013">
        <v>6.83</v>
      </c>
    </row>
    <row r="1014" spans="1:3" x14ac:dyDescent="0.25">
      <c r="A1014" s="98">
        <v>3.58543719237049</v>
      </c>
      <c r="B1014">
        <v>7.14</v>
      </c>
      <c r="C1014">
        <v>6.98</v>
      </c>
    </row>
    <row r="1015" spans="1:3" x14ac:dyDescent="0.25">
      <c r="A1015" s="98">
        <v>3.5889790885039998</v>
      </c>
      <c r="B1015">
        <v>6.96</v>
      </c>
      <c r="C1015">
        <v>7.12</v>
      </c>
    </row>
    <row r="1016" spans="1:3" x14ac:dyDescent="0.25">
      <c r="A1016" s="98">
        <v>3.5925219429035899</v>
      </c>
      <c r="B1016">
        <v>6.54</v>
      </c>
      <c r="C1016">
        <v>6.74</v>
      </c>
    </row>
    <row r="1017" spans="1:3" x14ac:dyDescent="0.25">
      <c r="A1017" s="98">
        <v>3.5960652095741601</v>
      </c>
      <c r="B1017">
        <v>6.93</v>
      </c>
      <c r="C1017">
        <v>6.7</v>
      </c>
    </row>
    <row r="1018" spans="1:3" x14ac:dyDescent="0.25">
      <c r="A1018" s="98">
        <v>3.5996064813103898</v>
      </c>
      <c r="B1018">
        <v>6.77</v>
      </c>
      <c r="C1018">
        <v>6.84</v>
      </c>
    </row>
    <row r="1019" spans="1:3" x14ac:dyDescent="0.25">
      <c r="A1019" s="98">
        <v>3.603150100708</v>
      </c>
      <c r="B1019">
        <v>6.77</v>
      </c>
      <c r="C1019">
        <v>6.8</v>
      </c>
    </row>
    <row r="1020" spans="1:3" x14ac:dyDescent="0.25">
      <c r="A1020" s="98">
        <v>3.6066941093681</v>
      </c>
      <c r="B1020">
        <v>6.98</v>
      </c>
      <c r="C1020">
        <v>6.98</v>
      </c>
    </row>
    <row r="1021" spans="1:3" x14ac:dyDescent="0.25">
      <c r="A1021" s="98">
        <v>3.6102380622868102</v>
      </c>
      <c r="B1021">
        <v>6.88</v>
      </c>
      <c r="C1021">
        <v>6.85</v>
      </c>
    </row>
    <row r="1022" spans="1:3" x14ac:dyDescent="0.25">
      <c r="A1022" s="98">
        <v>3.6137823164794098</v>
      </c>
      <c r="B1022">
        <v>7.07</v>
      </c>
      <c r="C1022">
        <v>6.93</v>
      </c>
    </row>
    <row r="1023" spans="1:3" x14ac:dyDescent="0.25">
      <c r="A1023" s="98">
        <v>3.6173241500445998</v>
      </c>
      <c r="B1023">
        <v>7</v>
      </c>
      <c r="C1023">
        <v>6.88</v>
      </c>
    </row>
    <row r="1024" spans="1:3" x14ac:dyDescent="0.25">
      <c r="A1024" s="98">
        <v>3.6208679549340799</v>
      </c>
      <c r="B1024">
        <v>7.02</v>
      </c>
      <c r="C1024">
        <v>6.68</v>
      </c>
    </row>
    <row r="1025" spans="1:3" x14ac:dyDescent="0.25">
      <c r="A1025" s="98">
        <v>3.62441343331226</v>
      </c>
      <c r="B1025">
        <v>6.72</v>
      </c>
      <c r="C1025">
        <v>6.57</v>
      </c>
    </row>
    <row r="1026" spans="1:3" x14ac:dyDescent="0.25">
      <c r="A1026" s="98">
        <v>3.62795899806199</v>
      </c>
      <c r="B1026">
        <v>7</v>
      </c>
      <c r="C1026">
        <v>6.75</v>
      </c>
    </row>
    <row r="1027" spans="1:3" x14ac:dyDescent="0.25">
      <c r="A1027" s="98">
        <v>3.6315014199581399</v>
      </c>
      <c r="B1027">
        <v>6.64</v>
      </c>
      <c r="C1027">
        <v>6.71</v>
      </c>
    </row>
    <row r="1028" spans="1:3" x14ac:dyDescent="0.25">
      <c r="A1028" s="98">
        <v>3.6350443069581599</v>
      </c>
      <c r="B1028">
        <v>7.28</v>
      </c>
      <c r="C1028">
        <v>6.65</v>
      </c>
    </row>
    <row r="1029" spans="1:3" x14ac:dyDescent="0.25">
      <c r="A1029" s="98">
        <v>3.6385860038134701</v>
      </c>
      <c r="B1029">
        <v>7.12</v>
      </c>
      <c r="C1029">
        <v>7.03</v>
      </c>
    </row>
    <row r="1030" spans="1:3" x14ac:dyDescent="0.25">
      <c r="A1030" s="98">
        <v>3.6421279050354598</v>
      </c>
      <c r="B1030">
        <v>6.46</v>
      </c>
      <c r="C1030">
        <v>6.65</v>
      </c>
    </row>
    <row r="1031" spans="1:3" x14ac:dyDescent="0.25">
      <c r="A1031" s="98">
        <v>3.6456716052746301</v>
      </c>
      <c r="B1031">
        <v>6.52</v>
      </c>
      <c r="C1031">
        <v>6.52</v>
      </c>
    </row>
    <row r="1032" spans="1:3" x14ac:dyDescent="0.25">
      <c r="A1032" s="98">
        <v>3.6492153007012802</v>
      </c>
      <c r="B1032">
        <v>7.09</v>
      </c>
      <c r="C1032">
        <v>6.6</v>
      </c>
    </row>
    <row r="1033" spans="1:3" x14ac:dyDescent="0.25">
      <c r="A1033" s="98">
        <v>3.65275794944277</v>
      </c>
      <c r="B1033">
        <v>6.99</v>
      </c>
      <c r="C1033">
        <v>6.68</v>
      </c>
    </row>
    <row r="1034" spans="1:3" x14ac:dyDescent="0.25">
      <c r="A1034" s="98">
        <v>3.6563028016741601</v>
      </c>
      <c r="B1034">
        <v>6.68</v>
      </c>
      <c r="C1034">
        <v>6.53</v>
      </c>
    </row>
    <row r="1035" spans="1:3" x14ac:dyDescent="0.25">
      <c r="A1035" s="98">
        <v>3.65984631892155</v>
      </c>
      <c r="B1035">
        <v>6.97</v>
      </c>
      <c r="C1035">
        <v>6.57</v>
      </c>
    </row>
    <row r="1036" spans="1:3" x14ac:dyDescent="0.25">
      <c r="A1036" s="98">
        <v>3.6633893084581199</v>
      </c>
      <c r="B1036">
        <v>7.05</v>
      </c>
      <c r="C1036">
        <v>6.87</v>
      </c>
    </row>
    <row r="1037" spans="1:3" x14ac:dyDescent="0.25">
      <c r="A1037" s="98">
        <v>3.6669322205693602</v>
      </c>
      <c r="B1037">
        <v>6.99</v>
      </c>
      <c r="C1037">
        <v>6.8</v>
      </c>
    </row>
    <row r="1038" spans="1:3" x14ac:dyDescent="0.25">
      <c r="A1038" s="98">
        <v>3.6704740291557898</v>
      </c>
      <c r="B1038">
        <v>6.94</v>
      </c>
      <c r="C1038">
        <v>6.49</v>
      </c>
    </row>
    <row r="1039" spans="1:3" x14ac:dyDescent="0.25">
      <c r="A1039" s="98">
        <v>3.6740162096365698</v>
      </c>
      <c r="B1039">
        <v>6.72</v>
      </c>
      <c r="C1039">
        <v>6.48</v>
      </c>
    </row>
    <row r="1040" spans="1:3" x14ac:dyDescent="0.25">
      <c r="A1040" s="98">
        <v>3.6775590176273201</v>
      </c>
      <c r="B1040">
        <v>6.54</v>
      </c>
      <c r="C1040">
        <v>6.78</v>
      </c>
    </row>
    <row r="1041" spans="1:3" x14ac:dyDescent="0.25">
      <c r="A1041" s="98">
        <v>3.6811029399324302</v>
      </c>
      <c r="B1041">
        <v>6.71</v>
      </c>
      <c r="C1041">
        <v>6.48</v>
      </c>
    </row>
    <row r="1042" spans="1:3" x14ac:dyDescent="0.25">
      <c r="A1042" s="98">
        <v>3.6846479751666301</v>
      </c>
      <c r="B1042">
        <v>6.93</v>
      </c>
      <c r="C1042">
        <v>6.62</v>
      </c>
    </row>
    <row r="1043" spans="1:3" x14ac:dyDescent="0.25">
      <c r="A1043" s="98">
        <v>3.6881903766923401</v>
      </c>
      <c r="B1043">
        <v>6.87</v>
      </c>
      <c r="C1043">
        <v>6.52</v>
      </c>
    </row>
    <row r="1044" spans="1:3" x14ac:dyDescent="0.25">
      <c r="A1044" s="98">
        <v>3.6917328530329199</v>
      </c>
      <c r="B1044">
        <v>6.44</v>
      </c>
      <c r="C1044">
        <v>6.38</v>
      </c>
    </row>
    <row r="1045" spans="1:3" x14ac:dyDescent="0.25">
      <c r="A1045" s="98">
        <v>3.6952749022675802</v>
      </c>
      <c r="B1045">
        <v>6.35</v>
      </c>
      <c r="C1045">
        <v>6.47</v>
      </c>
    </row>
    <row r="1046" spans="1:3" x14ac:dyDescent="0.25">
      <c r="A1046" s="98">
        <v>3.6988176598593001</v>
      </c>
      <c r="B1046">
        <v>6.22</v>
      </c>
      <c r="C1046">
        <v>6.55</v>
      </c>
    </row>
    <row r="1047" spans="1:3" x14ac:dyDescent="0.25">
      <c r="A1047" s="98">
        <v>3.70236175737447</v>
      </c>
      <c r="B1047">
        <v>6.69</v>
      </c>
      <c r="C1047">
        <v>6.63</v>
      </c>
    </row>
    <row r="1048" spans="1:3" x14ac:dyDescent="0.25">
      <c r="A1048" s="98">
        <v>3.70590342396939</v>
      </c>
      <c r="B1048">
        <v>6.46</v>
      </c>
      <c r="C1048">
        <v>6.47</v>
      </c>
    </row>
    <row r="1049" spans="1:3" x14ac:dyDescent="0.25">
      <c r="A1049" s="98">
        <v>3.7094466116196498</v>
      </c>
      <c r="B1049">
        <v>6.53</v>
      </c>
      <c r="C1049">
        <v>6.51</v>
      </c>
    </row>
    <row r="1050" spans="1:3" x14ac:dyDescent="0.25">
      <c r="A1050" s="98">
        <v>3.71298942099566</v>
      </c>
      <c r="B1050">
        <v>6.9</v>
      </c>
      <c r="C1050">
        <v>6.53</v>
      </c>
    </row>
    <row r="1051" spans="1:3" x14ac:dyDescent="0.25">
      <c r="A1051" s="98">
        <v>3.7165305986006998</v>
      </c>
      <c r="B1051">
        <v>6.7</v>
      </c>
      <c r="C1051">
        <v>6.61</v>
      </c>
    </row>
    <row r="1052" spans="1:3" x14ac:dyDescent="0.25">
      <c r="A1052" s="98">
        <v>3.7200746295739102</v>
      </c>
      <c r="B1052">
        <v>6.84</v>
      </c>
      <c r="C1052">
        <v>6.67</v>
      </c>
    </row>
    <row r="1053" spans="1:3" x14ac:dyDescent="0.25">
      <c r="A1053" s="98">
        <v>3.72361771635987</v>
      </c>
      <c r="B1053">
        <v>6.68</v>
      </c>
      <c r="C1053">
        <v>6.57</v>
      </c>
    </row>
    <row r="1054" spans="1:3" x14ac:dyDescent="0.25">
      <c r="A1054" s="98">
        <v>3.7271589652310899</v>
      </c>
      <c r="B1054">
        <v>6.45</v>
      </c>
      <c r="C1054">
        <v>6.5</v>
      </c>
    </row>
    <row r="1055" spans="1:3" x14ac:dyDescent="0.25">
      <c r="A1055" s="98">
        <v>3.7307027383203799</v>
      </c>
      <c r="B1055">
        <v>6.68</v>
      </c>
      <c r="C1055">
        <v>6.37</v>
      </c>
    </row>
    <row r="1056" spans="1:3" x14ac:dyDescent="0.25">
      <c r="A1056" s="98">
        <v>3.7342455705337998</v>
      </c>
      <c r="B1056">
        <v>6.67</v>
      </c>
      <c r="C1056">
        <v>6.55</v>
      </c>
    </row>
    <row r="1057" spans="1:3" x14ac:dyDescent="0.25">
      <c r="A1057" s="98">
        <v>3.7377886643564202</v>
      </c>
      <c r="B1057">
        <v>6.48</v>
      </c>
      <c r="C1057">
        <v>6.4</v>
      </c>
    </row>
    <row r="1058" spans="1:3" x14ac:dyDescent="0.25">
      <c r="A1058" s="98">
        <v>3.7413308092675801</v>
      </c>
      <c r="B1058">
        <v>6.34</v>
      </c>
      <c r="C1058">
        <v>6.34</v>
      </c>
    </row>
    <row r="1059" spans="1:3" x14ac:dyDescent="0.25">
      <c r="A1059" s="98">
        <v>3.7448737950733402</v>
      </c>
      <c r="B1059">
        <v>6.52</v>
      </c>
      <c r="C1059">
        <v>6.75</v>
      </c>
    </row>
    <row r="1060" spans="1:3" x14ac:dyDescent="0.25">
      <c r="A1060" s="98">
        <v>3.7484166344613898</v>
      </c>
      <c r="B1060">
        <v>6.68</v>
      </c>
      <c r="C1060">
        <v>6.72</v>
      </c>
    </row>
    <row r="1061" spans="1:3" x14ac:dyDescent="0.25">
      <c r="A1061" s="98">
        <v>3.75195930574779</v>
      </c>
      <c r="B1061">
        <v>6.62</v>
      </c>
      <c r="C1061">
        <v>6.68</v>
      </c>
    </row>
    <row r="1062" spans="1:3" x14ac:dyDescent="0.25">
      <c r="A1062" s="98">
        <v>3.7555019640922498</v>
      </c>
      <c r="B1062">
        <v>6.54</v>
      </c>
      <c r="C1062">
        <v>6.21</v>
      </c>
    </row>
    <row r="1063" spans="1:3" x14ac:dyDescent="0.25">
      <c r="A1063" s="98">
        <v>3.7590457626901199</v>
      </c>
      <c r="B1063">
        <v>6.3</v>
      </c>
      <c r="C1063">
        <v>6.49</v>
      </c>
    </row>
    <row r="1064" spans="1:3" x14ac:dyDescent="0.25">
      <c r="A1064" s="98">
        <v>3.7625873937650902</v>
      </c>
      <c r="B1064">
        <v>7</v>
      </c>
      <c r="C1064">
        <v>6.45</v>
      </c>
    </row>
    <row r="1065" spans="1:3" x14ac:dyDescent="0.25">
      <c r="A1065" s="98">
        <v>3.7661318056561299</v>
      </c>
      <c r="B1065">
        <v>6.63</v>
      </c>
      <c r="C1065">
        <v>6.42</v>
      </c>
    </row>
    <row r="1066" spans="1:3" x14ac:dyDescent="0.25">
      <c r="A1066" s="98">
        <v>3.7696759313841599</v>
      </c>
      <c r="B1066">
        <v>6.95</v>
      </c>
      <c r="C1066">
        <v>6.57</v>
      </c>
    </row>
    <row r="1067" spans="1:3" x14ac:dyDescent="0.25">
      <c r="A1067" s="98">
        <v>3.7732216545718602</v>
      </c>
      <c r="B1067">
        <v>6.54</v>
      </c>
      <c r="C1067">
        <v>6.64</v>
      </c>
    </row>
    <row r="1068" spans="1:3" x14ac:dyDescent="0.25">
      <c r="A1068" s="98">
        <v>3.7767646333685598</v>
      </c>
      <c r="B1068">
        <v>6.34</v>
      </c>
      <c r="C1068">
        <v>6.48</v>
      </c>
    </row>
    <row r="1069" spans="1:3" x14ac:dyDescent="0.25">
      <c r="A1069" s="98">
        <v>3.7803077059432302</v>
      </c>
      <c r="B1069">
        <v>6.68</v>
      </c>
      <c r="C1069">
        <v>6.27</v>
      </c>
    </row>
    <row r="1070" spans="1:3" x14ac:dyDescent="0.25">
      <c r="A1070" s="98">
        <v>3.78385142531108</v>
      </c>
      <c r="B1070">
        <v>6.59</v>
      </c>
      <c r="C1070">
        <v>6.36</v>
      </c>
    </row>
    <row r="1071" spans="1:3" x14ac:dyDescent="0.25">
      <c r="A1071" s="98">
        <v>3.7873943180784</v>
      </c>
      <c r="B1071">
        <v>6.31</v>
      </c>
      <c r="C1071">
        <v>6.4</v>
      </c>
    </row>
    <row r="1072" spans="1:3" x14ac:dyDescent="0.25">
      <c r="A1072" s="98">
        <v>3.7909372858758301</v>
      </c>
      <c r="B1072">
        <v>6.84</v>
      </c>
      <c r="C1072">
        <v>6.26</v>
      </c>
    </row>
    <row r="1073" spans="1:3" x14ac:dyDescent="0.25">
      <c r="A1073" s="98">
        <v>3.7944791392209298</v>
      </c>
      <c r="B1073">
        <v>6.44</v>
      </c>
      <c r="C1073">
        <v>6.33</v>
      </c>
    </row>
    <row r="1074" spans="1:3" x14ac:dyDescent="0.25">
      <c r="A1074" s="98">
        <v>3.7980231324721201</v>
      </c>
      <c r="B1074">
        <v>6.9</v>
      </c>
      <c r="C1074">
        <v>6.18</v>
      </c>
    </row>
    <row r="1075" spans="1:3" x14ac:dyDescent="0.25">
      <c r="A1075" s="98">
        <v>3.8015659399054602</v>
      </c>
      <c r="B1075">
        <v>6.5</v>
      </c>
      <c r="C1075">
        <v>6.19</v>
      </c>
    </row>
    <row r="1076" spans="1:3" x14ac:dyDescent="0.25">
      <c r="A1076" s="98">
        <v>3.80511030992424</v>
      </c>
      <c r="B1076">
        <v>6.22</v>
      </c>
      <c r="C1076">
        <v>6.06</v>
      </c>
    </row>
    <row r="1077" spans="1:3" x14ac:dyDescent="0.25">
      <c r="A1077" s="98">
        <v>3.8086532513024598</v>
      </c>
      <c r="B1077">
        <v>6.38</v>
      </c>
      <c r="C1077">
        <v>6.15</v>
      </c>
    </row>
    <row r="1078" spans="1:3" x14ac:dyDescent="0.25">
      <c r="A1078" s="98">
        <v>3.8121952316551302</v>
      </c>
      <c r="B1078">
        <v>6.28</v>
      </c>
      <c r="C1078">
        <v>6.16</v>
      </c>
    </row>
    <row r="1079" spans="1:3" x14ac:dyDescent="0.25">
      <c r="A1079" s="98">
        <v>3.8157392842570901</v>
      </c>
      <c r="B1079">
        <v>6.59</v>
      </c>
      <c r="C1079">
        <v>6.22</v>
      </c>
    </row>
    <row r="1080" spans="1:3" x14ac:dyDescent="0.25">
      <c r="A1080" s="98">
        <v>3.8192841751542299</v>
      </c>
      <c r="B1080">
        <v>6.57</v>
      </c>
      <c r="C1080">
        <v>6.42</v>
      </c>
    </row>
    <row r="1081" spans="1:3" x14ac:dyDescent="0.25">
      <c r="A1081" s="98">
        <v>3.8228281624063301</v>
      </c>
      <c r="B1081">
        <v>6.53</v>
      </c>
      <c r="C1081">
        <v>6.13</v>
      </c>
    </row>
    <row r="1082" spans="1:3" x14ac:dyDescent="0.25">
      <c r="A1082" s="98">
        <v>3.8263701260365801</v>
      </c>
      <c r="B1082">
        <v>6.35</v>
      </c>
      <c r="C1082">
        <v>6.02</v>
      </c>
    </row>
    <row r="1083" spans="1:3" x14ac:dyDescent="0.25">
      <c r="A1083" s="98">
        <v>3.8299145158849299</v>
      </c>
      <c r="B1083">
        <v>6.01</v>
      </c>
      <c r="C1083">
        <v>6.16</v>
      </c>
    </row>
    <row r="1084" spans="1:3" x14ac:dyDescent="0.25">
      <c r="A1084" s="98">
        <v>3.8334574826006498</v>
      </c>
      <c r="B1084">
        <v>6.34</v>
      </c>
      <c r="C1084">
        <v>6.17</v>
      </c>
    </row>
    <row r="1085" spans="1:3" x14ac:dyDescent="0.25">
      <c r="A1085" s="98">
        <v>3.8369999887214701</v>
      </c>
      <c r="B1085">
        <v>6.19</v>
      </c>
      <c r="C1085">
        <v>5.98</v>
      </c>
    </row>
    <row r="1086" spans="1:3" x14ac:dyDescent="0.25">
      <c r="A1086" s="98">
        <v>3.8405427154788199</v>
      </c>
      <c r="B1086">
        <v>6.32</v>
      </c>
      <c r="C1086">
        <v>5.98</v>
      </c>
    </row>
    <row r="1087" spans="1:3" x14ac:dyDescent="0.25">
      <c r="A1087" s="98">
        <v>3.8440860916839701</v>
      </c>
      <c r="B1087">
        <v>5.94</v>
      </c>
      <c r="C1087">
        <v>6.17</v>
      </c>
    </row>
    <row r="1088" spans="1:3" x14ac:dyDescent="0.25">
      <c r="A1088" s="98">
        <v>3.8476313956192199</v>
      </c>
      <c r="B1088">
        <v>6.39</v>
      </c>
      <c r="C1088">
        <v>6.03</v>
      </c>
    </row>
    <row r="1089" spans="1:3" x14ac:dyDescent="0.25">
      <c r="A1089" s="98">
        <v>3.85117650519918</v>
      </c>
      <c r="B1089">
        <v>6.07</v>
      </c>
      <c r="C1089">
        <v>6.19</v>
      </c>
    </row>
    <row r="1090" spans="1:3" x14ac:dyDescent="0.25">
      <c r="A1090" s="98">
        <v>3.8547195521659301</v>
      </c>
      <c r="B1090">
        <v>6.01</v>
      </c>
      <c r="C1090">
        <v>6.12</v>
      </c>
    </row>
    <row r="1091" spans="1:3" x14ac:dyDescent="0.25">
      <c r="A1091" s="98">
        <v>3.8582651180691099</v>
      </c>
      <c r="B1091">
        <v>6.45</v>
      </c>
      <c r="C1091">
        <v>6.09</v>
      </c>
    </row>
    <row r="1092" spans="1:3" x14ac:dyDescent="0.25">
      <c r="A1092" s="98">
        <v>3.8618083664443699</v>
      </c>
      <c r="B1092">
        <v>6.51</v>
      </c>
      <c r="C1092">
        <v>5.97</v>
      </c>
    </row>
    <row r="1093" spans="1:3" x14ac:dyDescent="0.25">
      <c r="A1093" s="98">
        <v>3.86535076203169</v>
      </c>
      <c r="B1093">
        <v>6.05</v>
      </c>
      <c r="C1093">
        <v>6.05</v>
      </c>
    </row>
    <row r="1094" spans="1:3" x14ac:dyDescent="0.25">
      <c r="A1094" s="98">
        <v>3.86889462505225</v>
      </c>
      <c r="B1094">
        <v>6.32</v>
      </c>
      <c r="C1094">
        <v>6.08</v>
      </c>
    </row>
    <row r="1095" spans="1:3" x14ac:dyDescent="0.25">
      <c r="A1095" s="98">
        <v>3.8724370656079699</v>
      </c>
      <c r="B1095">
        <v>6.05</v>
      </c>
      <c r="C1095">
        <v>6</v>
      </c>
    </row>
    <row r="1096" spans="1:3" x14ac:dyDescent="0.25">
      <c r="A1096" s="98">
        <v>3.8759801352355199</v>
      </c>
      <c r="B1096">
        <v>6.15</v>
      </c>
      <c r="C1096">
        <v>6.1</v>
      </c>
    </row>
    <row r="1097" spans="1:3" x14ac:dyDescent="0.25">
      <c r="A1097" s="98">
        <v>3.8795224898887999</v>
      </c>
      <c r="B1097">
        <v>6.46</v>
      </c>
      <c r="C1097">
        <v>5.93</v>
      </c>
    </row>
    <row r="1098" spans="1:3" x14ac:dyDescent="0.25">
      <c r="A1098" s="98">
        <v>3.88306693615736</v>
      </c>
      <c r="B1098">
        <v>5.95</v>
      </c>
      <c r="C1098">
        <v>5.84</v>
      </c>
    </row>
    <row r="1099" spans="1:3" x14ac:dyDescent="0.25">
      <c r="A1099" s="98">
        <v>3.8866109452920901</v>
      </c>
      <c r="B1099">
        <v>6.16</v>
      </c>
      <c r="C1099">
        <v>6.03</v>
      </c>
    </row>
    <row r="1100" spans="1:3" x14ac:dyDescent="0.25">
      <c r="A1100" s="98">
        <v>3.8901538210334601</v>
      </c>
      <c r="B1100">
        <v>6.03</v>
      </c>
      <c r="C1100">
        <v>5.96</v>
      </c>
    </row>
    <row r="1101" spans="1:3" x14ac:dyDescent="0.25">
      <c r="A1101" s="98">
        <v>3.8936976150726799</v>
      </c>
      <c r="B1101">
        <v>6.32</v>
      </c>
      <c r="C1101">
        <v>5.81</v>
      </c>
    </row>
    <row r="1102" spans="1:3" x14ac:dyDescent="0.25">
      <c r="A1102" s="98">
        <v>3.8972390327685398</v>
      </c>
      <c r="B1102">
        <v>6.2</v>
      </c>
      <c r="C1102">
        <v>6.04</v>
      </c>
    </row>
    <row r="1103" spans="1:3" x14ac:dyDescent="0.25">
      <c r="A1103" s="98">
        <v>3.9007815625049398</v>
      </c>
      <c r="B1103">
        <v>6.15</v>
      </c>
      <c r="C1103">
        <v>5.98</v>
      </c>
    </row>
    <row r="1104" spans="1:3" x14ac:dyDescent="0.25">
      <c r="A1104" s="98">
        <v>3.9043244278099798</v>
      </c>
      <c r="B1104">
        <v>6.1</v>
      </c>
      <c r="C1104">
        <v>5.79</v>
      </c>
    </row>
    <row r="1105" spans="1:3" x14ac:dyDescent="0.25">
      <c r="A1105" s="98">
        <v>3.90786720614742</v>
      </c>
      <c r="B1105">
        <v>6.23</v>
      </c>
      <c r="C1105">
        <v>5.89</v>
      </c>
    </row>
    <row r="1106" spans="1:3" x14ac:dyDescent="0.25">
      <c r="A1106" s="98">
        <v>3.9114124562839598</v>
      </c>
      <c r="B1106">
        <v>6.24</v>
      </c>
      <c r="C1106">
        <v>5.88</v>
      </c>
    </row>
    <row r="1107" spans="1:3" x14ac:dyDescent="0.25">
      <c r="A1107" s="98">
        <v>3.9149558685609498</v>
      </c>
      <c r="B1107">
        <v>6.11</v>
      </c>
      <c r="C1107">
        <v>5.65</v>
      </c>
    </row>
    <row r="1108" spans="1:3" x14ac:dyDescent="0.25">
      <c r="A1108" s="98">
        <v>3.9184991096180899</v>
      </c>
      <c r="B1108">
        <v>5.92</v>
      </c>
      <c r="C1108">
        <v>5.92</v>
      </c>
    </row>
    <row r="1109" spans="1:3" x14ac:dyDescent="0.25">
      <c r="A1109" s="98">
        <v>3.9220410577952798</v>
      </c>
      <c r="B1109">
        <v>6.13</v>
      </c>
      <c r="C1109">
        <v>5.59</v>
      </c>
    </row>
    <row r="1110" spans="1:3" x14ac:dyDescent="0.25">
      <c r="A1110" s="98">
        <v>3.9255840382476599</v>
      </c>
      <c r="B1110">
        <v>5.97</v>
      </c>
      <c r="C1110">
        <v>5.78</v>
      </c>
    </row>
    <row r="1111" spans="1:3" x14ac:dyDescent="0.25">
      <c r="A1111" s="98">
        <v>3.9291305847576301</v>
      </c>
      <c r="B1111">
        <v>6.03</v>
      </c>
      <c r="C1111">
        <v>5.71</v>
      </c>
    </row>
    <row r="1112" spans="1:3" x14ac:dyDescent="0.25">
      <c r="A1112" s="98">
        <v>3.93267079055309</v>
      </c>
      <c r="B1112">
        <v>6.26</v>
      </c>
      <c r="C1112">
        <v>5.71</v>
      </c>
    </row>
    <row r="1113" spans="1:3" x14ac:dyDescent="0.25">
      <c r="A1113" s="98">
        <v>3.9362143646015002</v>
      </c>
      <c r="B1113">
        <v>6.23</v>
      </c>
      <c r="C1113">
        <v>5.97</v>
      </c>
    </row>
    <row r="1114" spans="1:3" x14ac:dyDescent="0.25">
      <c r="A1114" s="98">
        <v>3.9397593021172002</v>
      </c>
      <c r="B1114">
        <v>6.01</v>
      </c>
      <c r="C1114">
        <v>5.77</v>
      </c>
    </row>
    <row r="1115" spans="1:3" x14ac:dyDescent="0.25">
      <c r="A1115" s="98">
        <v>3.9433011944978298</v>
      </c>
      <c r="B1115">
        <v>6.05</v>
      </c>
      <c r="C1115">
        <v>5.63</v>
      </c>
    </row>
    <row r="1116" spans="1:3" x14ac:dyDescent="0.25">
      <c r="A1116" s="98">
        <v>3.9468441009411102</v>
      </c>
      <c r="B1116">
        <v>6.14</v>
      </c>
      <c r="C1116">
        <v>5.83</v>
      </c>
    </row>
    <row r="1117" spans="1:3" x14ac:dyDescent="0.25">
      <c r="A1117" s="98">
        <v>3.9503859452848</v>
      </c>
      <c r="B1117">
        <v>6.18</v>
      </c>
      <c r="C1117">
        <v>5.7</v>
      </c>
    </row>
    <row r="1118" spans="1:3" x14ac:dyDescent="0.25">
      <c r="A1118" s="98">
        <v>3.9539287482478001</v>
      </c>
      <c r="B1118">
        <v>6.32</v>
      </c>
      <c r="C1118">
        <v>5.73</v>
      </c>
    </row>
    <row r="1119" spans="1:3" x14ac:dyDescent="0.25">
      <c r="A1119" s="98">
        <v>3.9574703212744602</v>
      </c>
      <c r="B1119">
        <v>5.8</v>
      </c>
      <c r="C1119">
        <v>5.53</v>
      </c>
    </row>
    <row r="1120" spans="1:3" x14ac:dyDescent="0.25">
      <c r="A1120" s="98">
        <v>3.9610141232664899</v>
      </c>
      <c r="B1120">
        <v>6.26</v>
      </c>
      <c r="C1120">
        <v>5.68</v>
      </c>
    </row>
    <row r="1121" spans="1:3" x14ac:dyDescent="0.25">
      <c r="A1121" s="98">
        <v>3.9645572059353098</v>
      </c>
      <c r="B1121">
        <v>5.91</v>
      </c>
      <c r="C1121">
        <v>5.81</v>
      </c>
    </row>
    <row r="1122" spans="1:3" x14ac:dyDescent="0.25">
      <c r="A1122" s="98">
        <v>3.9681028705614501</v>
      </c>
      <c r="B1122">
        <v>6.32</v>
      </c>
      <c r="C1122">
        <v>5.7</v>
      </c>
    </row>
    <row r="1123" spans="1:3" x14ac:dyDescent="0.25">
      <c r="A1123" s="98">
        <v>3.9716453496339099</v>
      </c>
      <c r="B1123">
        <v>6.1</v>
      </c>
      <c r="C1123">
        <v>5.87</v>
      </c>
    </row>
    <row r="1124" spans="1:3" x14ac:dyDescent="0.25">
      <c r="A1124" s="98">
        <v>3.9751882917130401</v>
      </c>
      <c r="B1124">
        <v>6.25</v>
      </c>
      <c r="C1124">
        <v>5.75</v>
      </c>
    </row>
    <row r="1125" spans="1:3" x14ac:dyDescent="0.25">
      <c r="A1125" s="98">
        <v>3.9787324079208899</v>
      </c>
      <c r="B1125">
        <v>5.86</v>
      </c>
      <c r="C1125">
        <v>5.85</v>
      </c>
    </row>
    <row r="1126" spans="1:3" x14ac:dyDescent="0.25">
      <c r="A1126" s="98">
        <v>3.98227640414679</v>
      </c>
      <c r="B1126">
        <v>5.81</v>
      </c>
      <c r="C1126">
        <v>5.82</v>
      </c>
    </row>
    <row r="1127" spans="1:3" x14ac:dyDescent="0.25">
      <c r="A1127" s="98">
        <v>3.9858191795371201</v>
      </c>
      <c r="B1127">
        <v>6.5</v>
      </c>
      <c r="C1127">
        <v>5.88</v>
      </c>
    </row>
    <row r="1128" spans="1:3" x14ac:dyDescent="0.25">
      <c r="A1128" s="98">
        <v>3.9893639267208401</v>
      </c>
      <c r="B1128">
        <v>6.03</v>
      </c>
      <c r="C1128">
        <v>5.82</v>
      </c>
    </row>
    <row r="1129" spans="1:3" x14ac:dyDescent="0.25">
      <c r="A1129" s="98">
        <v>3.99290680409029</v>
      </c>
      <c r="B1129">
        <v>5.74</v>
      </c>
      <c r="C1129">
        <v>5.67</v>
      </c>
    </row>
    <row r="1130" spans="1:3" x14ac:dyDescent="0.25">
      <c r="A1130" s="98">
        <v>3.9964481856646299</v>
      </c>
      <c r="B1130">
        <v>5.82</v>
      </c>
      <c r="C1130">
        <v>5.54</v>
      </c>
    </row>
    <row r="1131" spans="1:3" x14ac:dyDescent="0.25">
      <c r="A1131" s="98">
        <v>3.9999922048879899</v>
      </c>
      <c r="B1131">
        <v>5.81</v>
      </c>
      <c r="C1131">
        <v>5.87</v>
      </c>
    </row>
    <row r="1132" spans="1:3" x14ac:dyDescent="0.25">
      <c r="A1132" s="98">
        <v>4.0035363365323402</v>
      </c>
      <c r="B1132">
        <v>5.58</v>
      </c>
      <c r="C1132">
        <v>5.68</v>
      </c>
    </row>
    <row r="1133" spans="1:3" x14ac:dyDescent="0.25">
      <c r="A1133" s="98">
        <v>4.0070792478322899</v>
      </c>
      <c r="B1133">
        <v>5.56</v>
      </c>
      <c r="C1133">
        <v>5.58</v>
      </c>
    </row>
    <row r="1134" spans="1:3" x14ac:dyDescent="0.25">
      <c r="A1134" s="98">
        <v>4.0106218060354299</v>
      </c>
      <c r="B1134">
        <v>5.86</v>
      </c>
      <c r="C1134">
        <v>5.92</v>
      </c>
    </row>
    <row r="1135" spans="1:3" x14ac:dyDescent="0.25">
      <c r="A1135" s="98">
        <v>4.0141658164229597</v>
      </c>
      <c r="B1135">
        <v>5.82</v>
      </c>
      <c r="C1135">
        <v>5.68</v>
      </c>
    </row>
    <row r="1136" spans="1:3" x14ac:dyDescent="0.25">
      <c r="A1136" s="98">
        <v>4.0177107858326702</v>
      </c>
      <c r="B1136">
        <v>5.81</v>
      </c>
      <c r="C1136">
        <v>5.66</v>
      </c>
    </row>
    <row r="1137" spans="1:3" x14ac:dyDescent="0.25">
      <c r="A1137" s="98">
        <v>4.0212537198762099</v>
      </c>
      <c r="B1137">
        <v>6.1</v>
      </c>
      <c r="C1137">
        <v>5.6</v>
      </c>
    </row>
    <row r="1138" spans="1:3" x14ac:dyDescent="0.25">
      <c r="A1138" s="98">
        <v>4.0247962032755202</v>
      </c>
      <c r="B1138">
        <v>5.81</v>
      </c>
      <c r="C1138">
        <v>5.7</v>
      </c>
    </row>
    <row r="1139" spans="1:3" x14ac:dyDescent="0.25">
      <c r="A1139" s="98">
        <v>4.0283390348597798</v>
      </c>
      <c r="B1139">
        <v>5.78</v>
      </c>
      <c r="C1139">
        <v>5.51</v>
      </c>
    </row>
    <row r="1140" spans="1:3" x14ac:dyDescent="0.25">
      <c r="A1140" s="98">
        <v>4.0318813274414396</v>
      </c>
      <c r="B1140">
        <v>5.84</v>
      </c>
      <c r="C1140">
        <v>5.65</v>
      </c>
    </row>
    <row r="1141" spans="1:3" x14ac:dyDescent="0.25">
      <c r="A1141" s="98">
        <v>4.0354234651338103</v>
      </c>
      <c r="B1141">
        <v>5.62</v>
      </c>
      <c r="C1141">
        <v>5.64</v>
      </c>
    </row>
    <row r="1142" spans="1:3" x14ac:dyDescent="0.25">
      <c r="A1142" s="98">
        <v>4.03896731625552</v>
      </c>
      <c r="B1142">
        <v>6.02</v>
      </c>
      <c r="C1142">
        <v>5.7</v>
      </c>
    </row>
    <row r="1143" spans="1:3" x14ac:dyDescent="0.25">
      <c r="A1143" s="98">
        <v>4.04251014011877</v>
      </c>
      <c r="B1143">
        <v>5.95</v>
      </c>
      <c r="C1143">
        <v>5.62</v>
      </c>
    </row>
    <row r="1144" spans="1:3" x14ac:dyDescent="0.25">
      <c r="A1144" s="98">
        <v>4.0460533060795703</v>
      </c>
      <c r="B1144">
        <v>5.76</v>
      </c>
      <c r="C1144">
        <v>5.55</v>
      </c>
    </row>
    <row r="1145" spans="1:3" x14ac:dyDescent="0.25">
      <c r="A1145" s="98">
        <v>4.0495985773868002</v>
      </c>
      <c r="B1145">
        <v>5.89</v>
      </c>
      <c r="C1145">
        <v>5.75</v>
      </c>
    </row>
    <row r="1146" spans="1:3" x14ac:dyDescent="0.25">
      <c r="A1146" s="98">
        <v>4.0531413277818098</v>
      </c>
      <c r="B1146">
        <v>5.75</v>
      </c>
      <c r="C1146">
        <v>5.64</v>
      </c>
    </row>
    <row r="1147" spans="1:3" x14ac:dyDescent="0.25">
      <c r="A1147" s="98">
        <v>4.0566838115067396</v>
      </c>
      <c r="B1147">
        <v>5.72</v>
      </c>
      <c r="C1147">
        <v>5.71</v>
      </c>
    </row>
    <row r="1148" spans="1:3" x14ac:dyDescent="0.25">
      <c r="A1148" s="98">
        <v>4.0602279375714199</v>
      </c>
      <c r="B1148">
        <v>5.82</v>
      </c>
      <c r="C1148">
        <v>5.8</v>
      </c>
    </row>
    <row r="1149" spans="1:3" x14ac:dyDescent="0.25">
      <c r="A1149" s="98">
        <v>4.0637697277963101</v>
      </c>
      <c r="B1149">
        <v>5.5</v>
      </c>
      <c r="C1149">
        <v>5.53</v>
      </c>
    </row>
    <row r="1150" spans="1:3" x14ac:dyDescent="0.25">
      <c r="A1150" s="98">
        <v>4.0673147783566401</v>
      </c>
      <c r="B1150">
        <v>6.02</v>
      </c>
      <c r="C1150">
        <v>5.75</v>
      </c>
    </row>
    <row r="1151" spans="1:3" x14ac:dyDescent="0.25">
      <c r="A1151" s="98">
        <v>4.0708589202110401</v>
      </c>
      <c r="B1151">
        <v>5.92</v>
      </c>
      <c r="C1151">
        <v>5.73</v>
      </c>
    </row>
    <row r="1152" spans="1:3" x14ac:dyDescent="0.25">
      <c r="A1152" s="98">
        <v>4.0744023527646496</v>
      </c>
      <c r="B1152">
        <v>5.77</v>
      </c>
      <c r="C1152">
        <v>5.62</v>
      </c>
    </row>
    <row r="1153" spans="1:3" x14ac:dyDescent="0.25">
      <c r="A1153" s="98">
        <v>4.0779464537015597</v>
      </c>
      <c r="B1153">
        <v>5.78</v>
      </c>
      <c r="C1153">
        <v>5.49</v>
      </c>
    </row>
    <row r="1154" spans="1:3" x14ac:dyDescent="0.25">
      <c r="A1154" s="98">
        <v>4.0814874158192502</v>
      </c>
      <c r="B1154">
        <v>6.02</v>
      </c>
      <c r="C1154">
        <v>5.55</v>
      </c>
    </row>
    <row r="1155" spans="1:3" x14ac:dyDescent="0.25">
      <c r="A1155" s="98">
        <v>4.0850295410553601</v>
      </c>
      <c r="B1155">
        <v>6.07</v>
      </c>
      <c r="C1155">
        <v>5.63</v>
      </c>
    </row>
    <row r="1156" spans="1:3" x14ac:dyDescent="0.25">
      <c r="A1156" s="98">
        <v>4.0885712689602798</v>
      </c>
      <c r="B1156">
        <v>5.8</v>
      </c>
      <c r="C1156">
        <v>5.56</v>
      </c>
    </row>
    <row r="1157" spans="1:3" x14ac:dyDescent="0.25">
      <c r="A1157" s="98">
        <v>4.0921130869234004</v>
      </c>
      <c r="B1157">
        <v>6.01</v>
      </c>
      <c r="C1157">
        <v>5.52</v>
      </c>
    </row>
    <row r="1158" spans="1:3" x14ac:dyDescent="0.25">
      <c r="A1158" s="98">
        <v>4.09565584655161</v>
      </c>
      <c r="B1158">
        <v>5.44</v>
      </c>
      <c r="C1158">
        <v>5.55</v>
      </c>
    </row>
    <row r="1159" spans="1:3" x14ac:dyDescent="0.25">
      <c r="A1159" s="98">
        <v>4.0991993454153803</v>
      </c>
      <c r="B1159">
        <v>5.86</v>
      </c>
      <c r="C1159">
        <v>5.56</v>
      </c>
    </row>
    <row r="1160" spans="1:3" x14ac:dyDescent="0.25">
      <c r="A1160" s="98">
        <v>4.1027417617098001</v>
      </c>
      <c r="B1160">
        <v>5.85</v>
      </c>
      <c r="C1160">
        <v>5.42</v>
      </c>
    </row>
    <row r="1161" spans="1:3" x14ac:dyDescent="0.25">
      <c r="A1161" s="98">
        <v>4.1062861845338698</v>
      </c>
      <c r="B1161">
        <v>5.78</v>
      </c>
      <c r="C1161">
        <v>5.4</v>
      </c>
    </row>
    <row r="1162" spans="1:3" x14ac:dyDescent="0.25">
      <c r="A1162" s="98">
        <v>4.1098297357007301</v>
      </c>
      <c r="B1162">
        <v>5.81</v>
      </c>
      <c r="C1162">
        <v>5.31</v>
      </c>
    </row>
    <row r="1163" spans="1:3" x14ac:dyDescent="0.25">
      <c r="A1163" s="98">
        <v>4.1133724451727298</v>
      </c>
      <c r="B1163">
        <v>5.7</v>
      </c>
      <c r="C1163">
        <v>5.48</v>
      </c>
    </row>
    <row r="1164" spans="1:3" x14ac:dyDescent="0.25">
      <c r="A1164" s="98">
        <v>4.1169151372655604</v>
      </c>
      <c r="B1164">
        <v>5.79</v>
      </c>
      <c r="C1164">
        <v>5.57</v>
      </c>
    </row>
    <row r="1165" spans="1:3" x14ac:dyDescent="0.25">
      <c r="A1165" s="98">
        <v>4.1204587177380301</v>
      </c>
      <c r="B1165">
        <v>5.85</v>
      </c>
      <c r="C1165">
        <v>5.35</v>
      </c>
    </row>
    <row r="1166" spans="1:3" x14ac:dyDescent="0.25">
      <c r="A1166" s="98">
        <v>4.1240004734529299</v>
      </c>
      <c r="B1166">
        <v>5.33</v>
      </c>
      <c r="C1166">
        <v>5.34</v>
      </c>
    </row>
    <row r="1167" spans="1:3" x14ac:dyDescent="0.25">
      <c r="A1167" s="98">
        <v>4.1275445888660496</v>
      </c>
      <c r="B1167">
        <v>5.72</v>
      </c>
      <c r="C1167">
        <v>5.49</v>
      </c>
    </row>
    <row r="1168" spans="1:3" x14ac:dyDescent="0.25">
      <c r="A1168" s="98">
        <v>4.1310883430971002</v>
      </c>
      <c r="B1168">
        <v>5.49</v>
      </c>
      <c r="C1168">
        <v>5.7</v>
      </c>
    </row>
    <row r="1169" spans="1:3" x14ac:dyDescent="0.25">
      <c r="A1169" s="98">
        <v>4.1346310470335998</v>
      </c>
      <c r="B1169">
        <v>5.7</v>
      </c>
      <c r="C1169">
        <v>5.3</v>
      </c>
    </row>
    <row r="1170" spans="1:3" x14ac:dyDescent="0.25">
      <c r="A1170" s="98">
        <v>4.13817400716521</v>
      </c>
      <c r="B1170">
        <v>5.79</v>
      </c>
      <c r="C1170">
        <v>5.29</v>
      </c>
    </row>
    <row r="1171" spans="1:3" x14ac:dyDescent="0.25">
      <c r="A1171" s="98">
        <v>4.1417192508224998</v>
      </c>
      <c r="B1171">
        <v>5.63</v>
      </c>
      <c r="C1171">
        <v>5.39</v>
      </c>
    </row>
    <row r="1172" spans="1:3" x14ac:dyDescent="0.25">
      <c r="A1172" s="98">
        <v>4.14526329321993</v>
      </c>
      <c r="B1172">
        <v>5.58</v>
      </c>
      <c r="C1172">
        <v>5.34</v>
      </c>
    </row>
    <row r="1173" spans="1:3" x14ac:dyDescent="0.25">
      <c r="A1173" s="98">
        <v>4.1488059675251998</v>
      </c>
      <c r="B1173">
        <v>5.52</v>
      </c>
      <c r="C1173">
        <v>5.45</v>
      </c>
    </row>
    <row r="1174" spans="1:3" x14ac:dyDescent="0.25">
      <c r="A1174" s="98">
        <v>4.1523506701820398</v>
      </c>
      <c r="B1174">
        <v>5.94</v>
      </c>
      <c r="C1174">
        <v>5.54</v>
      </c>
    </row>
    <row r="1175" spans="1:3" x14ac:dyDescent="0.25">
      <c r="A1175" s="98">
        <v>4.1558965190527601</v>
      </c>
      <c r="B1175">
        <v>5.72</v>
      </c>
      <c r="C1175">
        <v>5.49</v>
      </c>
    </row>
    <row r="1176" spans="1:3" x14ac:dyDescent="0.25">
      <c r="A1176" s="98">
        <v>4.1594383208122503</v>
      </c>
      <c r="B1176">
        <v>5.5</v>
      </c>
      <c r="C1176">
        <v>5.4</v>
      </c>
    </row>
    <row r="1177" spans="1:3" x14ac:dyDescent="0.25">
      <c r="A1177" s="98">
        <v>4.1629828202834798</v>
      </c>
      <c r="B1177">
        <v>5.79</v>
      </c>
      <c r="C1177">
        <v>5.44</v>
      </c>
    </row>
    <row r="1178" spans="1:3" x14ac:dyDescent="0.25">
      <c r="A1178" s="98">
        <v>4.16652839728527</v>
      </c>
      <c r="B1178">
        <v>5.47</v>
      </c>
      <c r="C1178">
        <v>5.3</v>
      </c>
    </row>
    <row r="1179" spans="1:3" x14ac:dyDescent="0.25">
      <c r="A1179" s="98">
        <v>4.1700721556389704</v>
      </c>
      <c r="B1179">
        <v>5.41</v>
      </c>
      <c r="C1179">
        <v>5.31</v>
      </c>
    </row>
    <row r="1180" spans="1:3" x14ac:dyDescent="0.25">
      <c r="A1180" s="98">
        <v>4.1736160072739397</v>
      </c>
      <c r="B1180">
        <v>5.49</v>
      </c>
      <c r="C1180">
        <v>5.58</v>
      </c>
    </row>
    <row r="1181" spans="1:3" x14ac:dyDescent="0.25">
      <c r="A1181" s="98">
        <v>4.1771579940727399</v>
      </c>
      <c r="B1181">
        <v>5.89</v>
      </c>
      <c r="C1181">
        <v>5.3</v>
      </c>
    </row>
    <row r="1182" spans="1:3" x14ac:dyDescent="0.25">
      <c r="A1182" s="98">
        <v>4.1807018924256099</v>
      </c>
      <c r="B1182">
        <v>5.66</v>
      </c>
      <c r="C1182">
        <v>5.33</v>
      </c>
    </row>
    <row r="1183" spans="1:3" x14ac:dyDescent="0.25">
      <c r="A1183" s="98">
        <v>4.1842439946642598</v>
      </c>
      <c r="B1183">
        <v>5.43</v>
      </c>
      <c r="C1183">
        <v>5.53</v>
      </c>
    </row>
    <row r="1184" spans="1:3" x14ac:dyDescent="0.25">
      <c r="A1184" s="98">
        <v>4.1877858006567799</v>
      </c>
      <c r="B1184">
        <v>5.62</v>
      </c>
      <c r="C1184">
        <v>5.68</v>
      </c>
    </row>
    <row r="1185" spans="1:3" x14ac:dyDescent="0.25">
      <c r="A1185" s="98">
        <v>4.1913309174058604</v>
      </c>
      <c r="B1185">
        <v>5.63</v>
      </c>
      <c r="C1185">
        <v>5.42</v>
      </c>
    </row>
    <row r="1186" spans="1:3" x14ac:dyDescent="0.25">
      <c r="A1186" s="98">
        <v>4.19487229260581</v>
      </c>
      <c r="B1186">
        <v>5.52</v>
      </c>
      <c r="C1186">
        <v>5.33</v>
      </c>
    </row>
    <row r="1187" spans="1:3" x14ac:dyDescent="0.25">
      <c r="A1187" s="98">
        <v>4.1984141903839696</v>
      </c>
      <c r="B1187">
        <v>5.41</v>
      </c>
      <c r="C1187">
        <v>5.4</v>
      </c>
    </row>
    <row r="1188" spans="1:3" x14ac:dyDescent="0.25">
      <c r="A1188" s="98">
        <v>4.2019583506164704</v>
      </c>
      <c r="B1188">
        <v>5.4</v>
      </c>
      <c r="C1188">
        <v>5.64</v>
      </c>
    </row>
    <row r="1189" spans="1:3" x14ac:dyDescent="0.25">
      <c r="A1189" s="98">
        <v>4.2055010255895198</v>
      </c>
      <c r="B1189">
        <v>5.68</v>
      </c>
      <c r="C1189">
        <v>5.34</v>
      </c>
    </row>
    <row r="1190" spans="1:3" x14ac:dyDescent="0.25">
      <c r="A1190" s="98">
        <v>4.2090447500072097</v>
      </c>
      <c r="B1190">
        <v>5.36</v>
      </c>
      <c r="C1190">
        <v>5.14</v>
      </c>
    </row>
    <row r="1191" spans="1:3" x14ac:dyDescent="0.25">
      <c r="A1191" s="98">
        <v>4.2125867815812397</v>
      </c>
      <c r="B1191">
        <v>5.18</v>
      </c>
      <c r="C1191">
        <v>5.1100000000000003</v>
      </c>
    </row>
    <row r="1192" spans="1:3" x14ac:dyDescent="0.25">
      <c r="A1192" s="98">
        <v>4.2161295162582801</v>
      </c>
      <c r="B1192">
        <v>5.66</v>
      </c>
      <c r="C1192">
        <v>5.23</v>
      </c>
    </row>
    <row r="1193" spans="1:3" x14ac:dyDescent="0.25">
      <c r="A1193" s="98">
        <v>4.2196722214586204</v>
      </c>
      <c r="B1193">
        <v>5.56</v>
      </c>
      <c r="C1193">
        <v>5.18</v>
      </c>
    </row>
    <row r="1194" spans="1:3" x14ac:dyDescent="0.25">
      <c r="A1194" s="98">
        <v>4.223215616958</v>
      </c>
      <c r="B1194">
        <v>5.14</v>
      </c>
      <c r="C1194">
        <v>5.28</v>
      </c>
    </row>
    <row r="1195" spans="1:3" x14ac:dyDescent="0.25">
      <c r="A1195" s="98">
        <v>4.2267597324870199</v>
      </c>
      <c r="B1195">
        <v>5.46</v>
      </c>
      <c r="C1195">
        <v>5.21</v>
      </c>
    </row>
    <row r="1196" spans="1:3" x14ac:dyDescent="0.25">
      <c r="A1196" s="98">
        <v>4.2303026560831896</v>
      </c>
      <c r="B1196">
        <v>5.69</v>
      </c>
      <c r="C1196">
        <v>5.24</v>
      </c>
    </row>
    <row r="1197" spans="1:3" x14ac:dyDescent="0.25">
      <c r="A1197" s="98">
        <v>4.2338465553411702</v>
      </c>
      <c r="B1197">
        <v>5.15</v>
      </c>
      <c r="C1197">
        <v>5.25</v>
      </c>
    </row>
    <row r="1198" spans="1:3" x14ac:dyDescent="0.25">
      <c r="A1198" s="98">
        <v>4.2373902802279702</v>
      </c>
      <c r="B1198">
        <v>5.42</v>
      </c>
      <c r="C1198">
        <v>5.21</v>
      </c>
    </row>
    <row r="1199" spans="1:3" x14ac:dyDescent="0.25">
      <c r="A1199" s="98">
        <v>4.2409320043855203</v>
      </c>
      <c r="B1199">
        <v>5.24</v>
      </c>
      <c r="C1199">
        <v>5.27</v>
      </c>
    </row>
    <row r="1200" spans="1:3" x14ac:dyDescent="0.25">
      <c r="A1200" s="98">
        <v>4.2444757286431596</v>
      </c>
      <c r="B1200">
        <v>5.73</v>
      </c>
      <c r="C1200">
        <v>5.22</v>
      </c>
    </row>
    <row r="1201" spans="1:3" x14ac:dyDescent="0.25">
      <c r="A1201" s="98">
        <v>4.2480198372403697</v>
      </c>
      <c r="B1201">
        <v>5.41</v>
      </c>
      <c r="C1201">
        <v>5.14</v>
      </c>
    </row>
    <row r="1202" spans="1:3" x14ac:dyDescent="0.25">
      <c r="A1202" s="98">
        <v>4.2515627287935303</v>
      </c>
      <c r="B1202">
        <v>5.39</v>
      </c>
      <c r="C1202">
        <v>5.21</v>
      </c>
    </row>
    <row r="1203" spans="1:3" x14ac:dyDescent="0.25">
      <c r="A1203" s="98">
        <v>4.2551066057494404</v>
      </c>
      <c r="B1203">
        <v>5.5</v>
      </c>
      <c r="C1203">
        <v>5.2</v>
      </c>
    </row>
    <row r="1204" spans="1:3" x14ac:dyDescent="0.25">
      <c r="A1204" s="98">
        <v>4.2586492430170297</v>
      </c>
      <c r="B1204">
        <v>5.28</v>
      </c>
      <c r="C1204">
        <v>5.36</v>
      </c>
    </row>
    <row r="1205" spans="1:3" x14ac:dyDescent="0.25">
      <c r="A1205" s="98">
        <v>4.2621919799402903</v>
      </c>
      <c r="B1205">
        <v>5.4</v>
      </c>
      <c r="C1205">
        <v>5.14</v>
      </c>
    </row>
    <row r="1206" spans="1:3" x14ac:dyDescent="0.25">
      <c r="A1206" s="98">
        <v>4.2657357953488804</v>
      </c>
      <c r="B1206">
        <v>5.33</v>
      </c>
      <c r="C1206">
        <v>5.42</v>
      </c>
    </row>
    <row r="1207" spans="1:3" x14ac:dyDescent="0.25">
      <c r="A1207" s="98">
        <v>4.2692779737931703</v>
      </c>
      <c r="B1207">
        <v>5.36</v>
      </c>
      <c r="C1207">
        <v>5.29</v>
      </c>
    </row>
    <row r="1208" spans="1:3" x14ac:dyDescent="0.25">
      <c r="A1208" s="98">
        <v>4.2728207944775001</v>
      </c>
      <c r="B1208">
        <v>5.3</v>
      </c>
      <c r="C1208">
        <v>5.13</v>
      </c>
    </row>
    <row r="1209" spans="1:3" x14ac:dyDescent="0.25">
      <c r="A1209" s="98">
        <v>4.2763634729164597</v>
      </c>
      <c r="B1209">
        <v>5.42</v>
      </c>
      <c r="C1209">
        <v>5.2</v>
      </c>
    </row>
    <row r="1210" spans="1:3" x14ac:dyDescent="0.25">
      <c r="A1210" s="98">
        <v>4.2799070676112603</v>
      </c>
      <c r="B1210">
        <v>5.41</v>
      </c>
      <c r="C1210">
        <v>5.0199999999999996</v>
      </c>
    </row>
    <row r="1211" spans="1:3" x14ac:dyDescent="0.25">
      <c r="A1211" s="98">
        <v>4.2834510967080197</v>
      </c>
      <c r="B1211">
        <v>5.5</v>
      </c>
      <c r="C1211">
        <v>5.15</v>
      </c>
    </row>
    <row r="1212" spans="1:3" x14ac:dyDescent="0.25">
      <c r="A1212" s="98">
        <v>4.2869946188120904</v>
      </c>
      <c r="B1212">
        <v>5</v>
      </c>
      <c r="C1212">
        <v>4.99</v>
      </c>
    </row>
    <row r="1213" spans="1:3" x14ac:dyDescent="0.25">
      <c r="A1213" s="98">
        <v>4.2905377669025304</v>
      </c>
      <c r="B1213">
        <v>5.26</v>
      </c>
      <c r="C1213">
        <v>5.33</v>
      </c>
    </row>
    <row r="1214" spans="1:3" x14ac:dyDescent="0.25">
      <c r="A1214" s="98">
        <v>4.2940807163880903</v>
      </c>
      <c r="B1214">
        <v>5.05</v>
      </c>
      <c r="C1214">
        <v>5.15</v>
      </c>
    </row>
    <row r="1215" spans="1:3" x14ac:dyDescent="0.25">
      <c r="A1215" s="98">
        <v>4.29762249122063</v>
      </c>
      <c r="B1215">
        <v>5.24</v>
      </c>
      <c r="C1215">
        <v>5.1100000000000003</v>
      </c>
    </row>
    <row r="1216" spans="1:3" x14ac:dyDescent="0.25">
      <c r="A1216" s="98">
        <v>4.3011677612364201</v>
      </c>
      <c r="B1216">
        <v>5.34</v>
      </c>
      <c r="C1216">
        <v>5.08</v>
      </c>
    </row>
    <row r="1217" spans="1:3" x14ac:dyDescent="0.25">
      <c r="A1217" s="98">
        <v>4.30470919229366</v>
      </c>
      <c r="B1217">
        <v>5.34</v>
      </c>
      <c r="C1217">
        <v>5.08</v>
      </c>
    </row>
    <row r="1218" spans="1:3" x14ac:dyDescent="0.25">
      <c r="A1218" s="98">
        <v>4.3082518759425001</v>
      </c>
      <c r="B1218">
        <v>5.38</v>
      </c>
      <c r="C1218">
        <v>5.14</v>
      </c>
    </row>
    <row r="1219" spans="1:3" x14ac:dyDescent="0.25">
      <c r="A1219" s="98">
        <v>4.3117959522207503</v>
      </c>
      <c r="B1219">
        <v>5.13</v>
      </c>
      <c r="C1219">
        <v>5.31</v>
      </c>
    </row>
    <row r="1220" spans="1:3" x14ac:dyDescent="0.25">
      <c r="A1220" s="98">
        <v>4.3153416266264699</v>
      </c>
      <c r="B1220">
        <v>5.55</v>
      </c>
      <c r="C1220">
        <v>5</v>
      </c>
    </row>
    <row r="1221" spans="1:3" x14ac:dyDescent="0.25">
      <c r="A1221" s="98">
        <v>4.3188835608848803</v>
      </c>
      <c r="B1221">
        <v>5.38</v>
      </c>
      <c r="C1221">
        <v>5.34</v>
      </c>
    </row>
    <row r="1222" spans="1:3" x14ac:dyDescent="0.25">
      <c r="A1222" s="98">
        <v>4.3224274900997104</v>
      </c>
      <c r="B1222">
        <v>5.12</v>
      </c>
      <c r="C1222">
        <v>5.27</v>
      </c>
    </row>
    <row r="1223" spans="1:3" x14ac:dyDescent="0.25">
      <c r="A1223" s="98">
        <v>4.3259713402169702</v>
      </c>
      <c r="B1223">
        <v>5.37</v>
      </c>
      <c r="C1223">
        <v>5.12</v>
      </c>
    </row>
    <row r="1224" spans="1:3" x14ac:dyDescent="0.25">
      <c r="A1224" s="98">
        <v>4.3295127054165903</v>
      </c>
      <c r="B1224">
        <v>5.23</v>
      </c>
      <c r="C1224">
        <v>5.1100000000000003</v>
      </c>
    </row>
    <row r="1225" spans="1:3" x14ac:dyDescent="0.25">
      <c r="A1225" s="98">
        <v>4.3330545271436298</v>
      </c>
      <c r="B1225">
        <v>5.18</v>
      </c>
      <c r="C1225">
        <v>5.26</v>
      </c>
    </row>
    <row r="1226" spans="1:3" x14ac:dyDescent="0.25">
      <c r="A1226" s="98">
        <v>4.3365982398004403</v>
      </c>
      <c r="B1226">
        <v>5.16</v>
      </c>
      <c r="C1226">
        <v>5.1100000000000003</v>
      </c>
    </row>
    <row r="1227" spans="1:3" x14ac:dyDescent="0.25">
      <c r="A1227" s="98">
        <v>4.34014129880953</v>
      </c>
      <c r="B1227">
        <v>5.28</v>
      </c>
      <c r="C1227">
        <v>5.1100000000000003</v>
      </c>
    </row>
    <row r="1228" spans="1:3" x14ac:dyDescent="0.25">
      <c r="A1228" s="98">
        <v>4.3436860193864</v>
      </c>
      <c r="B1228">
        <v>5.3</v>
      </c>
      <c r="C1228">
        <v>5.2</v>
      </c>
    </row>
    <row r="1229" spans="1:3" x14ac:dyDescent="0.25">
      <c r="A1229" s="98">
        <v>4.3472311076632204</v>
      </c>
      <c r="B1229">
        <v>5.38</v>
      </c>
      <c r="C1229">
        <v>5.0599999999999996</v>
      </c>
    </row>
    <row r="1230" spans="1:3" x14ac:dyDescent="0.25">
      <c r="A1230" s="98">
        <v>4.3507753132725204</v>
      </c>
      <c r="B1230">
        <v>5.13</v>
      </c>
      <c r="C1230">
        <v>5.22</v>
      </c>
    </row>
    <row r="1231" spans="1:3" x14ac:dyDescent="0.25">
      <c r="A1231" s="98">
        <v>4.3543199845154996</v>
      </c>
      <c r="B1231">
        <v>4.9400000000000004</v>
      </c>
      <c r="C1231">
        <v>5.04</v>
      </c>
    </row>
    <row r="1232" spans="1:3" x14ac:dyDescent="0.25">
      <c r="A1232" s="98">
        <v>4.3578627819043598</v>
      </c>
      <c r="B1232">
        <v>5.3</v>
      </c>
      <c r="C1232">
        <v>5.08</v>
      </c>
    </row>
    <row r="1233" spans="1:3" x14ac:dyDescent="0.25">
      <c r="A1233" s="98">
        <v>4.36140531294323</v>
      </c>
      <c r="B1233">
        <v>5.14</v>
      </c>
      <c r="C1233">
        <v>5.05</v>
      </c>
    </row>
    <row r="1234" spans="1:3" x14ac:dyDescent="0.25">
      <c r="A1234" s="98">
        <v>4.3649472735546198</v>
      </c>
      <c r="B1234">
        <v>5.01</v>
      </c>
      <c r="C1234">
        <v>4.97</v>
      </c>
    </row>
    <row r="1235" spans="1:3" x14ac:dyDescent="0.25">
      <c r="A1235" s="98">
        <v>4.3684899011254297</v>
      </c>
      <c r="B1235">
        <v>5.22</v>
      </c>
      <c r="C1235">
        <v>5.03</v>
      </c>
    </row>
    <row r="1236" spans="1:3" x14ac:dyDescent="0.25">
      <c r="A1236" s="98">
        <v>4.3720361531001499</v>
      </c>
      <c r="B1236">
        <v>5.32</v>
      </c>
      <c r="C1236">
        <v>5.03</v>
      </c>
    </row>
    <row r="1237" spans="1:3" x14ac:dyDescent="0.25">
      <c r="A1237" s="98">
        <v>4.37557802663357</v>
      </c>
      <c r="B1237">
        <v>5.1100000000000003</v>
      </c>
      <c r="C1237">
        <v>5.12</v>
      </c>
    </row>
    <row r="1238" spans="1:3" x14ac:dyDescent="0.25">
      <c r="A1238" s="98">
        <v>4.3791205763871996</v>
      </c>
      <c r="B1238">
        <v>5.58</v>
      </c>
      <c r="C1238">
        <v>5.03</v>
      </c>
    </row>
    <row r="1239" spans="1:3" x14ac:dyDescent="0.25">
      <c r="A1239" s="98">
        <v>4.3826642196377099</v>
      </c>
      <c r="B1239">
        <v>5.27</v>
      </c>
      <c r="C1239">
        <v>4.9800000000000004</v>
      </c>
    </row>
    <row r="1240" spans="1:3" x14ac:dyDescent="0.25">
      <c r="A1240" s="98">
        <v>4.3862062859976696</v>
      </c>
      <c r="B1240">
        <v>5.0999999999999996</v>
      </c>
      <c r="C1240">
        <v>4.97</v>
      </c>
    </row>
    <row r="1241" spans="1:3" x14ac:dyDescent="0.25">
      <c r="A1241" s="98">
        <v>4.38975304078172</v>
      </c>
      <c r="B1241">
        <v>5.17</v>
      </c>
      <c r="C1241">
        <v>4.84</v>
      </c>
    </row>
    <row r="1242" spans="1:3" x14ac:dyDescent="0.25">
      <c r="A1242" s="98">
        <v>4.3932955341537703</v>
      </c>
      <c r="B1242">
        <v>4.99</v>
      </c>
      <c r="C1242">
        <v>5.04</v>
      </c>
    </row>
    <row r="1243" spans="1:3" x14ac:dyDescent="0.25">
      <c r="A1243" s="98">
        <v>4.39683753430291</v>
      </c>
      <c r="B1243">
        <v>5.03</v>
      </c>
      <c r="C1243">
        <v>5.1100000000000003</v>
      </c>
    </row>
    <row r="1244" spans="1:3" x14ac:dyDescent="0.25">
      <c r="A1244" s="98">
        <v>4.4003827782196003</v>
      </c>
      <c r="B1244">
        <v>5.03</v>
      </c>
      <c r="C1244">
        <v>5.0199999999999996</v>
      </c>
    </row>
    <row r="1245" spans="1:3" x14ac:dyDescent="0.25">
      <c r="A1245" s="98">
        <v>4.4039288346248604</v>
      </c>
      <c r="B1245">
        <v>5.21</v>
      </c>
      <c r="C1245">
        <v>4.9400000000000004</v>
      </c>
    </row>
    <row r="1246" spans="1:3" x14ac:dyDescent="0.25">
      <c r="A1246" s="98">
        <v>4.4074724721742999</v>
      </c>
      <c r="B1246">
        <v>5.07</v>
      </c>
      <c r="C1246">
        <v>4.92</v>
      </c>
    </row>
    <row r="1247" spans="1:3" x14ac:dyDescent="0.25">
      <c r="A1247" s="98">
        <v>4.4110139822021601</v>
      </c>
      <c r="B1247">
        <v>4.8499999999999996</v>
      </c>
      <c r="C1247">
        <v>4.6100000000000003</v>
      </c>
    </row>
    <row r="1248" spans="1:3" x14ac:dyDescent="0.25">
      <c r="A1248" s="98">
        <v>4.4145577284804096</v>
      </c>
      <c r="B1248">
        <v>5.25</v>
      </c>
      <c r="C1248">
        <v>5.0999999999999996</v>
      </c>
    </row>
    <row r="1249" spans="1:3" x14ac:dyDescent="0.25">
      <c r="A1249" s="98">
        <v>4.4181004700450899</v>
      </c>
      <c r="B1249">
        <v>4.9400000000000004</v>
      </c>
      <c r="C1249">
        <v>5.19</v>
      </c>
    </row>
    <row r="1250" spans="1:3" x14ac:dyDescent="0.25">
      <c r="A1250" s="98">
        <v>4.4216434295089098</v>
      </c>
      <c r="B1250">
        <v>5.23</v>
      </c>
      <c r="C1250">
        <v>5.01</v>
      </c>
    </row>
    <row r="1251" spans="1:3" x14ac:dyDescent="0.25">
      <c r="A1251" s="98">
        <v>4.4251894033120696</v>
      </c>
      <c r="B1251">
        <v>4.88</v>
      </c>
      <c r="C1251">
        <v>4.6500000000000004</v>
      </c>
    </row>
    <row r="1252" spans="1:3" x14ac:dyDescent="0.25">
      <c r="A1252" s="98">
        <v>4.4287369011452897</v>
      </c>
      <c r="B1252">
        <v>5.03</v>
      </c>
      <c r="C1252">
        <v>4.9000000000000004</v>
      </c>
    </row>
    <row r="1253" spans="1:3" x14ac:dyDescent="0.25">
      <c r="A1253" s="98">
        <v>4.4322783330358799</v>
      </c>
      <c r="B1253">
        <v>4.8099999999999996</v>
      </c>
      <c r="C1253">
        <v>4.8</v>
      </c>
    </row>
    <row r="1254" spans="1:3" x14ac:dyDescent="0.25">
      <c r="A1254" s="98">
        <v>4.4358212926542304</v>
      </c>
      <c r="B1254">
        <v>5.28</v>
      </c>
      <c r="C1254">
        <v>4.82</v>
      </c>
    </row>
    <row r="1255" spans="1:3" x14ac:dyDescent="0.25">
      <c r="A1255" s="98">
        <v>4.4393652349213699</v>
      </c>
      <c r="B1255">
        <v>5.03</v>
      </c>
      <c r="C1255">
        <v>5</v>
      </c>
    </row>
    <row r="1256" spans="1:3" x14ac:dyDescent="0.25">
      <c r="A1256" s="98">
        <v>4.4429094177649997</v>
      </c>
      <c r="B1256">
        <v>5.12</v>
      </c>
      <c r="C1256">
        <v>5.0199999999999996</v>
      </c>
    </row>
    <row r="1257" spans="1:3" x14ac:dyDescent="0.25">
      <c r="A1257" s="98">
        <v>4.4464509893953803</v>
      </c>
      <c r="B1257">
        <v>4.8499999999999996</v>
      </c>
      <c r="C1257">
        <v>4.88</v>
      </c>
    </row>
    <row r="1258" spans="1:3" x14ac:dyDescent="0.25">
      <c r="A1258" s="98">
        <v>4.4499970206618302</v>
      </c>
      <c r="B1258">
        <v>5.05</v>
      </c>
      <c r="C1258">
        <v>4.95</v>
      </c>
    </row>
    <row r="1259" spans="1:3" x14ac:dyDescent="0.25">
      <c r="A1259" s="98">
        <v>4.4535397937397097</v>
      </c>
      <c r="B1259">
        <v>5.04</v>
      </c>
      <c r="C1259">
        <v>4.7</v>
      </c>
    </row>
    <row r="1260" spans="1:3" x14ac:dyDescent="0.25">
      <c r="A1260" s="98">
        <v>4.4570831785599303</v>
      </c>
      <c r="B1260">
        <v>5.22</v>
      </c>
      <c r="C1260">
        <v>4.55</v>
      </c>
    </row>
    <row r="1261" spans="1:3" x14ac:dyDescent="0.25">
      <c r="A1261" s="98">
        <v>4.4606273865147799</v>
      </c>
      <c r="B1261">
        <v>4.95</v>
      </c>
      <c r="C1261">
        <v>4.74</v>
      </c>
    </row>
    <row r="1262" spans="1:3" x14ac:dyDescent="0.25">
      <c r="A1262" s="98">
        <v>4.4641698412928301</v>
      </c>
      <c r="B1262">
        <v>5.22</v>
      </c>
      <c r="C1262">
        <v>4.75</v>
      </c>
    </row>
    <row r="1263" spans="1:3" x14ac:dyDescent="0.25">
      <c r="A1263" s="98">
        <v>4.4677133863501997</v>
      </c>
      <c r="B1263">
        <v>5.03</v>
      </c>
      <c r="C1263">
        <v>4.83</v>
      </c>
    </row>
    <row r="1264" spans="1:3" x14ac:dyDescent="0.25">
      <c r="A1264" s="98">
        <v>4.4712552100530303</v>
      </c>
      <c r="B1264">
        <v>5.09</v>
      </c>
      <c r="C1264">
        <v>4.96</v>
      </c>
    </row>
    <row r="1265" spans="1:3" x14ac:dyDescent="0.25">
      <c r="A1265" s="98">
        <v>4.4747980930518203</v>
      </c>
      <c r="B1265">
        <v>4.99</v>
      </c>
      <c r="C1265">
        <v>4.6100000000000003</v>
      </c>
    </row>
    <row r="1266" spans="1:3" x14ac:dyDescent="0.25">
      <c r="A1266" s="98">
        <v>4.4783420961267399</v>
      </c>
      <c r="B1266">
        <v>5.05</v>
      </c>
      <c r="C1266">
        <v>4.84</v>
      </c>
    </row>
    <row r="1267" spans="1:3" x14ac:dyDescent="0.25">
      <c r="A1267" s="98">
        <v>4.4818850016152396</v>
      </c>
      <c r="B1267">
        <v>4.67</v>
      </c>
      <c r="C1267">
        <v>4.88</v>
      </c>
    </row>
    <row r="1268" spans="1:3" x14ac:dyDescent="0.25">
      <c r="A1268" s="98">
        <v>4.4854277670549001</v>
      </c>
      <c r="B1268">
        <v>5.07</v>
      </c>
      <c r="C1268">
        <v>4.6500000000000004</v>
      </c>
    </row>
    <row r="1269" spans="1:3" x14ac:dyDescent="0.25">
      <c r="A1269" s="98">
        <v>4.4889708092312004</v>
      </c>
      <c r="B1269">
        <v>5.12</v>
      </c>
      <c r="C1269">
        <v>4.8099999999999996</v>
      </c>
    </row>
    <row r="1270" spans="1:3" x14ac:dyDescent="0.25">
      <c r="A1270" s="98">
        <v>4.4925151137400503</v>
      </c>
      <c r="B1270">
        <v>4.95</v>
      </c>
      <c r="C1270">
        <v>4.6500000000000004</v>
      </c>
    </row>
    <row r="1271" spans="1:3" x14ac:dyDescent="0.25">
      <c r="A1271" s="98">
        <v>4.4960557996178103</v>
      </c>
      <c r="B1271">
        <v>4.79</v>
      </c>
      <c r="C1271">
        <v>4.62</v>
      </c>
    </row>
    <row r="1272" spans="1:3" x14ac:dyDescent="0.25">
      <c r="A1272" s="98">
        <v>4.4995987281479204</v>
      </c>
      <c r="B1272">
        <v>5</v>
      </c>
      <c r="C1272">
        <v>4.97</v>
      </c>
    </row>
    <row r="1273" spans="1:3" x14ac:dyDescent="0.25">
      <c r="A1273" s="98">
        <v>4.5031406445359696</v>
      </c>
      <c r="B1273">
        <v>4.97</v>
      </c>
      <c r="C1273">
        <v>4.8499999999999996</v>
      </c>
    </row>
    <row r="1274" spans="1:3" x14ac:dyDescent="0.25">
      <c r="A1274" s="98">
        <v>4.5066866355416897</v>
      </c>
      <c r="B1274">
        <v>4.99</v>
      </c>
      <c r="C1274">
        <v>5</v>
      </c>
    </row>
    <row r="1275" spans="1:3" x14ac:dyDescent="0.25">
      <c r="A1275" s="98">
        <v>4.5102296316347701</v>
      </c>
      <c r="B1275">
        <v>4.75</v>
      </c>
      <c r="C1275">
        <v>4.9400000000000004</v>
      </c>
    </row>
    <row r="1276" spans="1:3" x14ac:dyDescent="0.25">
      <c r="A1276" s="98">
        <v>4.5137723448596603</v>
      </c>
      <c r="B1276">
        <v>5.03</v>
      </c>
      <c r="C1276">
        <v>4.7699999999999996</v>
      </c>
    </row>
    <row r="1277" spans="1:3" x14ac:dyDescent="0.25">
      <c r="A1277" s="98">
        <v>4.5173170276372501</v>
      </c>
      <c r="B1277">
        <v>5</v>
      </c>
      <c r="C1277">
        <v>4.93</v>
      </c>
    </row>
    <row r="1278" spans="1:3" x14ac:dyDescent="0.25">
      <c r="A1278" s="98">
        <v>4.5208597079526402</v>
      </c>
      <c r="B1278">
        <v>4.9000000000000004</v>
      </c>
      <c r="C1278">
        <v>4.8</v>
      </c>
    </row>
    <row r="1279" spans="1:3" x14ac:dyDescent="0.25">
      <c r="A1279" s="98">
        <v>4.5244050850250099</v>
      </c>
      <c r="B1279">
        <v>4.9000000000000004</v>
      </c>
      <c r="C1279">
        <v>4.67</v>
      </c>
    </row>
    <row r="1280" spans="1:3" x14ac:dyDescent="0.25">
      <c r="A1280" s="98">
        <v>4.52794805363372</v>
      </c>
      <c r="B1280">
        <v>4.62</v>
      </c>
      <c r="C1280">
        <v>4.76</v>
      </c>
    </row>
    <row r="1281" spans="1:3" x14ac:dyDescent="0.25">
      <c r="A1281" s="98">
        <v>4.5314928306197597</v>
      </c>
      <c r="B1281">
        <v>4.92</v>
      </c>
      <c r="C1281">
        <v>4.91</v>
      </c>
    </row>
    <row r="1282" spans="1:3" x14ac:dyDescent="0.25">
      <c r="A1282" s="98">
        <v>4.5350343029587297</v>
      </c>
      <c r="B1282">
        <v>4.66</v>
      </c>
      <c r="C1282">
        <v>4.8099999999999996</v>
      </c>
    </row>
    <row r="1283" spans="1:3" x14ac:dyDescent="0.25">
      <c r="A1283" s="98">
        <v>4.5385773581928603</v>
      </c>
      <c r="B1283">
        <v>4.7</v>
      </c>
      <c r="C1283">
        <v>4.92</v>
      </c>
    </row>
    <row r="1284" spans="1:3" x14ac:dyDescent="0.25">
      <c r="A1284" s="98">
        <v>4.5421203743197296</v>
      </c>
      <c r="B1284">
        <v>4.96</v>
      </c>
      <c r="C1284">
        <v>4.79</v>
      </c>
    </row>
    <row r="1285" spans="1:3" x14ac:dyDescent="0.25">
      <c r="A1285" s="98">
        <v>4.54566190720156</v>
      </c>
      <c r="B1285">
        <v>4.76</v>
      </c>
      <c r="C1285">
        <v>4.7</v>
      </c>
    </row>
    <row r="1286" spans="1:3" x14ac:dyDescent="0.25">
      <c r="A1286" s="98">
        <v>4.5492050241816901</v>
      </c>
      <c r="B1286">
        <v>4.87</v>
      </c>
      <c r="C1286">
        <v>4.72</v>
      </c>
    </row>
    <row r="1287" spans="1:3" x14ac:dyDescent="0.25">
      <c r="A1287" s="98">
        <v>4.5527476470889798</v>
      </c>
      <c r="B1287">
        <v>4.84</v>
      </c>
      <c r="C1287">
        <v>4.76</v>
      </c>
    </row>
    <row r="1288" spans="1:3" x14ac:dyDescent="0.25">
      <c r="A1288" s="98">
        <v>4.5562916465710703</v>
      </c>
      <c r="B1288">
        <v>4.78</v>
      </c>
      <c r="C1288">
        <v>4.71</v>
      </c>
    </row>
    <row r="1289" spans="1:3" x14ac:dyDescent="0.25">
      <c r="A1289" s="98">
        <v>4.5598354106755101</v>
      </c>
      <c r="B1289">
        <v>4.9000000000000004</v>
      </c>
      <c r="C1289">
        <v>4.83</v>
      </c>
    </row>
    <row r="1290" spans="1:3" x14ac:dyDescent="0.25">
      <c r="A1290" s="98">
        <v>4.5633755269701801</v>
      </c>
      <c r="B1290">
        <v>4.97</v>
      </c>
      <c r="C1290">
        <v>4.55</v>
      </c>
    </row>
    <row r="1291" spans="1:3" x14ac:dyDescent="0.25">
      <c r="A1291" s="98">
        <v>4.5669209676815399</v>
      </c>
      <c r="B1291">
        <v>4.92</v>
      </c>
      <c r="C1291">
        <v>4.79</v>
      </c>
    </row>
    <row r="1292" spans="1:3" x14ac:dyDescent="0.25">
      <c r="A1292" s="98">
        <v>4.5704632586020004</v>
      </c>
      <c r="B1292">
        <v>4.8</v>
      </c>
      <c r="C1292">
        <v>4.5999999999999996</v>
      </c>
    </row>
    <row r="1293" spans="1:3" x14ac:dyDescent="0.25">
      <c r="A1293" s="98">
        <v>4.5740069033702202</v>
      </c>
      <c r="B1293">
        <v>4.62</v>
      </c>
      <c r="C1293">
        <v>4.8099999999999996</v>
      </c>
    </row>
    <row r="1294" spans="1:3" x14ac:dyDescent="0.25">
      <c r="A1294" s="98">
        <v>4.5775477166087502</v>
      </c>
      <c r="B1294">
        <v>4.63</v>
      </c>
      <c r="C1294">
        <v>4.6399999999999997</v>
      </c>
    </row>
    <row r="1295" spans="1:3" x14ac:dyDescent="0.25">
      <c r="A1295" s="98">
        <v>4.5810907386905599</v>
      </c>
      <c r="B1295">
        <v>4.8899999999999997</v>
      </c>
      <c r="C1295">
        <v>4.68</v>
      </c>
    </row>
    <row r="1296" spans="1:3" x14ac:dyDescent="0.25">
      <c r="A1296" s="98">
        <v>4.58463250810901</v>
      </c>
      <c r="B1296">
        <v>4.8099999999999996</v>
      </c>
      <c r="C1296">
        <v>4.84</v>
      </c>
    </row>
    <row r="1297" spans="1:3" x14ac:dyDescent="0.25">
      <c r="A1297" s="98">
        <v>4.5881746519881199</v>
      </c>
      <c r="B1297">
        <v>4.88</v>
      </c>
      <c r="C1297">
        <v>4.49</v>
      </c>
    </row>
    <row r="1298" spans="1:3" x14ac:dyDescent="0.25">
      <c r="A1298" s="98">
        <v>4.5917186887948596</v>
      </c>
      <c r="B1298">
        <v>4.71</v>
      </c>
      <c r="C1298">
        <v>4.79</v>
      </c>
    </row>
    <row r="1299" spans="1:3" x14ac:dyDescent="0.25">
      <c r="A1299" s="98">
        <v>4.5952626715710796</v>
      </c>
      <c r="B1299">
        <v>4.5999999999999996</v>
      </c>
      <c r="C1299">
        <v>4.92</v>
      </c>
    </row>
    <row r="1300" spans="1:3" x14ac:dyDescent="0.25">
      <c r="A1300" s="98">
        <v>4.5988054363374298</v>
      </c>
      <c r="B1300">
        <v>4.8</v>
      </c>
      <c r="C1300">
        <v>4.7</v>
      </c>
    </row>
    <row r="1301" spans="1:3" x14ac:dyDescent="0.25">
      <c r="A1301" s="98">
        <v>4.6023481183581803</v>
      </c>
      <c r="B1301">
        <v>4.72</v>
      </c>
      <c r="C1301">
        <v>4.59</v>
      </c>
    </row>
    <row r="1302" spans="1:3" x14ac:dyDescent="0.25">
      <c r="A1302" s="98">
        <v>4.6058918967677398</v>
      </c>
      <c r="B1302">
        <v>4.87</v>
      </c>
      <c r="C1302">
        <v>4.6399999999999997</v>
      </c>
    </row>
    <row r="1303" spans="1:3" x14ac:dyDescent="0.25">
      <c r="A1303" s="98">
        <v>4.6094358604980803</v>
      </c>
      <c r="B1303">
        <v>4.8899999999999997</v>
      </c>
      <c r="C1303">
        <v>4.58</v>
      </c>
    </row>
    <row r="1304" spans="1:3" x14ac:dyDescent="0.25">
      <c r="A1304" s="98">
        <v>4.6129799881632598</v>
      </c>
      <c r="B1304">
        <v>4.72</v>
      </c>
      <c r="C1304">
        <v>4.78</v>
      </c>
    </row>
    <row r="1305" spans="1:3" x14ac:dyDescent="0.25">
      <c r="A1305" s="98">
        <v>4.6165257982192198</v>
      </c>
      <c r="B1305">
        <v>4.58</v>
      </c>
      <c r="C1305">
        <v>4.49</v>
      </c>
    </row>
    <row r="1306" spans="1:3" x14ac:dyDescent="0.25">
      <c r="A1306" s="98">
        <v>4.6200711398047396</v>
      </c>
      <c r="B1306">
        <v>4.6500000000000004</v>
      </c>
      <c r="C1306">
        <v>4.71</v>
      </c>
    </row>
    <row r="1307" spans="1:3" x14ac:dyDescent="0.25">
      <c r="A1307" s="98">
        <v>4.6236149206371202</v>
      </c>
      <c r="B1307">
        <v>4.8499999999999996</v>
      </c>
      <c r="C1307">
        <v>4.6399999999999997</v>
      </c>
    </row>
    <row r="1308" spans="1:3" x14ac:dyDescent="0.25">
      <c r="A1308" s="98">
        <v>4.6271574848945498</v>
      </c>
      <c r="B1308">
        <v>4.84</v>
      </c>
      <c r="C1308">
        <v>4.8</v>
      </c>
    </row>
    <row r="1309" spans="1:3" x14ac:dyDescent="0.25">
      <c r="A1309" s="98">
        <v>4.6307016872586999</v>
      </c>
      <c r="B1309">
        <v>4.6900000000000004</v>
      </c>
      <c r="C1309">
        <v>4.5</v>
      </c>
    </row>
    <row r="1310" spans="1:3" x14ac:dyDescent="0.25">
      <c r="A1310" s="98">
        <v>4.6342450073416499</v>
      </c>
      <c r="B1310">
        <v>4.82</v>
      </c>
      <c r="C1310">
        <v>4.43</v>
      </c>
    </row>
    <row r="1311" spans="1:3" x14ac:dyDescent="0.25">
      <c r="A1311" s="98">
        <v>4.6377897251921603</v>
      </c>
      <c r="B1311">
        <v>4.8499999999999996</v>
      </c>
      <c r="C1311">
        <v>4.6500000000000004</v>
      </c>
    </row>
    <row r="1312" spans="1:3" x14ac:dyDescent="0.25">
      <c r="A1312" s="98">
        <v>4.6413321783145198</v>
      </c>
      <c r="B1312">
        <v>4.74</v>
      </c>
      <c r="C1312">
        <v>4.49</v>
      </c>
    </row>
    <row r="1313" spans="1:3" x14ac:dyDescent="0.25">
      <c r="A1313" s="98">
        <v>4.6448783691944904</v>
      </c>
      <c r="B1313">
        <v>4.4000000000000004</v>
      </c>
      <c r="C1313">
        <v>4.58</v>
      </c>
    </row>
    <row r="1314" spans="1:3" x14ac:dyDescent="0.25">
      <c r="A1314" s="98">
        <v>4.64842146616291</v>
      </c>
      <c r="B1314">
        <v>4.71</v>
      </c>
      <c r="C1314">
        <v>4.22</v>
      </c>
    </row>
    <row r="1315" spans="1:3" x14ac:dyDescent="0.25">
      <c r="A1315" s="98">
        <v>4.6519633780695697</v>
      </c>
      <c r="B1315">
        <v>4.6399999999999997</v>
      </c>
      <c r="C1315">
        <v>4.68</v>
      </c>
    </row>
    <row r="1316" spans="1:3" x14ac:dyDescent="0.25">
      <c r="A1316" s="98">
        <v>4.6555065538761804</v>
      </c>
      <c r="B1316">
        <v>4.7</v>
      </c>
      <c r="C1316">
        <v>4.51</v>
      </c>
    </row>
    <row r="1317" spans="1:3" x14ac:dyDescent="0.25">
      <c r="A1317" s="98">
        <v>4.6590494444966302</v>
      </c>
      <c r="B1317">
        <v>4.66</v>
      </c>
      <c r="C1317">
        <v>4.5599999999999996</v>
      </c>
    </row>
    <row r="1318" spans="1:3" x14ac:dyDescent="0.25">
      <c r="A1318" s="98">
        <v>4.6625932466266304</v>
      </c>
      <c r="B1318">
        <v>4.74</v>
      </c>
      <c r="C1318">
        <v>4.53</v>
      </c>
    </row>
    <row r="1319" spans="1:3" x14ac:dyDescent="0.25">
      <c r="A1319" s="98">
        <v>4.6661359114503398</v>
      </c>
      <c r="B1319">
        <v>4.46</v>
      </c>
      <c r="C1319">
        <v>4.58</v>
      </c>
    </row>
    <row r="1320" spans="1:3" x14ac:dyDescent="0.25">
      <c r="A1320" s="98">
        <v>4.6696775671287796</v>
      </c>
      <c r="B1320">
        <v>4.62</v>
      </c>
      <c r="C1320">
        <v>4.6900000000000004</v>
      </c>
    </row>
    <row r="1321" spans="1:3" x14ac:dyDescent="0.25">
      <c r="A1321" s="98">
        <v>4.67321868737538</v>
      </c>
      <c r="B1321">
        <v>4.43</v>
      </c>
      <c r="C1321">
        <v>4.47</v>
      </c>
    </row>
    <row r="1322" spans="1:3" x14ac:dyDescent="0.25">
      <c r="A1322" s="98">
        <v>4.6767611830709104</v>
      </c>
      <c r="B1322">
        <v>4.78</v>
      </c>
      <c r="C1322">
        <v>4.63</v>
      </c>
    </row>
    <row r="1323" spans="1:3" x14ac:dyDescent="0.25">
      <c r="A1323" s="98">
        <v>4.6803038460512898</v>
      </c>
      <c r="B1323">
        <v>4.55</v>
      </c>
      <c r="C1323">
        <v>4.3899999999999997</v>
      </c>
    </row>
    <row r="1324" spans="1:3" x14ac:dyDescent="0.25">
      <c r="A1324" s="98">
        <v>4.6838463864061497</v>
      </c>
      <c r="B1324">
        <v>4.67</v>
      </c>
      <c r="C1324">
        <v>4.47</v>
      </c>
    </row>
    <row r="1325" spans="1:3" x14ac:dyDescent="0.25">
      <c r="A1325" s="98">
        <v>4.6873882026087301</v>
      </c>
      <c r="B1325">
        <v>4.55</v>
      </c>
      <c r="C1325">
        <v>4.2300000000000004</v>
      </c>
    </row>
    <row r="1326" spans="1:3" x14ac:dyDescent="0.25">
      <c r="A1326" s="98">
        <v>4.6909310810875002</v>
      </c>
      <c r="B1326">
        <v>4.63</v>
      </c>
      <c r="C1326">
        <v>4.33</v>
      </c>
    </row>
    <row r="1327" spans="1:3" x14ac:dyDescent="0.25">
      <c r="A1327" s="98">
        <v>4.6944755451381202</v>
      </c>
      <c r="B1327">
        <v>4.5599999999999996</v>
      </c>
      <c r="C1327">
        <v>4.62</v>
      </c>
    </row>
    <row r="1328" spans="1:3" x14ac:dyDescent="0.25">
      <c r="A1328" s="98">
        <v>4.6980192660181599</v>
      </c>
      <c r="B1328">
        <v>4.6399999999999997</v>
      </c>
      <c r="C1328">
        <v>4.32</v>
      </c>
    </row>
    <row r="1329" spans="1:3" x14ac:dyDescent="0.25">
      <c r="A1329" s="98">
        <v>4.7015628764805903</v>
      </c>
      <c r="B1329">
        <v>4.5999999999999996</v>
      </c>
      <c r="C1329">
        <v>4.38</v>
      </c>
    </row>
    <row r="1330" spans="1:3" x14ac:dyDescent="0.25">
      <c r="A1330" s="98">
        <v>4.7051060084391496</v>
      </c>
      <c r="B1330">
        <v>4.3</v>
      </c>
      <c r="C1330">
        <v>4.37</v>
      </c>
    </row>
    <row r="1331" spans="1:3" x14ac:dyDescent="0.25">
      <c r="A1331" s="98">
        <v>4.7086478236759097</v>
      </c>
      <c r="B1331">
        <v>4.63</v>
      </c>
      <c r="C1331">
        <v>4.26</v>
      </c>
    </row>
    <row r="1332" spans="1:3" x14ac:dyDescent="0.25">
      <c r="A1332" s="98">
        <v>4.7121921366729103</v>
      </c>
      <c r="B1332">
        <v>4.42</v>
      </c>
      <c r="C1332">
        <v>4.32</v>
      </c>
    </row>
    <row r="1333" spans="1:3" x14ac:dyDescent="0.25">
      <c r="A1333" s="98">
        <v>4.7157349636819603</v>
      </c>
      <c r="B1333">
        <v>4.59</v>
      </c>
      <c r="C1333">
        <v>4.4000000000000004</v>
      </c>
    </row>
    <row r="1334" spans="1:3" x14ac:dyDescent="0.25">
      <c r="A1334" s="98">
        <v>4.7192782934120396</v>
      </c>
      <c r="B1334">
        <v>4.58</v>
      </c>
      <c r="C1334">
        <v>4.45</v>
      </c>
    </row>
    <row r="1335" spans="1:3" x14ac:dyDescent="0.25">
      <c r="A1335" s="98">
        <v>4.7228218826375601</v>
      </c>
      <c r="B1335">
        <v>4.59</v>
      </c>
      <c r="C1335">
        <v>4.3099999999999996</v>
      </c>
    </row>
    <row r="1336" spans="1:3" x14ac:dyDescent="0.25">
      <c r="A1336" s="98">
        <v>4.7263658407109697</v>
      </c>
      <c r="B1336">
        <v>4.51</v>
      </c>
      <c r="C1336">
        <v>4.34</v>
      </c>
    </row>
    <row r="1337" spans="1:3" x14ac:dyDescent="0.25">
      <c r="A1337" s="98">
        <v>4.7299085250276098</v>
      </c>
      <c r="B1337">
        <v>4.46</v>
      </c>
      <c r="C1337">
        <v>4.43</v>
      </c>
    </row>
    <row r="1338" spans="1:3" x14ac:dyDescent="0.25">
      <c r="A1338" s="98">
        <v>4.7334518146183697</v>
      </c>
      <c r="B1338">
        <v>4.47</v>
      </c>
      <c r="C1338">
        <v>4.28</v>
      </c>
    </row>
    <row r="1339" spans="1:3" x14ac:dyDescent="0.25">
      <c r="A1339" s="98">
        <v>4.7369945314692101</v>
      </c>
      <c r="B1339">
        <v>4.54</v>
      </c>
      <c r="C1339">
        <v>4.34</v>
      </c>
    </row>
    <row r="1340" spans="1:3" x14ac:dyDescent="0.25">
      <c r="A1340" s="98">
        <v>4.7405412218416103</v>
      </c>
      <c r="B1340">
        <v>4.7</v>
      </c>
      <c r="C1340">
        <v>4.33</v>
      </c>
    </row>
    <row r="1341" spans="1:3" x14ac:dyDescent="0.25">
      <c r="A1341" s="98">
        <v>4.7440841846388802</v>
      </c>
      <c r="B1341">
        <v>4.54</v>
      </c>
      <c r="C1341">
        <v>4.41</v>
      </c>
    </row>
    <row r="1342" spans="1:3" x14ac:dyDescent="0.25">
      <c r="A1342" s="98">
        <v>4.7476267578756302</v>
      </c>
      <c r="B1342">
        <v>4.66</v>
      </c>
      <c r="C1342">
        <v>4.3499999999999996</v>
      </c>
    </row>
    <row r="1343" spans="1:3" x14ac:dyDescent="0.25">
      <c r="A1343" s="98">
        <v>4.7511693828194197</v>
      </c>
      <c r="B1343">
        <v>4.5199999999999996</v>
      </c>
      <c r="C1343">
        <v>4.32</v>
      </c>
    </row>
    <row r="1344" spans="1:3" x14ac:dyDescent="0.25">
      <c r="A1344" s="98">
        <v>4.7547120754586301</v>
      </c>
      <c r="B1344">
        <v>4.37</v>
      </c>
      <c r="C1344">
        <v>4.1500000000000004</v>
      </c>
    </row>
    <row r="1345" spans="1:3" x14ac:dyDescent="0.25">
      <c r="A1345" s="98">
        <v>4.75825582989388</v>
      </c>
      <c r="B1345">
        <v>4.29</v>
      </c>
      <c r="C1345">
        <v>4.1399999999999997</v>
      </c>
    </row>
    <row r="1346" spans="1:3" x14ac:dyDescent="0.25">
      <c r="A1346" s="98">
        <v>4.7617996922356101</v>
      </c>
      <c r="B1346">
        <v>4.42</v>
      </c>
      <c r="C1346">
        <v>4.2300000000000004</v>
      </c>
    </row>
    <row r="1347" spans="1:3" x14ac:dyDescent="0.25">
      <c r="A1347" s="98">
        <v>4.7653417000781602</v>
      </c>
      <c r="B1347">
        <v>4.4400000000000004</v>
      </c>
      <c r="C1347">
        <v>4.53</v>
      </c>
    </row>
    <row r="1348" spans="1:3" x14ac:dyDescent="0.25">
      <c r="A1348" s="98">
        <v>4.7688843783681003</v>
      </c>
      <c r="B1348">
        <v>4.3600000000000003</v>
      </c>
      <c r="C1348">
        <v>4.0999999999999996</v>
      </c>
    </row>
    <row r="1349" spans="1:3" x14ac:dyDescent="0.25">
      <c r="A1349" s="98">
        <v>4.7724265001659001</v>
      </c>
      <c r="B1349">
        <v>4.5</v>
      </c>
      <c r="C1349">
        <v>4.26</v>
      </c>
    </row>
    <row r="1350" spans="1:3" x14ac:dyDescent="0.25">
      <c r="A1350" s="98">
        <v>4.7759715894030199</v>
      </c>
      <c r="B1350">
        <v>4.22</v>
      </c>
      <c r="C1350">
        <v>4.18</v>
      </c>
    </row>
    <row r="1351" spans="1:3" x14ac:dyDescent="0.25">
      <c r="A1351" s="98">
        <v>4.7795153276346296</v>
      </c>
      <c r="B1351">
        <v>4.28</v>
      </c>
      <c r="C1351">
        <v>4.13</v>
      </c>
    </row>
    <row r="1352" spans="1:3" x14ac:dyDescent="0.25">
      <c r="A1352" s="98">
        <v>4.7830578096155696</v>
      </c>
      <c r="B1352">
        <v>4.2</v>
      </c>
      <c r="C1352">
        <v>4.24</v>
      </c>
    </row>
    <row r="1353" spans="1:3" x14ac:dyDescent="0.25">
      <c r="A1353" s="98">
        <v>4.7866006723653296</v>
      </c>
      <c r="B1353">
        <v>2.67</v>
      </c>
      <c r="C1353">
        <v>0</v>
      </c>
    </row>
    <row r="1354" spans="1:3" x14ac:dyDescent="0.25">
      <c r="A1354" s="98">
        <v>4.7901427751282801</v>
      </c>
      <c r="B1354">
        <v>3.48</v>
      </c>
      <c r="C1354">
        <v>3.08</v>
      </c>
    </row>
    <row r="1355" spans="1:3" x14ac:dyDescent="0.25">
      <c r="A1355" s="98">
        <v>4.7936866408420897</v>
      </c>
      <c r="B1355">
        <v>3.81</v>
      </c>
      <c r="C1355">
        <v>3.52</v>
      </c>
    </row>
    <row r="1356" spans="1:3" x14ac:dyDescent="0.25">
      <c r="A1356" s="98">
        <v>4.79722856538715</v>
      </c>
      <c r="B1356">
        <v>4</v>
      </c>
      <c r="C1356">
        <v>4.09</v>
      </c>
    </row>
    <row r="1357" spans="1:3" x14ac:dyDescent="0.25">
      <c r="A1357" s="98">
        <v>4.8007714504996901</v>
      </c>
      <c r="B1357">
        <v>4.0599999999999996</v>
      </c>
      <c r="C1357">
        <v>4.01</v>
      </c>
    </row>
    <row r="1358" spans="1:3" x14ac:dyDescent="0.25">
      <c r="A1358" s="98">
        <v>4.8043143289122296</v>
      </c>
      <c r="B1358">
        <v>4.3</v>
      </c>
      <c r="C1358">
        <v>3.89</v>
      </c>
    </row>
    <row r="1359" spans="1:3" x14ac:dyDescent="0.25">
      <c r="A1359" s="98">
        <v>4.8078569717926003</v>
      </c>
      <c r="B1359">
        <v>4.07</v>
      </c>
      <c r="C1359">
        <v>3.8</v>
      </c>
    </row>
    <row r="1360" spans="1:3" x14ac:dyDescent="0.25">
      <c r="A1360" s="98">
        <v>4.81140066994009</v>
      </c>
      <c r="B1360">
        <v>4.2300000000000004</v>
      </c>
      <c r="C1360">
        <v>3.81</v>
      </c>
    </row>
    <row r="1361" spans="1:3" x14ac:dyDescent="0.25">
      <c r="A1361" s="98">
        <v>4.8149434694151001</v>
      </c>
      <c r="B1361">
        <v>3.95</v>
      </c>
      <c r="C1361">
        <v>3.73</v>
      </c>
    </row>
    <row r="1362" spans="1:3" x14ac:dyDescent="0.25">
      <c r="A1362" s="98">
        <v>4.8184887001635799</v>
      </c>
      <c r="B1362">
        <v>3.98</v>
      </c>
      <c r="C1362">
        <v>3.81</v>
      </c>
    </row>
    <row r="1363" spans="1:3" x14ac:dyDescent="0.25">
      <c r="A1363" s="98">
        <v>4.8220299588750901</v>
      </c>
      <c r="B1363">
        <v>4.0999999999999996</v>
      </c>
      <c r="C1363">
        <v>4.04</v>
      </c>
    </row>
    <row r="1364" spans="1:3" x14ac:dyDescent="0.25">
      <c r="A1364" s="98">
        <v>4.8255726092005196</v>
      </c>
      <c r="B1364">
        <v>4.07</v>
      </c>
      <c r="C1364">
        <v>4.32</v>
      </c>
    </row>
    <row r="1365" spans="1:3" x14ac:dyDescent="0.25">
      <c r="A1365" s="98">
        <v>4.82911559198741</v>
      </c>
      <c r="B1365">
        <v>4.25</v>
      </c>
      <c r="C1365">
        <v>4.26</v>
      </c>
    </row>
    <row r="1366" spans="1:3" x14ac:dyDescent="0.25">
      <c r="A1366" s="98">
        <v>4.8326595020790899</v>
      </c>
      <c r="B1366">
        <v>4.1500000000000004</v>
      </c>
      <c r="C1366">
        <v>4.2</v>
      </c>
    </row>
    <row r="1367" spans="1:3" x14ac:dyDescent="0.25">
      <c r="A1367" s="98">
        <v>4.8362052091900898</v>
      </c>
      <c r="B1367">
        <v>4.4000000000000004</v>
      </c>
      <c r="C1367">
        <v>4.41</v>
      </c>
    </row>
    <row r="1368" spans="1:3" x14ac:dyDescent="0.25">
      <c r="A1368" s="98">
        <v>4.83974801239592</v>
      </c>
      <c r="B1368">
        <v>4.38</v>
      </c>
      <c r="C1368">
        <v>4.34</v>
      </c>
    </row>
    <row r="1369" spans="1:3" x14ac:dyDescent="0.25">
      <c r="A1369" s="98">
        <v>4.8432912530556802</v>
      </c>
      <c r="B1369">
        <v>4.37</v>
      </c>
      <c r="C1369">
        <v>4.62</v>
      </c>
    </row>
    <row r="1370" spans="1:3" x14ac:dyDescent="0.25">
      <c r="A1370" s="98">
        <v>4.84683310246026</v>
      </c>
      <c r="B1370">
        <v>4.5</v>
      </c>
      <c r="C1370">
        <v>4.43</v>
      </c>
    </row>
    <row r="1371" spans="1:3" x14ac:dyDescent="0.25">
      <c r="A1371" s="98">
        <v>4.8503755440976803</v>
      </c>
      <c r="B1371">
        <v>4.33</v>
      </c>
      <c r="C1371">
        <v>4.28</v>
      </c>
    </row>
    <row r="1372" spans="1:3" x14ac:dyDescent="0.25">
      <c r="A1372" s="98">
        <v>4.8539173421098099</v>
      </c>
      <c r="B1372">
        <v>4.38</v>
      </c>
      <c r="C1372">
        <v>4.3</v>
      </c>
    </row>
    <row r="1373" spans="1:3" x14ac:dyDescent="0.25">
      <c r="A1373" s="98">
        <v>4.8574623186996604</v>
      </c>
      <c r="B1373">
        <v>4.47</v>
      </c>
      <c r="C1373">
        <v>4.47</v>
      </c>
    </row>
    <row r="1374" spans="1:3" x14ac:dyDescent="0.25">
      <c r="A1374" s="98">
        <v>4.8610014961825403</v>
      </c>
      <c r="B1374">
        <v>4.1900000000000004</v>
      </c>
      <c r="C1374">
        <v>4.5999999999999996</v>
      </c>
    </row>
    <row r="1375" spans="1:3" x14ac:dyDescent="0.25">
      <c r="A1375" s="98">
        <v>4.8645451909027697</v>
      </c>
      <c r="B1375">
        <v>4.16</v>
      </c>
      <c r="C1375">
        <v>4.51</v>
      </c>
    </row>
    <row r="1376" spans="1:3" x14ac:dyDescent="0.25">
      <c r="A1376" s="98">
        <v>4.8680877860883802</v>
      </c>
      <c r="B1376">
        <v>4.08</v>
      </c>
      <c r="C1376">
        <v>4.2300000000000004</v>
      </c>
    </row>
    <row r="1377" spans="1:3" x14ac:dyDescent="0.25">
      <c r="A1377" s="98">
        <v>4.8716307400332504</v>
      </c>
      <c r="B1377">
        <v>4.0999999999999996</v>
      </c>
      <c r="C1377">
        <v>4.54</v>
      </c>
    </row>
    <row r="1378" spans="1:3" x14ac:dyDescent="0.25">
      <c r="A1378" s="98">
        <v>4.8751755979049998</v>
      </c>
      <c r="B1378">
        <v>4.22</v>
      </c>
      <c r="C1378">
        <v>4.45</v>
      </c>
    </row>
    <row r="1379" spans="1:3" x14ac:dyDescent="0.25">
      <c r="A1379" s="98">
        <v>4.8787198720706799</v>
      </c>
      <c r="B1379">
        <v>4.2699999999999996</v>
      </c>
      <c r="C1379">
        <v>4.3899999999999997</v>
      </c>
    </row>
    <row r="1380" spans="1:3" x14ac:dyDescent="0.25">
      <c r="A1380" s="98">
        <v>4.8822653978787001</v>
      </c>
      <c r="B1380">
        <v>4.25</v>
      </c>
      <c r="C1380">
        <v>4.32</v>
      </c>
    </row>
    <row r="1381" spans="1:3" x14ac:dyDescent="0.25">
      <c r="A1381" s="98">
        <v>4.8858084200819301</v>
      </c>
      <c r="B1381">
        <v>4.32</v>
      </c>
      <c r="C1381">
        <v>4.41</v>
      </c>
    </row>
    <row r="1382" spans="1:3" x14ac:dyDescent="0.25">
      <c r="A1382" s="98">
        <v>4.8893513795788603</v>
      </c>
      <c r="B1382">
        <v>4.17</v>
      </c>
      <c r="C1382">
        <v>4.2699999999999996</v>
      </c>
    </row>
    <row r="1383" spans="1:3" x14ac:dyDescent="0.25">
      <c r="A1383" s="98">
        <v>4.8928961838947398</v>
      </c>
      <c r="B1383">
        <v>4.25</v>
      </c>
      <c r="C1383">
        <v>4.24</v>
      </c>
    </row>
    <row r="1384" spans="1:3" x14ac:dyDescent="0.25">
      <c r="A1384" s="98">
        <v>4.8964385697631903</v>
      </c>
      <c r="B1384">
        <v>4.26</v>
      </c>
      <c r="C1384">
        <v>4.28</v>
      </c>
    </row>
    <row r="1385" spans="1:3" x14ac:dyDescent="0.25">
      <c r="A1385" s="98">
        <v>4.8999821032473303</v>
      </c>
      <c r="B1385">
        <v>4.3899999999999997</v>
      </c>
      <c r="C1385">
        <v>4.22</v>
      </c>
    </row>
    <row r="1386" spans="1:3" x14ac:dyDescent="0.25">
      <c r="A1386" s="98">
        <v>4.9035249586017002</v>
      </c>
      <c r="B1386">
        <v>4.17</v>
      </c>
      <c r="C1386">
        <v>4.0599999999999996</v>
      </c>
    </row>
    <row r="1387" spans="1:3" x14ac:dyDescent="0.25">
      <c r="A1387" s="98">
        <v>4.9070678855920198</v>
      </c>
      <c r="B1387">
        <v>4.25</v>
      </c>
      <c r="C1387">
        <v>4.33</v>
      </c>
    </row>
    <row r="1388" spans="1:3" x14ac:dyDescent="0.25">
      <c r="A1388" s="98">
        <v>4.9106126741457796</v>
      </c>
      <c r="B1388">
        <v>4.32</v>
      </c>
      <c r="C1388">
        <v>4.47</v>
      </c>
    </row>
    <row r="1389" spans="1:3" x14ac:dyDescent="0.25">
      <c r="A1389" s="98">
        <v>4.91415565666225</v>
      </c>
      <c r="B1389">
        <v>4.1900000000000004</v>
      </c>
      <c r="C1389">
        <v>4.08</v>
      </c>
    </row>
    <row r="1390" spans="1:3" x14ac:dyDescent="0.25">
      <c r="A1390" s="98">
        <v>4.9177006599583004</v>
      </c>
      <c r="B1390">
        <v>4.07</v>
      </c>
      <c r="C1390">
        <v>4.17</v>
      </c>
    </row>
    <row r="1391" spans="1:3" x14ac:dyDescent="0.25">
      <c r="A1391" s="98">
        <v>4.9212432632015801</v>
      </c>
      <c r="B1391">
        <v>4.33</v>
      </c>
      <c r="C1391">
        <v>4.24</v>
      </c>
    </row>
    <row r="1392" spans="1:3" x14ac:dyDescent="0.25">
      <c r="A1392" s="98">
        <v>4.9247887070973704</v>
      </c>
      <c r="B1392">
        <v>4.2699999999999996</v>
      </c>
      <c r="C1392">
        <v>4.3899999999999997</v>
      </c>
    </row>
    <row r="1393" spans="1:3" x14ac:dyDescent="0.25">
      <c r="A1393" s="98">
        <v>4.9283341714408602</v>
      </c>
      <c r="B1393">
        <v>4.3099999999999996</v>
      </c>
      <c r="C1393">
        <v>4.25</v>
      </c>
    </row>
    <row r="1394" spans="1:3" x14ac:dyDescent="0.25">
      <c r="A1394" s="98">
        <v>4.9318767982279796</v>
      </c>
      <c r="B1394">
        <v>4.1100000000000003</v>
      </c>
      <c r="C1394">
        <v>4.2300000000000004</v>
      </c>
    </row>
    <row r="1395" spans="1:3" x14ac:dyDescent="0.25">
      <c r="A1395" s="98">
        <v>4.9354208976637404</v>
      </c>
      <c r="B1395">
        <v>4.1399999999999997</v>
      </c>
      <c r="C1395">
        <v>3.95</v>
      </c>
    </row>
    <row r="1396" spans="1:3" x14ac:dyDescent="0.25">
      <c r="A1396" s="98">
        <v>4.9389646198848798</v>
      </c>
      <c r="B1396">
        <v>4.0999999999999996</v>
      </c>
      <c r="C1396">
        <v>4.18</v>
      </c>
    </row>
    <row r="1397" spans="1:3" x14ac:dyDescent="0.25">
      <c r="A1397" s="98">
        <v>4.9425073099964196</v>
      </c>
      <c r="B1397">
        <v>4.22</v>
      </c>
      <c r="C1397">
        <v>4.1500000000000004</v>
      </c>
    </row>
    <row r="1398" spans="1:3" x14ac:dyDescent="0.25">
      <c r="A1398" s="98">
        <v>4.9460497456457801</v>
      </c>
      <c r="B1398">
        <v>3.89</v>
      </c>
      <c r="C1398">
        <v>4.0599999999999996</v>
      </c>
    </row>
    <row r="1399" spans="1:3" x14ac:dyDescent="0.25">
      <c r="A1399" s="98">
        <v>4.94959358071839</v>
      </c>
      <c r="B1399">
        <v>4.01</v>
      </c>
      <c r="C1399">
        <v>4.05</v>
      </c>
    </row>
    <row r="1400" spans="1:3" x14ac:dyDescent="0.25">
      <c r="A1400" s="98">
        <v>4.95313770456998</v>
      </c>
      <c r="B1400">
        <v>4.2699999999999996</v>
      </c>
      <c r="C1400">
        <v>4.1399999999999997</v>
      </c>
    </row>
    <row r="1401" spans="1:3" x14ac:dyDescent="0.25">
      <c r="A1401" s="98">
        <v>4.9566788109033197</v>
      </c>
      <c r="B1401">
        <v>4.2699999999999996</v>
      </c>
      <c r="C1401">
        <v>4.2300000000000004</v>
      </c>
    </row>
    <row r="1402" spans="1:3" x14ac:dyDescent="0.25">
      <c r="A1402" s="98">
        <v>4.9602224371941004</v>
      </c>
      <c r="B1402">
        <v>4.03</v>
      </c>
      <c r="C1402">
        <v>4</v>
      </c>
    </row>
    <row r="1403" spans="1:3" x14ac:dyDescent="0.25">
      <c r="A1403" s="98">
        <v>4.9637682736802899</v>
      </c>
      <c r="B1403">
        <v>4.17</v>
      </c>
      <c r="C1403">
        <v>3.82</v>
      </c>
    </row>
    <row r="1404" spans="1:3" x14ac:dyDescent="0.25">
      <c r="A1404" s="98">
        <v>4.96730976488855</v>
      </c>
      <c r="B1404">
        <v>4.1399999999999997</v>
      </c>
      <c r="C1404">
        <v>3.89</v>
      </c>
    </row>
    <row r="1405" spans="1:3" x14ac:dyDescent="0.25">
      <c r="A1405" s="98">
        <v>4.9708546599966503</v>
      </c>
      <c r="B1405">
        <v>3.91</v>
      </c>
      <c r="C1405">
        <v>3.93</v>
      </c>
    </row>
    <row r="1406" spans="1:3" x14ac:dyDescent="0.25">
      <c r="A1406" s="98">
        <v>4.9743991687452302</v>
      </c>
      <c r="B1406">
        <v>4</v>
      </c>
      <c r="C1406">
        <v>4.24</v>
      </c>
    </row>
    <row r="1407" spans="1:3" x14ac:dyDescent="0.25">
      <c r="A1407" s="98">
        <v>4.9779419542959404</v>
      </c>
      <c r="B1407">
        <v>4</v>
      </c>
      <c r="C1407">
        <v>4.1399999999999997</v>
      </c>
    </row>
    <row r="1408" spans="1:3" x14ac:dyDescent="0.25">
      <c r="A1408" s="98">
        <v>4.9814834731651603</v>
      </c>
      <c r="B1408">
        <v>4.1500000000000004</v>
      </c>
      <c r="C1408">
        <v>4.18</v>
      </c>
    </row>
    <row r="1409" spans="1:3" x14ac:dyDescent="0.25">
      <c r="A1409" s="98">
        <v>4.9850265668111797</v>
      </c>
      <c r="B1409">
        <v>4.0199999999999996</v>
      </c>
      <c r="C1409">
        <v>3.97</v>
      </c>
    </row>
    <row r="1410" spans="1:3" x14ac:dyDescent="0.25">
      <c r="A1410" s="98">
        <v>4.9885685330353402</v>
      </c>
      <c r="B1410">
        <v>4.01</v>
      </c>
      <c r="C1410">
        <v>3.99</v>
      </c>
    </row>
    <row r="1411" spans="1:3" x14ac:dyDescent="0.25">
      <c r="A1411" s="98">
        <v>4.9921100458778698</v>
      </c>
      <c r="B1411">
        <v>4.08</v>
      </c>
      <c r="C1411">
        <v>3.96</v>
      </c>
    </row>
    <row r="1412" spans="1:3" x14ac:dyDescent="0.25">
      <c r="A1412" s="98">
        <v>4.9956529607816904</v>
      </c>
      <c r="B1412">
        <v>3.94</v>
      </c>
      <c r="C1412">
        <v>3.93</v>
      </c>
    </row>
    <row r="1413" spans="1:3" x14ac:dyDescent="0.25">
      <c r="A1413" s="98">
        <v>4.9991968740522799</v>
      </c>
      <c r="B1413">
        <v>4.04</v>
      </c>
      <c r="C1413">
        <v>4.29</v>
      </c>
    </row>
    <row r="1414" spans="1:3" x14ac:dyDescent="0.25">
      <c r="A1414" s="98">
        <v>5.00273935466452</v>
      </c>
      <c r="B1414">
        <v>3.94</v>
      </c>
      <c r="C1414">
        <v>3.95</v>
      </c>
    </row>
    <row r="1415" spans="1:3" x14ac:dyDescent="0.25">
      <c r="A1415" s="98">
        <v>5.0062829572183096</v>
      </c>
      <c r="B1415">
        <v>4.05</v>
      </c>
      <c r="C1415">
        <v>3.89</v>
      </c>
    </row>
    <row r="1416" spans="1:3" x14ac:dyDescent="0.25">
      <c r="A1416" s="98">
        <v>5.0098282241434902</v>
      </c>
      <c r="B1416">
        <v>4</v>
      </c>
      <c r="C1416">
        <v>3.87</v>
      </c>
    </row>
    <row r="1417" spans="1:3" x14ac:dyDescent="0.25">
      <c r="A1417" s="98">
        <v>5.0133731923887002</v>
      </c>
      <c r="B1417">
        <v>4.1900000000000004</v>
      </c>
      <c r="C1417">
        <v>4.0199999999999996</v>
      </c>
    </row>
    <row r="1418" spans="1:3" x14ac:dyDescent="0.25">
      <c r="A1418" s="98">
        <v>5.0169152596537696</v>
      </c>
      <c r="B1418">
        <v>4.05</v>
      </c>
      <c r="C1418">
        <v>3.99</v>
      </c>
    </row>
    <row r="1419" spans="1:3" x14ac:dyDescent="0.25">
      <c r="A1419" s="98">
        <v>5.02045809768416</v>
      </c>
      <c r="B1419">
        <v>4.09</v>
      </c>
      <c r="C1419">
        <v>3.86</v>
      </c>
    </row>
    <row r="1420" spans="1:3" x14ac:dyDescent="0.25">
      <c r="A1420" s="98">
        <v>5.02400418068523</v>
      </c>
      <c r="B1420">
        <v>3.97</v>
      </c>
      <c r="C1420">
        <v>3.85</v>
      </c>
    </row>
    <row r="1421" spans="1:3" x14ac:dyDescent="0.25">
      <c r="A1421" s="98">
        <v>5.0275471025153404</v>
      </c>
      <c r="B1421">
        <v>4.04</v>
      </c>
      <c r="C1421">
        <v>4.01</v>
      </c>
    </row>
    <row r="1422" spans="1:3" x14ac:dyDescent="0.25">
      <c r="A1422" s="98">
        <v>5.03109050284933</v>
      </c>
      <c r="B1422">
        <v>4.17</v>
      </c>
      <c r="C1422">
        <v>3.8</v>
      </c>
    </row>
    <row r="1423" spans="1:3" x14ac:dyDescent="0.25">
      <c r="A1423" s="98">
        <v>5.0346348998005697</v>
      </c>
      <c r="B1423">
        <v>4.2</v>
      </c>
      <c r="C1423">
        <v>3.9</v>
      </c>
    </row>
    <row r="1424" spans="1:3" x14ac:dyDescent="0.25">
      <c r="A1424" s="98">
        <v>5.0381791016459401</v>
      </c>
      <c r="B1424">
        <v>4.01</v>
      </c>
      <c r="C1424">
        <v>4.01</v>
      </c>
    </row>
    <row r="1425" spans="1:3" x14ac:dyDescent="0.25">
      <c r="A1425" s="98">
        <v>5.0417221701641797</v>
      </c>
      <c r="B1425">
        <v>3.96</v>
      </c>
      <c r="C1425">
        <v>3.82</v>
      </c>
    </row>
    <row r="1426" spans="1:3" x14ac:dyDescent="0.25">
      <c r="A1426" s="98">
        <v>5.0452631672775299</v>
      </c>
      <c r="B1426">
        <v>4.05</v>
      </c>
      <c r="C1426">
        <v>3.91</v>
      </c>
    </row>
    <row r="1427" spans="1:3" x14ac:dyDescent="0.25">
      <c r="A1427" s="98">
        <v>5.0488045318700596</v>
      </c>
      <c r="B1427">
        <v>3.96</v>
      </c>
      <c r="C1427">
        <v>3.78</v>
      </c>
    </row>
    <row r="1428" spans="1:3" x14ac:dyDescent="0.25">
      <c r="A1428" s="98">
        <v>5.0523489219502098</v>
      </c>
      <c r="B1428">
        <v>3.96</v>
      </c>
      <c r="C1428">
        <v>3.98</v>
      </c>
    </row>
    <row r="1429" spans="1:3" x14ac:dyDescent="0.25">
      <c r="A1429" s="98">
        <v>5.0558906049805596</v>
      </c>
      <c r="B1429">
        <v>4.05</v>
      </c>
      <c r="C1429">
        <v>3.67</v>
      </c>
    </row>
    <row r="1430" spans="1:3" x14ac:dyDescent="0.25">
      <c r="A1430" s="98">
        <v>5.0594358041992802</v>
      </c>
      <c r="B1430">
        <v>3.89</v>
      </c>
      <c r="C1430">
        <v>3.72</v>
      </c>
    </row>
    <row r="1431" spans="1:3" x14ac:dyDescent="0.25">
      <c r="A1431" s="98">
        <v>5.0629779902376502</v>
      </c>
      <c r="B1431">
        <v>3.69</v>
      </c>
      <c r="C1431">
        <v>3.82</v>
      </c>
    </row>
    <row r="1432" spans="1:3" x14ac:dyDescent="0.25">
      <c r="A1432" s="98">
        <v>5.0665207074968901</v>
      </c>
      <c r="B1432">
        <v>3.94</v>
      </c>
      <c r="C1432">
        <v>3.84</v>
      </c>
    </row>
    <row r="1433" spans="1:3" x14ac:dyDescent="0.25">
      <c r="A1433" s="98">
        <v>5.0700627093293003</v>
      </c>
      <c r="B1433">
        <v>3.93</v>
      </c>
      <c r="C1433">
        <v>3.95</v>
      </c>
    </row>
    <row r="1434" spans="1:3" x14ac:dyDescent="0.25">
      <c r="A1434" s="98">
        <v>5.0736056611273002</v>
      </c>
      <c r="B1434">
        <v>3.75</v>
      </c>
      <c r="C1434">
        <v>3.83</v>
      </c>
    </row>
    <row r="1435" spans="1:3" x14ac:dyDescent="0.25">
      <c r="A1435" s="98">
        <v>5.07714982752446</v>
      </c>
      <c r="B1435">
        <v>3.92</v>
      </c>
      <c r="C1435">
        <v>4.07</v>
      </c>
    </row>
    <row r="1436" spans="1:3" x14ac:dyDescent="0.25">
      <c r="A1436" s="98">
        <v>5.0806932716457904</v>
      </c>
      <c r="B1436">
        <v>3.83</v>
      </c>
      <c r="C1436">
        <v>3.66</v>
      </c>
    </row>
    <row r="1437" spans="1:3" x14ac:dyDescent="0.25">
      <c r="A1437" s="98">
        <v>5.0842367699797499</v>
      </c>
      <c r="B1437">
        <v>4.0199999999999996</v>
      </c>
      <c r="C1437">
        <v>4.0199999999999996</v>
      </c>
    </row>
    <row r="1438" spans="1:3" x14ac:dyDescent="0.25">
      <c r="A1438" s="98">
        <v>5.08777940817453</v>
      </c>
      <c r="B1438">
        <v>4</v>
      </c>
      <c r="C1438">
        <v>3.86</v>
      </c>
    </row>
    <row r="1439" spans="1:3" x14ac:dyDescent="0.25">
      <c r="A1439" s="98">
        <v>5.0913234385737596</v>
      </c>
      <c r="B1439">
        <v>3.95</v>
      </c>
      <c r="C1439">
        <v>3.79</v>
      </c>
    </row>
    <row r="1440" spans="1:3" x14ac:dyDescent="0.25">
      <c r="A1440" s="98">
        <v>5.0948668517944897</v>
      </c>
      <c r="B1440">
        <v>4.0599999999999996</v>
      </c>
      <c r="C1440">
        <v>3.89</v>
      </c>
    </row>
    <row r="1441" spans="1:3" x14ac:dyDescent="0.25">
      <c r="A1441" s="98">
        <v>5.0984072790046504</v>
      </c>
      <c r="B1441">
        <v>3.75</v>
      </c>
      <c r="C1441">
        <v>4.0199999999999996</v>
      </c>
    </row>
    <row r="1442" spans="1:3" x14ac:dyDescent="0.25">
      <c r="A1442" s="98">
        <v>5.1019500821939197</v>
      </c>
      <c r="B1442">
        <v>4</v>
      </c>
      <c r="C1442">
        <v>3.69</v>
      </c>
    </row>
    <row r="1443" spans="1:3" x14ac:dyDescent="0.25">
      <c r="A1443" s="98">
        <v>5.1054928485276498</v>
      </c>
      <c r="B1443">
        <v>4</v>
      </c>
      <c r="C1443">
        <v>4.07</v>
      </c>
    </row>
    <row r="1444" spans="1:3" x14ac:dyDescent="0.25">
      <c r="A1444" s="98">
        <v>5.1090358911896097</v>
      </c>
      <c r="B1444">
        <v>3.99</v>
      </c>
      <c r="C1444">
        <v>3.81</v>
      </c>
    </row>
    <row r="1445" spans="1:3" x14ac:dyDescent="0.25">
      <c r="A1445" s="98">
        <v>5.1125786088682901</v>
      </c>
      <c r="B1445">
        <v>4.0199999999999996</v>
      </c>
      <c r="C1445">
        <v>3.87</v>
      </c>
    </row>
    <row r="1446" spans="1:3" x14ac:dyDescent="0.25">
      <c r="A1446" s="98">
        <v>5.1161221933696002</v>
      </c>
      <c r="B1446">
        <v>4.0599999999999996</v>
      </c>
      <c r="C1446">
        <v>3.98</v>
      </c>
    </row>
    <row r="1447" spans="1:3" x14ac:dyDescent="0.25">
      <c r="A1447" s="98">
        <v>5.1196641925694699</v>
      </c>
      <c r="B1447">
        <v>3.93</v>
      </c>
      <c r="C1447">
        <v>3.89</v>
      </c>
    </row>
    <row r="1448" spans="1:3" x14ac:dyDescent="0.25">
      <c r="A1448" s="98">
        <v>5.12320599294923</v>
      </c>
      <c r="B1448">
        <v>3.9</v>
      </c>
      <c r="C1448">
        <v>3.9</v>
      </c>
    </row>
    <row r="1449" spans="1:3" x14ac:dyDescent="0.25">
      <c r="A1449" s="98">
        <v>5.12675107166171</v>
      </c>
      <c r="B1449">
        <v>3.7</v>
      </c>
      <c r="C1449">
        <v>3.83</v>
      </c>
    </row>
    <row r="1450" spans="1:3" x14ac:dyDescent="0.25">
      <c r="A1450" s="98">
        <v>5.1302947942857298</v>
      </c>
      <c r="B1450">
        <v>3.93</v>
      </c>
      <c r="C1450">
        <v>3.62</v>
      </c>
    </row>
    <row r="1451" spans="1:3" x14ac:dyDescent="0.25">
      <c r="A1451" s="98">
        <v>5.1338363047109699</v>
      </c>
      <c r="B1451">
        <v>3.98</v>
      </c>
      <c r="C1451">
        <v>3.65</v>
      </c>
    </row>
    <row r="1452" spans="1:3" x14ac:dyDescent="0.25">
      <c r="A1452" s="98">
        <v>5.1373785726560399</v>
      </c>
      <c r="B1452">
        <v>3.91</v>
      </c>
      <c r="C1452">
        <v>3.9</v>
      </c>
    </row>
    <row r="1453" spans="1:3" x14ac:dyDescent="0.25">
      <c r="A1453" s="98">
        <v>5.1409219828855104</v>
      </c>
      <c r="B1453">
        <v>3.81</v>
      </c>
      <c r="C1453">
        <v>3.92</v>
      </c>
    </row>
    <row r="1454" spans="1:3" x14ac:dyDescent="0.25">
      <c r="A1454" s="98">
        <v>5.1444665331476198</v>
      </c>
      <c r="B1454">
        <v>3.78</v>
      </c>
      <c r="C1454">
        <v>3.87</v>
      </c>
    </row>
    <row r="1455" spans="1:3" x14ac:dyDescent="0.25">
      <c r="A1455" s="98">
        <v>5.1480084647459003</v>
      </c>
      <c r="B1455">
        <v>3.85</v>
      </c>
      <c r="C1455">
        <v>3.82</v>
      </c>
    </row>
    <row r="1456" spans="1:3" x14ac:dyDescent="0.25">
      <c r="A1456" s="98">
        <v>5.1515497423763597</v>
      </c>
      <c r="B1456">
        <v>3.82</v>
      </c>
      <c r="C1456">
        <v>3.8</v>
      </c>
    </row>
    <row r="1457" spans="1:3" x14ac:dyDescent="0.25">
      <c r="A1457" s="98">
        <v>5.1550930179324403</v>
      </c>
      <c r="B1457">
        <v>3.75</v>
      </c>
      <c r="C1457">
        <v>3.85</v>
      </c>
    </row>
    <row r="1458" spans="1:3" x14ac:dyDescent="0.25">
      <c r="A1458" s="98">
        <v>5.1586346475614402</v>
      </c>
      <c r="B1458">
        <v>3.86</v>
      </c>
      <c r="C1458">
        <v>3.77</v>
      </c>
    </row>
    <row r="1459" spans="1:3" x14ac:dyDescent="0.25">
      <c r="A1459" s="98">
        <v>5.1621762779796496</v>
      </c>
      <c r="B1459">
        <v>3.92</v>
      </c>
      <c r="C1459">
        <v>3.78</v>
      </c>
    </row>
    <row r="1460" spans="1:3" x14ac:dyDescent="0.25">
      <c r="A1460" s="98">
        <v>5.1657222027028</v>
      </c>
      <c r="B1460">
        <v>3.85</v>
      </c>
      <c r="C1460">
        <v>3.93</v>
      </c>
    </row>
    <row r="1461" spans="1:3" x14ac:dyDescent="0.25">
      <c r="A1461" s="98">
        <v>5.1692641126723204</v>
      </c>
      <c r="B1461">
        <v>3.87</v>
      </c>
      <c r="C1461">
        <v>3.65</v>
      </c>
    </row>
    <row r="1462" spans="1:3" x14ac:dyDescent="0.25">
      <c r="A1462" s="98">
        <v>5.1728082768122299</v>
      </c>
      <c r="B1462">
        <v>3.92</v>
      </c>
      <c r="C1462">
        <v>3.65</v>
      </c>
    </row>
    <row r="1463" spans="1:3" x14ac:dyDescent="0.25">
      <c r="A1463" s="98">
        <v>5.1763499514592999</v>
      </c>
      <c r="B1463">
        <v>3.78</v>
      </c>
      <c r="C1463">
        <v>3.7</v>
      </c>
    </row>
    <row r="1464" spans="1:3" x14ac:dyDescent="0.25">
      <c r="A1464" s="98">
        <v>5.1798938181996297</v>
      </c>
      <c r="B1464">
        <v>3.64</v>
      </c>
      <c r="C1464">
        <v>3.88</v>
      </c>
    </row>
    <row r="1465" spans="1:3" x14ac:dyDescent="0.25">
      <c r="A1465" s="98">
        <v>5.1834364924717802</v>
      </c>
      <c r="B1465">
        <v>3.73</v>
      </c>
      <c r="C1465">
        <v>3.7</v>
      </c>
    </row>
    <row r="1466" spans="1:3" x14ac:dyDescent="0.25">
      <c r="A1466" s="98">
        <v>5.1869790367671698</v>
      </c>
      <c r="B1466">
        <v>3.68</v>
      </c>
      <c r="C1466">
        <v>3.77</v>
      </c>
    </row>
    <row r="1467" spans="1:3" x14ac:dyDescent="0.25">
      <c r="A1467" s="98">
        <v>5.1905234354679202</v>
      </c>
      <c r="B1467">
        <v>3.78</v>
      </c>
      <c r="C1467">
        <v>3.63</v>
      </c>
    </row>
    <row r="1468" spans="1:3" x14ac:dyDescent="0.25">
      <c r="A1468" s="98">
        <v>5.1940649954864204</v>
      </c>
      <c r="B1468">
        <v>3.73</v>
      </c>
      <c r="C1468">
        <v>3.99</v>
      </c>
    </row>
    <row r="1469" spans="1:3" x14ac:dyDescent="0.25">
      <c r="A1469" s="98">
        <v>5.1976085795793203</v>
      </c>
      <c r="B1469">
        <v>3.89</v>
      </c>
      <c r="C1469">
        <v>3.81</v>
      </c>
    </row>
    <row r="1470" spans="1:3" x14ac:dyDescent="0.25">
      <c r="A1470" s="98">
        <v>5.2011499230618803</v>
      </c>
      <c r="B1470">
        <v>3.65</v>
      </c>
      <c r="C1470">
        <v>3.92</v>
      </c>
    </row>
    <row r="1471" spans="1:3" x14ac:dyDescent="0.25">
      <c r="A1471" s="98">
        <v>5.20469427050815</v>
      </c>
      <c r="B1471">
        <v>3.78</v>
      </c>
      <c r="C1471">
        <v>3.7</v>
      </c>
    </row>
    <row r="1472" spans="1:3" x14ac:dyDescent="0.25">
      <c r="A1472" s="98">
        <v>5.2082373401798501</v>
      </c>
      <c r="B1472">
        <v>3.66</v>
      </c>
      <c r="C1472">
        <v>3.73</v>
      </c>
    </row>
    <row r="1473" spans="1:3" x14ac:dyDescent="0.25">
      <c r="A1473" s="98">
        <v>5.2117793640880601</v>
      </c>
      <c r="B1473">
        <v>3.82</v>
      </c>
      <c r="C1473">
        <v>3.72</v>
      </c>
    </row>
    <row r="1474" spans="1:3" x14ac:dyDescent="0.25">
      <c r="A1474" s="98">
        <v>5.2153230249219398</v>
      </c>
      <c r="B1474">
        <v>3.71</v>
      </c>
      <c r="C1474">
        <v>3.99</v>
      </c>
    </row>
    <row r="1475" spans="1:3" x14ac:dyDescent="0.25">
      <c r="A1475" s="98">
        <v>5.2188560697546702</v>
      </c>
      <c r="B1475">
        <v>3.71</v>
      </c>
      <c r="C1475">
        <v>3.64</v>
      </c>
    </row>
    <row r="1476" spans="1:3" x14ac:dyDescent="0.25">
      <c r="A1476" s="98">
        <v>5.2223884826346598</v>
      </c>
      <c r="B1476">
        <v>3.64</v>
      </c>
      <c r="C1476">
        <v>3.51</v>
      </c>
    </row>
    <row r="1477" spans="1:3" x14ac:dyDescent="0.25">
      <c r="A1477" s="98">
        <v>5.2259206407820704</v>
      </c>
      <c r="B1477">
        <v>3.65</v>
      </c>
      <c r="C1477">
        <v>3.61</v>
      </c>
    </row>
    <row r="1478" spans="1:3" x14ac:dyDescent="0.25">
      <c r="A1478" s="98">
        <v>5.22945283540421</v>
      </c>
      <c r="B1478">
        <v>3.71</v>
      </c>
      <c r="C1478">
        <v>3.83</v>
      </c>
    </row>
    <row r="1479" spans="1:3" x14ac:dyDescent="0.25">
      <c r="A1479" s="98">
        <v>5.2329852073887899</v>
      </c>
      <c r="B1479">
        <v>3.76</v>
      </c>
      <c r="C1479">
        <v>3.61</v>
      </c>
    </row>
    <row r="1480" spans="1:3" x14ac:dyDescent="0.25">
      <c r="A1480" s="98">
        <v>5.2365186378138997</v>
      </c>
      <c r="B1480">
        <v>3.71</v>
      </c>
      <c r="C1480">
        <v>3.77</v>
      </c>
    </row>
    <row r="1481" spans="1:3" x14ac:dyDescent="0.25">
      <c r="A1481" s="98">
        <v>5.2400502793766801</v>
      </c>
      <c r="B1481">
        <v>3.75</v>
      </c>
      <c r="C1481">
        <v>3.61</v>
      </c>
    </row>
    <row r="1482" spans="1:3" x14ac:dyDescent="0.25">
      <c r="A1482" s="98">
        <v>5.2435834985640302</v>
      </c>
      <c r="B1482">
        <v>3.55</v>
      </c>
      <c r="C1482">
        <v>3.91</v>
      </c>
    </row>
    <row r="1483" spans="1:3" x14ac:dyDescent="0.25">
      <c r="A1483" s="98">
        <v>5.2471157842543299</v>
      </c>
      <c r="B1483">
        <v>3.68</v>
      </c>
      <c r="C1483">
        <v>4.0199999999999996</v>
      </c>
    </row>
    <row r="1484" spans="1:3" x14ac:dyDescent="0.25">
      <c r="A1484" s="98">
        <v>5.2506480529242001</v>
      </c>
      <c r="B1484">
        <v>3.61</v>
      </c>
      <c r="C1484">
        <v>3.64</v>
      </c>
    </row>
    <row r="1485" spans="1:3" x14ac:dyDescent="0.25">
      <c r="A1485" s="98">
        <v>5.2541859742667896</v>
      </c>
      <c r="B1485">
        <v>3.81</v>
      </c>
      <c r="C1485">
        <v>3.71</v>
      </c>
    </row>
    <row r="1486" spans="1:3" x14ac:dyDescent="0.25">
      <c r="A1486" s="98">
        <v>5.2577275230431999</v>
      </c>
      <c r="B1486">
        <v>3.72</v>
      </c>
      <c r="C1486">
        <v>3.55</v>
      </c>
    </row>
    <row r="1487" spans="1:3" x14ac:dyDescent="0.25">
      <c r="A1487" s="98">
        <v>5.26127162129238</v>
      </c>
      <c r="B1487">
        <v>3.85</v>
      </c>
      <c r="C1487">
        <v>3.58</v>
      </c>
    </row>
    <row r="1488" spans="1:3" x14ac:dyDescent="0.25">
      <c r="A1488" s="98">
        <v>5.2648144631529297</v>
      </c>
      <c r="B1488">
        <v>3.72</v>
      </c>
      <c r="C1488">
        <v>3.71</v>
      </c>
    </row>
    <row r="1489" spans="1:3" x14ac:dyDescent="0.25">
      <c r="A1489" s="98">
        <v>5.2683582154964901</v>
      </c>
      <c r="B1489">
        <v>3.78</v>
      </c>
      <c r="C1489">
        <v>3.73</v>
      </c>
    </row>
    <row r="1490" spans="1:3" x14ac:dyDescent="0.25">
      <c r="A1490" s="98">
        <v>5.2719018663576298</v>
      </c>
      <c r="B1490">
        <v>3.76</v>
      </c>
      <c r="C1490">
        <v>3.48</v>
      </c>
    </row>
    <row r="1491" spans="1:3" x14ac:dyDescent="0.25">
      <c r="A1491" s="98">
        <v>5.2754471430347998</v>
      </c>
      <c r="B1491">
        <v>3.66</v>
      </c>
      <c r="C1491">
        <v>3.68</v>
      </c>
    </row>
    <row r="1492" spans="1:3" x14ac:dyDescent="0.25">
      <c r="A1492" s="98">
        <v>5.2789889768207496</v>
      </c>
      <c r="B1492">
        <v>3.96</v>
      </c>
      <c r="C1492">
        <v>3.61</v>
      </c>
    </row>
    <row r="1493" spans="1:3" x14ac:dyDescent="0.25">
      <c r="A1493" s="98">
        <v>5.2825332975828996</v>
      </c>
      <c r="B1493">
        <v>3.63</v>
      </c>
      <c r="C1493">
        <v>3.75</v>
      </c>
    </row>
    <row r="1494" spans="1:3" x14ac:dyDescent="0.25">
      <c r="A1494" s="98">
        <v>5.2860776121252098</v>
      </c>
      <c r="B1494">
        <v>3.54</v>
      </c>
      <c r="C1494">
        <v>3.57</v>
      </c>
    </row>
    <row r="1495" spans="1:3" x14ac:dyDescent="0.25">
      <c r="A1495" s="98">
        <v>5.2896205136345404</v>
      </c>
      <c r="B1495">
        <v>3.5</v>
      </c>
      <c r="C1495">
        <v>3.67</v>
      </c>
    </row>
    <row r="1496" spans="1:3" x14ac:dyDescent="0.25">
      <c r="A1496" s="98">
        <v>5.2931633388002703</v>
      </c>
      <c r="B1496">
        <v>3.59</v>
      </c>
      <c r="C1496">
        <v>3.72</v>
      </c>
    </row>
    <row r="1497" spans="1:3" x14ac:dyDescent="0.25">
      <c r="A1497" s="98">
        <v>5.2967069677401399</v>
      </c>
      <c r="B1497">
        <v>3.76</v>
      </c>
      <c r="C1497">
        <v>3.47</v>
      </c>
    </row>
    <row r="1498" spans="1:3" x14ac:dyDescent="0.25">
      <c r="A1498" s="98">
        <v>5.3002504379440198</v>
      </c>
      <c r="B1498">
        <v>3.76</v>
      </c>
      <c r="C1498">
        <v>3.54</v>
      </c>
    </row>
    <row r="1499" spans="1:3" x14ac:dyDescent="0.25">
      <c r="A1499" s="98">
        <v>5.3037911423654398</v>
      </c>
      <c r="B1499">
        <v>3.61</v>
      </c>
      <c r="C1499">
        <v>3.64</v>
      </c>
    </row>
    <row r="1500" spans="1:3" x14ac:dyDescent="0.25">
      <c r="A1500" s="98">
        <v>5.3073346936647496</v>
      </c>
      <c r="B1500">
        <v>3.72</v>
      </c>
      <c r="C1500">
        <v>3.54</v>
      </c>
    </row>
    <row r="1501" spans="1:3" x14ac:dyDescent="0.25">
      <c r="A1501" s="98">
        <v>5.3108779432100199</v>
      </c>
      <c r="B1501">
        <v>3.53</v>
      </c>
      <c r="C1501">
        <v>3.61</v>
      </c>
    </row>
    <row r="1502" spans="1:3" x14ac:dyDescent="0.25">
      <c r="A1502" s="98">
        <v>5.3144220150510399</v>
      </c>
      <c r="B1502">
        <v>3.67</v>
      </c>
      <c r="C1502">
        <v>3.53</v>
      </c>
    </row>
    <row r="1503" spans="1:3" x14ac:dyDescent="0.25">
      <c r="A1503" s="98">
        <v>5.3179660759535103</v>
      </c>
      <c r="B1503">
        <v>3.58</v>
      </c>
      <c r="C1503">
        <v>3.53</v>
      </c>
    </row>
    <row r="1504" spans="1:3" x14ac:dyDescent="0.25">
      <c r="A1504" s="98">
        <v>5.3215096025886304</v>
      </c>
      <c r="B1504">
        <v>3.85</v>
      </c>
      <c r="C1504">
        <v>3.55</v>
      </c>
    </row>
    <row r="1505" spans="1:3" x14ac:dyDescent="0.25">
      <c r="A1505" s="98">
        <v>5.3250522028130503</v>
      </c>
      <c r="B1505">
        <v>3.7</v>
      </c>
      <c r="C1505">
        <v>3.59</v>
      </c>
    </row>
    <row r="1506" spans="1:3" x14ac:dyDescent="0.25">
      <c r="A1506" s="98">
        <v>5.3285964118054601</v>
      </c>
      <c r="B1506">
        <v>3.65</v>
      </c>
      <c r="C1506">
        <v>3.54</v>
      </c>
    </row>
    <row r="1507" spans="1:3" x14ac:dyDescent="0.25">
      <c r="A1507" s="98">
        <v>5.3321397150556198</v>
      </c>
      <c r="B1507">
        <v>3.74</v>
      </c>
      <c r="C1507">
        <v>3.7</v>
      </c>
    </row>
    <row r="1508" spans="1:3" x14ac:dyDescent="0.25">
      <c r="A1508" s="98">
        <v>5.3356814894687199</v>
      </c>
      <c r="B1508">
        <v>3.67</v>
      </c>
      <c r="C1508">
        <v>3.71</v>
      </c>
    </row>
    <row r="1509" spans="1:3" x14ac:dyDescent="0.25">
      <c r="A1509" s="98">
        <v>5.3392259169066296</v>
      </c>
      <c r="B1509">
        <v>3.66</v>
      </c>
      <c r="C1509">
        <v>3.56</v>
      </c>
    </row>
    <row r="1510" spans="1:3" x14ac:dyDescent="0.25">
      <c r="A1510" s="98">
        <v>5.3427700014412398</v>
      </c>
      <c r="B1510">
        <v>3.5</v>
      </c>
      <c r="C1510">
        <v>3.61</v>
      </c>
    </row>
    <row r="1511" spans="1:3" x14ac:dyDescent="0.25">
      <c r="A1511" s="98">
        <v>5.3463131935618504</v>
      </c>
      <c r="B1511">
        <v>3.65</v>
      </c>
      <c r="C1511">
        <v>3.84</v>
      </c>
    </row>
    <row r="1512" spans="1:3" x14ac:dyDescent="0.25">
      <c r="A1512" s="98">
        <v>5.3498556984905798</v>
      </c>
      <c r="B1512">
        <v>3.68</v>
      </c>
      <c r="C1512">
        <v>3.61</v>
      </c>
    </row>
    <row r="1513" spans="1:3" x14ac:dyDescent="0.25">
      <c r="A1513" s="98">
        <v>5.3533996617959598</v>
      </c>
      <c r="B1513">
        <v>3.74</v>
      </c>
      <c r="C1513">
        <v>3.9</v>
      </c>
    </row>
    <row r="1514" spans="1:3" x14ac:dyDescent="0.25">
      <c r="A1514" s="98">
        <v>5.3569422006717398</v>
      </c>
      <c r="B1514">
        <v>3.57</v>
      </c>
      <c r="C1514">
        <v>3.6</v>
      </c>
    </row>
    <row r="1515" spans="1:3" x14ac:dyDescent="0.25">
      <c r="A1515" s="98">
        <v>5.3604852360155801</v>
      </c>
      <c r="B1515">
        <v>3.66</v>
      </c>
      <c r="C1515">
        <v>3.84</v>
      </c>
    </row>
    <row r="1516" spans="1:3" x14ac:dyDescent="0.25">
      <c r="A1516" s="98">
        <v>5.3640274972275401</v>
      </c>
      <c r="B1516">
        <v>3.7</v>
      </c>
      <c r="C1516">
        <v>3.63</v>
      </c>
    </row>
    <row r="1517" spans="1:3" x14ac:dyDescent="0.25">
      <c r="A1517" s="98">
        <v>5.3675714155534902</v>
      </c>
      <c r="B1517">
        <v>3.67</v>
      </c>
      <c r="C1517">
        <v>3.5</v>
      </c>
    </row>
    <row r="1518" spans="1:3" x14ac:dyDescent="0.25">
      <c r="A1518" s="98">
        <v>5.3711153724624001</v>
      </c>
      <c r="B1518">
        <v>3.53</v>
      </c>
      <c r="C1518">
        <v>3.51</v>
      </c>
    </row>
    <row r="1519" spans="1:3" x14ac:dyDescent="0.25">
      <c r="A1519" s="98">
        <v>5.3746573390342496</v>
      </c>
      <c r="B1519">
        <v>3.67</v>
      </c>
      <c r="C1519">
        <v>3.48</v>
      </c>
    </row>
    <row r="1520" spans="1:3" x14ac:dyDescent="0.25">
      <c r="A1520" s="98">
        <v>5.3782021333663499</v>
      </c>
      <c r="B1520">
        <v>3.64</v>
      </c>
      <c r="C1520">
        <v>3.49</v>
      </c>
    </row>
    <row r="1521" spans="1:3" x14ac:dyDescent="0.25">
      <c r="A1521" s="98">
        <v>5.3817443363699597</v>
      </c>
      <c r="B1521">
        <v>3.56</v>
      </c>
      <c r="C1521">
        <v>3.62</v>
      </c>
    </row>
    <row r="1522" spans="1:3" x14ac:dyDescent="0.25">
      <c r="A1522" s="98">
        <v>5.3852868479435001</v>
      </c>
      <c r="B1522">
        <v>3.48</v>
      </c>
      <c r="C1522">
        <v>3.68</v>
      </c>
    </row>
    <row r="1523" spans="1:3" x14ac:dyDescent="0.25">
      <c r="A1523" s="98">
        <v>5.38882967274498</v>
      </c>
      <c r="B1523">
        <v>3.64</v>
      </c>
      <c r="C1523">
        <v>3.82</v>
      </c>
    </row>
    <row r="1524" spans="1:3" x14ac:dyDescent="0.25">
      <c r="A1524" s="98">
        <v>5.3923736687170098</v>
      </c>
      <c r="B1524">
        <v>3.61</v>
      </c>
      <c r="C1524">
        <v>3.38</v>
      </c>
    </row>
    <row r="1525" spans="1:3" x14ac:dyDescent="0.25">
      <c r="A1525" s="98">
        <v>5.3959183408043998</v>
      </c>
      <c r="B1525">
        <v>3.62</v>
      </c>
      <c r="C1525">
        <v>3.7</v>
      </c>
    </row>
    <row r="1526" spans="1:3" x14ac:dyDescent="0.25">
      <c r="A1526" s="98">
        <v>5.3994609194993899</v>
      </c>
      <c r="B1526">
        <v>3.52</v>
      </c>
      <c r="C1526">
        <v>3.53</v>
      </c>
    </row>
    <row r="1527" spans="1:3" x14ac:dyDescent="0.25">
      <c r="A1527" s="98">
        <v>5.40300389228595</v>
      </c>
      <c r="B1527">
        <v>3.58</v>
      </c>
      <c r="C1527">
        <v>3.57</v>
      </c>
    </row>
    <row r="1528" spans="1:3" x14ac:dyDescent="0.25">
      <c r="A1528" s="98">
        <v>5.4065480179863901</v>
      </c>
      <c r="B1528">
        <v>3.59</v>
      </c>
      <c r="C1528">
        <v>3.68</v>
      </c>
    </row>
    <row r="1529" spans="1:3" x14ac:dyDescent="0.25">
      <c r="A1529" s="98">
        <v>5.4100910461059302</v>
      </c>
      <c r="B1529">
        <v>3.33</v>
      </c>
      <c r="C1529">
        <v>3.72</v>
      </c>
    </row>
    <row r="1530" spans="1:3" x14ac:dyDescent="0.25">
      <c r="A1530" s="98">
        <v>5.4136336876617497</v>
      </c>
      <c r="B1530">
        <v>3.67</v>
      </c>
      <c r="C1530">
        <v>3.72</v>
      </c>
    </row>
    <row r="1531" spans="1:3" x14ac:dyDescent="0.25">
      <c r="A1531" s="98">
        <v>5.4171765282474098</v>
      </c>
      <c r="B1531">
        <v>3.7</v>
      </c>
      <c r="C1531">
        <v>3.57</v>
      </c>
    </row>
    <row r="1532" spans="1:3" x14ac:dyDescent="0.25">
      <c r="A1532" s="98">
        <v>5.4207202833283796</v>
      </c>
      <c r="B1532">
        <v>3.56</v>
      </c>
      <c r="C1532">
        <v>3.55</v>
      </c>
    </row>
    <row r="1533" spans="1:3" x14ac:dyDescent="0.25">
      <c r="A1533" s="98">
        <v>5.4242619865691202</v>
      </c>
      <c r="B1533">
        <v>3.46</v>
      </c>
      <c r="C1533">
        <v>3.65</v>
      </c>
    </row>
    <row r="1534" spans="1:3" x14ac:dyDescent="0.25">
      <c r="A1534" s="98">
        <v>5.4278054601285097</v>
      </c>
      <c r="B1534">
        <v>3.63</v>
      </c>
      <c r="C1534">
        <v>3.59</v>
      </c>
    </row>
    <row r="1535" spans="1:3" x14ac:dyDescent="0.25">
      <c r="A1535" s="98">
        <v>5.4313466568787803</v>
      </c>
      <c r="B1535">
        <v>3.57</v>
      </c>
      <c r="C1535">
        <v>3.46</v>
      </c>
    </row>
    <row r="1536" spans="1:3" x14ac:dyDescent="0.25">
      <c r="A1536" s="98">
        <v>5.4348930714417296</v>
      </c>
      <c r="B1536">
        <v>3.62</v>
      </c>
      <c r="C1536">
        <v>3.4</v>
      </c>
    </row>
    <row r="1537" spans="1:3" x14ac:dyDescent="0.25">
      <c r="A1537" s="98">
        <v>5.4384350281843403</v>
      </c>
      <c r="B1537">
        <v>3.48</v>
      </c>
      <c r="C1537">
        <v>3.66</v>
      </c>
    </row>
    <row r="1538" spans="1:3" x14ac:dyDescent="0.25">
      <c r="A1538" s="98">
        <v>5.4419767662386098</v>
      </c>
      <c r="B1538">
        <v>3.52</v>
      </c>
      <c r="C1538">
        <v>3.71</v>
      </c>
    </row>
    <row r="1539" spans="1:3" x14ac:dyDescent="0.25">
      <c r="A1539" s="98">
        <v>5.4455216966845299</v>
      </c>
      <c r="B1539">
        <v>3.48</v>
      </c>
      <c r="C1539">
        <v>3.49</v>
      </c>
    </row>
    <row r="1540" spans="1:3" x14ac:dyDescent="0.25">
      <c r="A1540" s="98">
        <v>5.4490624039206201</v>
      </c>
      <c r="B1540">
        <v>3.52</v>
      </c>
      <c r="C1540">
        <v>3.49</v>
      </c>
    </row>
    <row r="1541" spans="1:3" x14ac:dyDescent="0.25">
      <c r="A1541" s="98">
        <v>5.4526064628693804</v>
      </c>
      <c r="B1541">
        <v>3.64</v>
      </c>
      <c r="C1541">
        <v>3.46</v>
      </c>
    </row>
    <row r="1542" spans="1:3" x14ac:dyDescent="0.25">
      <c r="A1542" s="98">
        <v>5.4561495602682699</v>
      </c>
      <c r="B1542">
        <v>3.48</v>
      </c>
      <c r="C1542">
        <v>3.3</v>
      </c>
    </row>
    <row r="1543" spans="1:3" x14ac:dyDescent="0.25">
      <c r="A1543" s="98">
        <v>5.4596930936475596</v>
      </c>
      <c r="B1543">
        <v>3.37</v>
      </c>
      <c r="C1543">
        <v>3.5</v>
      </c>
    </row>
    <row r="1544" spans="1:3" x14ac:dyDescent="0.25">
      <c r="A1544" s="98">
        <v>5.4632362274770303</v>
      </c>
      <c r="B1544">
        <v>3.4</v>
      </c>
      <c r="C1544">
        <v>3.63</v>
      </c>
    </row>
    <row r="1545" spans="1:3" x14ac:dyDescent="0.25">
      <c r="A1545" s="98">
        <v>5.4667800096836299</v>
      </c>
      <c r="B1545">
        <v>3.39</v>
      </c>
      <c r="C1545">
        <v>3.47</v>
      </c>
    </row>
    <row r="1546" spans="1:3" x14ac:dyDescent="0.25">
      <c r="A1546" s="98">
        <v>5.4703227102921996</v>
      </c>
      <c r="B1546">
        <v>3.53</v>
      </c>
      <c r="C1546">
        <v>3.72</v>
      </c>
    </row>
    <row r="1547" spans="1:3" x14ac:dyDescent="0.25">
      <c r="A1547" s="98">
        <v>5.4738680650183396</v>
      </c>
      <c r="B1547">
        <v>3.55</v>
      </c>
      <c r="C1547">
        <v>3.52</v>
      </c>
    </row>
    <row r="1548" spans="1:3" x14ac:dyDescent="0.25">
      <c r="A1548" s="98">
        <v>5.4774093098331296</v>
      </c>
      <c r="B1548">
        <v>3.58</v>
      </c>
      <c r="C1548">
        <v>3.55</v>
      </c>
    </row>
    <row r="1549" spans="1:3" x14ac:dyDescent="0.25">
      <c r="A1549" s="98">
        <v>5.4809534522007999</v>
      </c>
      <c r="B1549">
        <v>3.49</v>
      </c>
      <c r="C1549">
        <v>3.44</v>
      </c>
    </row>
    <row r="1550" spans="1:3" x14ac:dyDescent="0.25">
      <c r="A1550" s="98">
        <v>5.4844971457454896</v>
      </c>
      <c r="B1550">
        <v>3.49</v>
      </c>
      <c r="C1550">
        <v>3.54</v>
      </c>
    </row>
    <row r="1551" spans="1:3" x14ac:dyDescent="0.25">
      <c r="A1551" s="98">
        <v>5.4880402524217402</v>
      </c>
      <c r="B1551">
        <v>3.44</v>
      </c>
      <c r="C1551">
        <v>3.45</v>
      </c>
    </row>
    <row r="1552" spans="1:3" x14ac:dyDescent="0.25">
      <c r="A1552" s="98">
        <v>5.4915832475048498</v>
      </c>
      <c r="B1552">
        <v>3.62</v>
      </c>
      <c r="C1552">
        <v>3.37</v>
      </c>
    </row>
    <row r="1553" spans="1:3" x14ac:dyDescent="0.25">
      <c r="A1553" s="98">
        <v>5.4951290810052997</v>
      </c>
      <c r="B1553">
        <v>3.62</v>
      </c>
      <c r="C1553">
        <v>3.34</v>
      </c>
    </row>
    <row r="1554" spans="1:3" x14ac:dyDescent="0.25">
      <c r="A1554" s="98">
        <v>5.4986703639615397</v>
      </c>
      <c r="B1554">
        <v>3.58</v>
      </c>
      <c r="C1554">
        <v>3.38</v>
      </c>
    </row>
    <row r="1555" spans="1:3" x14ac:dyDescent="0.25">
      <c r="A1555" s="98">
        <v>5.50221561054388</v>
      </c>
      <c r="B1555">
        <v>3.48</v>
      </c>
      <c r="C1555">
        <v>3.38</v>
      </c>
    </row>
    <row r="1556" spans="1:3" x14ac:dyDescent="0.25">
      <c r="A1556" s="98">
        <v>5.50575800321168</v>
      </c>
      <c r="B1556">
        <v>3.5</v>
      </c>
      <c r="C1556">
        <v>3.55</v>
      </c>
    </row>
    <row r="1557" spans="1:3" x14ac:dyDescent="0.25">
      <c r="A1557" s="98">
        <v>5.5093021080339399</v>
      </c>
      <c r="B1557">
        <v>3.43</v>
      </c>
      <c r="C1557">
        <v>3.28</v>
      </c>
    </row>
    <row r="1558" spans="1:3" x14ac:dyDescent="0.25">
      <c r="A1558" s="98">
        <v>5.5128443959686404</v>
      </c>
      <c r="B1558">
        <v>3.37</v>
      </c>
      <c r="C1558">
        <v>3.45</v>
      </c>
    </row>
    <row r="1559" spans="1:3" x14ac:dyDescent="0.25">
      <c r="A1559" s="98">
        <v>5.5163872880516198</v>
      </c>
      <c r="B1559">
        <v>3.44</v>
      </c>
      <c r="C1559">
        <v>3.49</v>
      </c>
    </row>
    <row r="1560" spans="1:3" x14ac:dyDescent="0.25">
      <c r="A1560" s="98">
        <v>5.5199297967001204</v>
      </c>
      <c r="B1560">
        <v>3.45</v>
      </c>
      <c r="C1560">
        <v>3.44</v>
      </c>
    </row>
    <row r="1561" spans="1:3" x14ac:dyDescent="0.25">
      <c r="A1561" s="98">
        <v>5.5234722738961297</v>
      </c>
      <c r="B1561">
        <v>3.37</v>
      </c>
      <c r="C1561">
        <v>3.5</v>
      </c>
    </row>
    <row r="1562" spans="1:3" x14ac:dyDescent="0.25">
      <c r="A1562" s="98">
        <v>5.5270139055174798</v>
      </c>
      <c r="B1562">
        <v>3.28</v>
      </c>
      <c r="C1562">
        <v>3.41</v>
      </c>
    </row>
    <row r="1563" spans="1:3" x14ac:dyDescent="0.25">
      <c r="A1563" s="98">
        <v>5.5305572739685003</v>
      </c>
      <c r="B1563">
        <v>3.48</v>
      </c>
      <c r="C1563">
        <v>3.28</v>
      </c>
    </row>
    <row r="1564" spans="1:3" x14ac:dyDescent="0.25">
      <c r="A1564" s="98">
        <v>5.53409999073655</v>
      </c>
      <c r="B1564">
        <v>3.51</v>
      </c>
      <c r="C1564">
        <v>3.5</v>
      </c>
    </row>
    <row r="1565" spans="1:3" x14ac:dyDescent="0.25">
      <c r="A1565" s="98">
        <v>5.5376428062551497</v>
      </c>
      <c r="B1565">
        <v>3.31</v>
      </c>
      <c r="C1565">
        <v>3.29</v>
      </c>
    </row>
    <row r="1566" spans="1:3" x14ac:dyDescent="0.25">
      <c r="A1566" s="98">
        <v>5.5411856411286999</v>
      </c>
      <c r="B1566">
        <v>3.41</v>
      </c>
      <c r="C1566">
        <v>3.29</v>
      </c>
    </row>
    <row r="1567" spans="1:3" x14ac:dyDescent="0.25">
      <c r="A1567" s="98">
        <v>5.54472852921044</v>
      </c>
      <c r="B1567">
        <v>3.36</v>
      </c>
      <c r="C1567">
        <v>3.5</v>
      </c>
    </row>
    <row r="1568" spans="1:3" x14ac:dyDescent="0.25">
      <c r="A1568" s="98">
        <v>5.5482736688190002</v>
      </c>
      <c r="B1568">
        <v>3.46</v>
      </c>
      <c r="C1568">
        <v>3.4</v>
      </c>
    </row>
    <row r="1569" spans="1:3" x14ac:dyDescent="0.25">
      <c r="A1569" s="98">
        <v>5.5518166699784697</v>
      </c>
      <c r="B1569">
        <v>3.47</v>
      </c>
      <c r="C1569">
        <v>3.4</v>
      </c>
    </row>
    <row r="1570" spans="1:3" x14ac:dyDescent="0.25">
      <c r="A1570" s="98">
        <v>5.5553594650604099</v>
      </c>
      <c r="B1570">
        <v>3.42</v>
      </c>
      <c r="C1570">
        <v>3.49</v>
      </c>
    </row>
    <row r="1571" spans="1:3" x14ac:dyDescent="0.25">
      <c r="A1571" s="98">
        <v>5.5589032074533096</v>
      </c>
      <c r="B1571">
        <v>3.23</v>
      </c>
      <c r="C1571">
        <v>3.38</v>
      </c>
    </row>
    <row r="1572" spans="1:3" x14ac:dyDescent="0.25">
      <c r="A1572" s="98">
        <v>5.5624480121279198</v>
      </c>
      <c r="B1572">
        <v>3.55</v>
      </c>
      <c r="C1572">
        <v>3.46</v>
      </c>
    </row>
    <row r="1573" spans="1:3" x14ac:dyDescent="0.25">
      <c r="A1573" s="98">
        <v>5.56599442935652</v>
      </c>
      <c r="B1573">
        <v>3.47</v>
      </c>
      <c r="C1573">
        <v>3.33</v>
      </c>
    </row>
    <row r="1574" spans="1:3" x14ac:dyDescent="0.25">
      <c r="A1574" s="98">
        <v>5.5695344793410202</v>
      </c>
      <c r="B1574">
        <v>3.48</v>
      </c>
      <c r="C1574">
        <v>3.43</v>
      </c>
    </row>
    <row r="1575" spans="1:3" x14ac:dyDescent="0.25">
      <c r="A1575" s="98">
        <v>5.5730792928514603</v>
      </c>
      <c r="B1575">
        <v>3.4</v>
      </c>
      <c r="C1575">
        <v>3.5</v>
      </c>
    </row>
    <row r="1576" spans="1:3" x14ac:dyDescent="0.25">
      <c r="A1576" s="98">
        <v>5.5766212380980997</v>
      </c>
      <c r="B1576">
        <v>3.63</v>
      </c>
      <c r="C1576">
        <v>3.45</v>
      </c>
    </row>
    <row r="1577" spans="1:3" x14ac:dyDescent="0.25">
      <c r="A1577" s="98">
        <v>5.5801641636259003</v>
      </c>
      <c r="B1577">
        <v>3.37</v>
      </c>
      <c r="C1577">
        <v>3.36</v>
      </c>
    </row>
    <row r="1578" spans="1:3" x14ac:dyDescent="0.25">
      <c r="A1578" s="98">
        <v>5.5837057000177799</v>
      </c>
      <c r="B1578">
        <v>3.57</v>
      </c>
      <c r="C1578">
        <v>3.49</v>
      </c>
    </row>
    <row r="1579" spans="1:3" x14ac:dyDescent="0.25">
      <c r="A1579" s="98">
        <v>5.5872487122261898</v>
      </c>
      <c r="B1579">
        <v>3.32</v>
      </c>
      <c r="C1579">
        <v>3.33</v>
      </c>
    </row>
    <row r="1580" spans="1:3" x14ac:dyDescent="0.25">
      <c r="A1580" s="98">
        <v>5.5907948091736497</v>
      </c>
      <c r="B1580">
        <v>3.48</v>
      </c>
      <c r="C1580">
        <v>3.4</v>
      </c>
    </row>
    <row r="1581" spans="1:3" x14ac:dyDescent="0.25">
      <c r="A1581" s="98">
        <v>5.5943402903775299</v>
      </c>
      <c r="B1581">
        <v>3.38</v>
      </c>
      <c r="C1581">
        <v>3.44</v>
      </c>
    </row>
    <row r="1582" spans="1:3" x14ac:dyDescent="0.25">
      <c r="A1582" s="98">
        <v>5.5978847917196903</v>
      </c>
      <c r="B1582">
        <v>3.36</v>
      </c>
      <c r="C1582">
        <v>3.51</v>
      </c>
    </row>
    <row r="1583" spans="1:3" x14ac:dyDescent="0.25">
      <c r="A1583" s="98">
        <v>5.6014253405895502</v>
      </c>
      <c r="B1583">
        <v>3.37</v>
      </c>
      <c r="C1583">
        <v>3.41</v>
      </c>
    </row>
    <row r="1584" spans="1:3" x14ac:dyDescent="0.25">
      <c r="A1584" s="98">
        <v>5.60496738681086</v>
      </c>
      <c r="B1584">
        <v>3.32</v>
      </c>
      <c r="C1584">
        <v>3.33</v>
      </c>
    </row>
    <row r="1585" spans="1:3" x14ac:dyDescent="0.25">
      <c r="A1585" s="98">
        <v>5.6085099586292504</v>
      </c>
      <c r="B1585">
        <v>3.42</v>
      </c>
      <c r="C1585">
        <v>3.36</v>
      </c>
    </row>
    <row r="1586" spans="1:3" x14ac:dyDescent="0.25">
      <c r="A1586" s="98">
        <v>5.6120530752120104</v>
      </c>
      <c r="B1586">
        <v>3.37</v>
      </c>
      <c r="C1586">
        <v>3.28</v>
      </c>
    </row>
    <row r="1587" spans="1:3" x14ac:dyDescent="0.25">
      <c r="A1587" s="98">
        <v>5.6155984821639597</v>
      </c>
      <c r="B1587">
        <v>3.35</v>
      </c>
      <c r="C1587">
        <v>3.35</v>
      </c>
    </row>
    <row r="1588" spans="1:3" x14ac:dyDescent="0.25">
      <c r="A1588" s="98">
        <v>5.6191427812476897</v>
      </c>
      <c r="B1588">
        <v>3.37</v>
      </c>
      <c r="C1588">
        <v>3.47</v>
      </c>
    </row>
    <row r="1589" spans="1:3" x14ac:dyDescent="0.25">
      <c r="A1589" s="98">
        <v>5.6226855569967498</v>
      </c>
      <c r="B1589">
        <v>3.47</v>
      </c>
      <c r="C1589">
        <v>3.48</v>
      </c>
    </row>
    <row r="1590" spans="1:3" x14ac:dyDescent="0.25">
      <c r="A1590" s="98">
        <v>5.6262284070805197</v>
      </c>
      <c r="B1590">
        <v>3.37</v>
      </c>
      <c r="C1590">
        <v>3.35</v>
      </c>
    </row>
    <row r="1591" spans="1:3" x14ac:dyDescent="0.25">
      <c r="A1591" s="98">
        <v>5.6297734673652302</v>
      </c>
      <c r="B1591">
        <v>3.5</v>
      </c>
      <c r="C1591">
        <v>3.55</v>
      </c>
    </row>
    <row r="1592" spans="1:3" x14ac:dyDescent="0.25">
      <c r="A1592" s="98">
        <v>5.6333161045334901</v>
      </c>
      <c r="B1592">
        <v>3.23</v>
      </c>
      <c r="C1592">
        <v>3.25</v>
      </c>
    </row>
    <row r="1593" spans="1:3" x14ac:dyDescent="0.25">
      <c r="A1593" s="98">
        <v>5.6368598663420499</v>
      </c>
      <c r="B1593">
        <v>3.29</v>
      </c>
      <c r="C1593">
        <v>3.2</v>
      </c>
    </row>
    <row r="1594" spans="1:3" x14ac:dyDescent="0.25">
      <c r="A1594" s="98">
        <v>5.6404027727742898</v>
      </c>
      <c r="B1594">
        <v>3.27</v>
      </c>
      <c r="C1594">
        <v>3.25</v>
      </c>
    </row>
    <row r="1595" spans="1:3" x14ac:dyDescent="0.25">
      <c r="A1595" s="98">
        <v>5.6439455843689199</v>
      </c>
      <c r="B1595">
        <v>3.32</v>
      </c>
      <c r="C1595">
        <v>3.3</v>
      </c>
    </row>
    <row r="1596" spans="1:3" x14ac:dyDescent="0.25">
      <c r="A1596" s="98">
        <v>5.6474892053946304</v>
      </c>
      <c r="B1596">
        <v>3.41</v>
      </c>
      <c r="C1596">
        <v>3.26</v>
      </c>
    </row>
    <row r="1597" spans="1:3" x14ac:dyDescent="0.25">
      <c r="A1597" s="98">
        <v>5.6510311281184302</v>
      </c>
      <c r="B1597">
        <v>3.3</v>
      </c>
      <c r="C1597">
        <v>3.42</v>
      </c>
    </row>
    <row r="1598" spans="1:3" x14ac:dyDescent="0.25">
      <c r="A1598" s="98">
        <v>5.6545736725904296</v>
      </c>
      <c r="B1598">
        <v>3.28</v>
      </c>
      <c r="C1598">
        <v>3.28</v>
      </c>
    </row>
    <row r="1599" spans="1:3" x14ac:dyDescent="0.25">
      <c r="A1599" s="98">
        <v>5.6581173415261201</v>
      </c>
      <c r="B1599">
        <v>3.45</v>
      </c>
      <c r="C1599">
        <v>3.42</v>
      </c>
    </row>
    <row r="1600" spans="1:3" x14ac:dyDescent="0.25">
      <c r="A1600" s="98">
        <v>5.6616599981817899</v>
      </c>
      <c r="B1600">
        <v>3.39</v>
      </c>
      <c r="C1600">
        <v>3.4</v>
      </c>
    </row>
    <row r="1601" spans="1:3" x14ac:dyDescent="0.25">
      <c r="A1601" s="98">
        <v>5.6652038043019903</v>
      </c>
      <c r="B1601">
        <v>3.32</v>
      </c>
      <c r="C1601">
        <v>3.23</v>
      </c>
    </row>
    <row r="1602" spans="1:3" x14ac:dyDescent="0.25">
      <c r="A1602" s="98">
        <v>5.6687480398129502</v>
      </c>
      <c r="B1602">
        <v>3.26</v>
      </c>
      <c r="C1602">
        <v>3.25</v>
      </c>
    </row>
    <row r="1603" spans="1:3" x14ac:dyDescent="0.25">
      <c r="A1603" s="98">
        <v>5.6722899023747004</v>
      </c>
      <c r="B1603">
        <v>3.24</v>
      </c>
      <c r="C1603">
        <v>3.21</v>
      </c>
    </row>
    <row r="1604" spans="1:3" x14ac:dyDescent="0.25">
      <c r="A1604" s="98">
        <v>5.6758326192310502</v>
      </c>
      <c r="B1604">
        <v>3.46</v>
      </c>
      <c r="C1604">
        <v>3.31</v>
      </c>
    </row>
    <row r="1605" spans="1:3" x14ac:dyDescent="0.25">
      <c r="A1605" s="98">
        <v>5.6793762595454798</v>
      </c>
      <c r="B1605">
        <v>3.48</v>
      </c>
      <c r="C1605">
        <v>3.33</v>
      </c>
    </row>
    <row r="1606" spans="1:3" x14ac:dyDescent="0.25">
      <c r="A1606" s="98">
        <v>5.6829210825595604</v>
      </c>
      <c r="B1606">
        <v>3.58</v>
      </c>
      <c r="C1606">
        <v>3.42</v>
      </c>
    </row>
    <row r="1607" spans="1:3" x14ac:dyDescent="0.25">
      <c r="A1607" s="98">
        <v>5.6864628862451596</v>
      </c>
      <c r="B1607">
        <v>3.41</v>
      </c>
      <c r="C1607">
        <v>3.15</v>
      </c>
    </row>
    <row r="1608" spans="1:3" x14ac:dyDescent="0.25">
      <c r="A1608" s="98">
        <v>5.69000916447904</v>
      </c>
      <c r="B1608">
        <v>3.38</v>
      </c>
      <c r="C1608">
        <v>3.28</v>
      </c>
    </row>
    <row r="1609" spans="1:3" x14ac:dyDescent="0.25">
      <c r="A1609" s="98">
        <v>5.6935496910413104</v>
      </c>
      <c r="B1609">
        <v>3.31</v>
      </c>
      <c r="C1609">
        <v>3.39</v>
      </c>
    </row>
    <row r="1610" spans="1:3" x14ac:dyDescent="0.25">
      <c r="A1610" s="98">
        <v>5.6970937470319098</v>
      </c>
      <c r="B1610">
        <v>3.45</v>
      </c>
      <c r="C1610">
        <v>3.36</v>
      </c>
    </row>
    <row r="1611" spans="1:3" x14ac:dyDescent="0.25">
      <c r="A1611" s="98">
        <v>5.7006378726826696</v>
      </c>
      <c r="B1611">
        <v>3.23</v>
      </c>
      <c r="C1611">
        <v>3.32</v>
      </c>
    </row>
    <row r="1612" spans="1:3" x14ac:dyDescent="0.25">
      <c r="A1612" s="98">
        <v>5.7041794195715996</v>
      </c>
      <c r="B1612">
        <v>3.33</v>
      </c>
      <c r="C1612">
        <v>3.3</v>
      </c>
    </row>
    <row r="1613" spans="1:3" x14ac:dyDescent="0.25">
      <c r="A1613" s="98">
        <v>5.7077217923380701</v>
      </c>
      <c r="B1613">
        <v>3.36</v>
      </c>
      <c r="C1613">
        <v>3.22</v>
      </c>
    </row>
    <row r="1614" spans="1:3" x14ac:dyDescent="0.25">
      <c r="A1614" s="98">
        <v>5.7112639075517597</v>
      </c>
      <c r="B1614">
        <v>3.43</v>
      </c>
      <c r="C1614">
        <v>3.31</v>
      </c>
    </row>
    <row r="1615" spans="1:3" x14ac:dyDescent="0.25">
      <c r="A1615" s="98">
        <v>5.7148079860872603</v>
      </c>
      <c r="B1615">
        <v>3.28</v>
      </c>
      <c r="C1615">
        <v>3.13</v>
      </c>
    </row>
    <row r="1616" spans="1:3" x14ac:dyDescent="0.25">
      <c r="A1616" s="98">
        <v>5.7183506536097397</v>
      </c>
      <c r="B1616">
        <v>3.37</v>
      </c>
      <c r="C1616">
        <v>3.21</v>
      </c>
    </row>
    <row r="1617" spans="1:3" x14ac:dyDescent="0.25">
      <c r="A1617" s="98">
        <v>5.7218933236157401</v>
      </c>
      <c r="B1617">
        <v>3.43</v>
      </c>
      <c r="C1617">
        <v>3.21</v>
      </c>
    </row>
    <row r="1618" spans="1:3" x14ac:dyDescent="0.25">
      <c r="A1618" s="98">
        <v>5.7254369145907704</v>
      </c>
      <c r="B1618">
        <v>3.22</v>
      </c>
      <c r="C1618">
        <v>3.25</v>
      </c>
    </row>
    <row r="1619" spans="1:3" x14ac:dyDescent="0.25">
      <c r="A1619" s="98">
        <v>5.7289807789579497</v>
      </c>
      <c r="B1619">
        <v>3.2</v>
      </c>
      <c r="C1619">
        <v>3.15</v>
      </c>
    </row>
    <row r="1620" spans="1:3" x14ac:dyDescent="0.25">
      <c r="A1620" s="98">
        <v>5.7325219783573198</v>
      </c>
      <c r="B1620">
        <v>3.32</v>
      </c>
      <c r="C1620">
        <v>3.26</v>
      </c>
    </row>
    <row r="1621" spans="1:3" x14ac:dyDescent="0.25">
      <c r="A1621" s="98">
        <v>5.7360658694969198</v>
      </c>
      <c r="B1621">
        <v>3.19</v>
      </c>
      <c r="C1621">
        <v>3.23</v>
      </c>
    </row>
    <row r="1622" spans="1:3" x14ac:dyDescent="0.25">
      <c r="A1622" s="98">
        <v>5.7396094800697401</v>
      </c>
      <c r="B1622">
        <v>3.18</v>
      </c>
      <c r="C1622">
        <v>3.32</v>
      </c>
    </row>
    <row r="1623" spans="1:3" x14ac:dyDescent="0.25">
      <c r="A1623" s="98">
        <v>5.7431537830719197</v>
      </c>
      <c r="B1623">
        <v>3.28</v>
      </c>
      <c r="C1623">
        <v>3.12</v>
      </c>
    </row>
    <row r="1624" spans="1:3" x14ac:dyDescent="0.25">
      <c r="A1624" s="98">
        <v>5.7466976287740197</v>
      </c>
      <c r="B1624">
        <v>3.32</v>
      </c>
      <c r="C1624">
        <v>3.17</v>
      </c>
    </row>
    <row r="1625" spans="1:3" x14ac:dyDescent="0.25">
      <c r="A1625" s="98">
        <v>5.7502404026631897</v>
      </c>
      <c r="B1625">
        <v>3.17</v>
      </c>
      <c r="C1625">
        <v>3.23</v>
      </c>
    </row>
    <row r="1626" spans="1:3" x14ac:dyDescent="0.25">
      <c r="A1626" s="98">
        <v>5.7537843718517703</v>
      </c>
      <c r="B1626">
        <v>3.16</v>
      </c>
      <c r="C1626">
        <v>3.27</v>
      </c>
    </row>
    <row r="1627" spans="1:3" x14ac:dyDescent="0.25">
      <c r="A1627" s="98">
        <v>5.7573284188795899</v>
      </c>
      <c r="B1627">
        <v>3.32</v>
      </c>
      <c r="C1627">
        <v>3.15</v>
      </c>
    </row>
    <row r="1628" spans="1:3" x14ac:dyDescent="0.25">
      <c r="A1628" s="98">
        <v>5.7608709481468896</v>
      </c>
      <c r="B1628">
        <v>3.13</v>
      </c>
      <c r="C1628">
        <v>3.27</v>
      </c>
    </row>
    <row r="1629" spans="1:3" x14ac:dyDescent="0.25">
      <c r="A1629" s="98">
        <v>5.7644136196098898</v>
      </c>
      <c r="B1629">
        <v>3.14</v>
      </c>
      <c r="C1629">
        <v>3.13</v>
      </c>
    </row>
    <row r="1630" spans="1:3" x14ac:dyDescent="0.25">
      <c r="A1630" s="98">
        <v>5.7679552208770204</v>
      </c>
      <c r="B1630">
        <v>3.1</v>
      </c>
      <c r="C1630">
        <v>3.2</v>
      </c>
    </row>
    <row r="1631" spans="1:3" x14ac:dyDescent="0.25">
      <c r="A1631" s="98">
        <v>5.7715007844622397</v>
      </c>
      <c r="B1631">
        <v>3.08</v>
      </c>
      <c r="C1631">
        <v>3.14</v>
      </c>
    </row>
    <row r="1632" spans="1:3" x14ac:dyDescent="0.25">
      <c r="A1632" s="98">
        <v>5.7750434859980002</v>
      </c>
      <c r="B1632">
        <v>3.19</v>
      </c>
      <c r="C1632">
        <v>3.2</v>
      </c>
    </row>
    <row r="1633" spans="1:3" x14ac:dyDescent="0.25">
      <c r="A1633" s="98">
        <v>5.77858779769252</v>
      </c>
      <c r="B1633">
        <v>3.22</v>
      </c>
      <c r="C1633">
        <v>3.14</v>
      </c>
    </row>
    <row r="1634" spans="1:3" x14ac:dyDescent="0.25">
      <c r="A1634" s="98">
        <v>5.7821300144162402</v>
      </c>
      <c r="B1634">
        <v>3.22</v>
      </c>
      <c r="C1634">
        <v>3.14</v>
      </c>
    </row>
    <row r="1635" spans="1:3" x14ac:dyDescent="0.25">
      <c r="A1635" s="98">
        <v>5.7856736735337302</v>
      </c>
      <c r="B1635">
        <v>3.4</v>
      </c>
      <c r="C1635">
        <v>3.24</v>
      </c>
    </row>
    <row r="1636" spans="1:3" x14ac:dyDescent="0.25">
      <c r="A1636" s="98">
        <v>5.7892174464132999</v>
      </c>
      <c r="B1636">
        <v>3.17</v>
      </c>
      <c r="C1636">
        <v>3.22</v>
      </c>
    </row>
    <row r="1637" spans="1:3" x14ac:dyDescent="0.25">
      <c r="A1637" s="98">
        <v>5.7927590455225202</v>
      </c>
      <c r="B1637">
        <v>3.11</v>
      </c>
      <c r="C1637">
        <v>3.21</v>
      </c>
    </row>
    <row r="1638" spans="1:3" x14ac:dyDescent="0.25">
      <c r="A1638" s="98">
        <v>5.7963013364595399</v>
      </c>
      <c r="B1638">
        <v>3.13</v>
      </c>
      <c r="C1638">
        <v>2.99</v>
      </c>
    </row>
    <row r="1639" spans="1:3" x14ac:dyDescent="0.25">
      <c r="A1639" s="98">
        <v>5.7998447879762498</v>
      </c>
      <c r="B1639">
        <v>0</v>
      </c>
      <c r="C1639">
        <v>0</v>
      </c>
    </row>
    <row r="1640" spans="1:3" x14ac:dyDescent="0.25">
      <c r="A1640" s="98">
        <v>5.8033869549411303</v>
      </c>
      <c r="B1640">
        <v>2.4500000000000002</v>
      </c>
      <c r="C1640">
        <v>2.19</v>
      </c>
    </row>
    <row r="1641" spans="1:3" x14ac:dyDescent="0.25">
      <c r="A1641" s="98">
        <v>5.8069295387742699</v>
      </c>
      <c r="B1641">
        <v>2.73</v>
      </c>
      <c r="C1641">
        <v>2.38</v>
      </c>
    </row>
    <row r="1642" spans="1:3" x14ac:dyDescent="0.25">
      <c r="A1642" s="98">
        <v>5.8104720680801902</v>
      </c>
      <c r="B1642">
        <v>2.85</v>
      </c>
      <c r="C1642">
        <v>2.58</v>
      </c>
    </row>
    <row r="1643" spans="1:3" x14ac:dyDescent="0.25">
      <c r="A1643" s="98">
        <v>5.8140154486177096</v>
      </c>
      <c r="B1643">
        <v>2.93</v>
      </c>
      <c r="C1643">
        <v>2.62</v>
      </c>
    </row>
    <row r="1644" spans="1:3" x14ac:dyDescent="0.25">
      <c r="A1644" s="98">
        <v>5.8175578804589998</v>
      </c>
      <c r="B1644">
        <v>2.87</v>
      </c>
      <c r="C1644">
        <v>2.58</v>
      </c>
    </row>
    <row r="1645" spans="1:3" x14ac:dyDescent="0.25">
      <c r="A1645" s="98">
        <v>5.8211030768023599</v>
      </c>
      <c r="B1645">
        <v>2.84</v>
      </c>
      <c r="C1645">
        <v>2.68</v>
      </c>
    </row>
    <row r="1646" spans="1:3" x14ac:dyDescent="0.25">
      <c r="A1646" s="98">
        <v>5.8246492039439799</v>
      </c>
      <c r="B1646">
        <v>3.06</v>
      </c>
      <c r="C1646">
        <v>2.74</v>
      </c>
    </row>
    <row r="1647" spans="1:3" x14ac:dyDescent="0.25">
      <c r="A1647" s="98">
        <v>5.8281920820364199</v>
      </c>
      <c r="B1647">
        <v>2.96</v>
      </c>
      <c r="C1647">
        <v>2.8</v>
      </c>
    </row>
    <row r="1648" spans="1:3" x14ac:dyDescent="0.25">
      <c r="A1648" s="98">
        <v>5.8317361624428496</v>
      </c>
      <c r="B1648">
        <v>3.05</v>
      </c>
      <c r="C1648">
        <v>2.82</v>
      </c>
    </row>
    <row r="1649" spans="1:3" x14ac:dyDescent="0.25">
      <c r="A1649" s="98">
        <v>5.8352788091809602</v>
      </c>
      <c r="B1649">
        <v>3.03</v>
      </c>
      <c r="C1649">
        <v>2.95</v>
      </c>
    </row>
    <row r="1650" spans="1:3" x14ac:dyDescent="0.25">
      <c r="A1650" s="98">
        <v>5.8388224003767499</v>
      </c>
      <c r="B1650">
        <v>3.04</v>
      </c>
      <c r="C1650">
        <v>2.88</v>
      </c>
    </row>
    <row r="1651" spans="1:3" x14ac:dyDescent="0.25">
      <c r="A1651" s="98">
        <v>5.84236615620829</v>
      </c>
      <c r="B1651">
        <v>3.11</v>
      </c>
      <c r="C1651">
        <v>2.95</v>
      </c>
    </row>
    <row r="1652" spans="1:3" x14ac:dyDescent="0.25">
      <c r="A1652" s="98">
        <v>5.8459109534047196</v>
      </c>
      <c r="B1652">
        <v>3.17</v>
      </c>
      <c r="C1652">
        <v>2.98</v>
      </c>
    </row>
    <row r="1653" spans="1:3" x14ac:dyDescent="0.25">
      <c r="A1653" s="98">
        <v>5.8494526906753004</v>
      </c>
      <c r="B1653">
        <v>3.06</v>
      </c>
      <c r="C1653">
        <v>3</v>
      </c>
    </row>
    <row r="1654" spans="1:3" x14ac:dyDescent="0.25">
      <c r="A1654" s="98">
        <v>5.852996437671</v>
      </c>
      <c r="B1654">
        <v>3</v>
      </c>
      <c r="C1654">
        <v>2.94</v>
      </c>
    </row>
    <row r="1655" spans="1:3" x14ac:dyDescent="0.25">
      <c r="A1655" s="98">
        <v>5.8565402342930897</v>
      </c>
      <c r="B1655">
        <v>2.95</v>
      </c>
      <c r="C1655">
        <v>2.92</v>
      </c>
    </row>
    <row r="1656" spans="1:3" x14ac:dyDescent="0.25">
      <c r="A1656" s="98">
        <v>5.8600865362198196</v>
      </c>
      <c r="B1656">
        <v>3</v>
      </c>
      <c r="C1656">
        <v>2.95</v>
      </c>
    </row>
    <row r="1657" spans="1:3" x14ac:dyDescent="0.25">
      <c r="A1657" s="98">
        <v>5.8636279022362396</v>
      </c>
      <c r="B1657">
        <v>3.17</v>
      </c>
      <c r="C1657">
        <v>3</v>
      </c>
    </row>
    <row r="1658" spans="1:3" x14ac:dyDescent="0.25">
      <c r="A1658" s="98">
        <v>5.8671727451626898</v>
      </c>
      <c r="B1658">
        <v>3.15</v>
      </c>
      <c r="C1658">
        <v>2.98</v>
      </c>
    </row>
    <row r="1659" spans="1:3" x14ac:dyDescent="0.25">
      <c r="A1659" s="98">
        <v>5.8707164565887702</v>
      </c>
      <c r="B1659">
        <v>3.05</v>
      </c>
      <c r="C1659">
        <v>2.89</v>
      </c>
    </row>
    <row r="1660" spans="1:3" x14ac:dyDescent="0.25">
      <c r="A1660" s="98">
        <v>5.8742580755551597</v>
      </c>
      <c r="B1660">
        <v>3.02</v>
      </c>
      <c r="C1660">
        <v>2.97</v>
      </c>
    </row>
    <row r="1661" spans="1:3" x14ac:dyDescent="0.25">
      <c r="A1661" s="98">
        <v>5.8778009898574197</v>
      </c>
      <c r="B1661">
        <v>2.98</v>
      </c>
      <c r="C1661">
        <v>3.05</v>
      </c>
    </row>
    <row r="1662" spans="1:3" x14ac:dyDescent="0.25">
      <c r="A1662" s="98">
        <v>5.88134266555309</v>
      </c>
      <c r="B1662">
        <v>2.98</v>
      </c>
      <c r="C1662">
        <v>2.93</v>
      </c>
    </row>
    <row r="1663" spans="1:3" x14ac:dyDescent="0.25">
      <c r="A1663" s="98">
        <v>5.88488626433191</v>
      </c>
      <c r="B1663">
        <v>3.03</v>
      </c>
      <c r="C1663">
        <v>2.92</v>
      </c>
    </row>
    <row r="1664" spans="1:3" x14ac:dyDescent="0.25">
      <c r="A1664" s="98">
        <v>5.8884286936896801</v>
      </c>
      <c r="B1664">
        <v>3.27</v>
      </c>
      <c r="C1664">
        <v>2.88</v>
      </c>
    </row>
    <row r="1665" spans="1:3" x14ac:dyDescent="0.25">
      <c r="A1665" s="98">
        <v>5.8919723044998102</v>
      </c>
      <c r="B1665">
        <v>3.05</v>
      </c>
      <c r="C1665">
        <v>2.9</v>
      </c>
    </row>
    <row r="1666" spans="1:3" x14ac:dyDescent="0.25">
      <c r="A1666" s="98">
        <v>5.8955147401988501</v>
      </c>
      <c r="B1666">
        <v>2.97</v>
      </c>
      <c r="C1666">
        <v>2.87</v>
      </c>
    </row>
    <row r="1667" spans="1:3" x14ac:dyDescent="0.25">
      <c r="A1667" s="98">
        <v>5.8990599042287499</v>
      </c>
      <c r="B1667">
        <v>3.04</v>
      </c>
      <c r="C1667">
        <v>2.99</v>
      </c>
    </row>
    <row r="1668" spans="1:3" x14ac:dyDescent="0.25">
      <c r="A1668" s="98">
        <v>5.9026032986740198</v>
      </c>
      <c r="B1668">
        <v>2.97</v>
      </c>
      <c r="C1668">
        <v>2.87</v>
      </c>
    </row>
    <row r="1669" spans="1:3" x14ac:dyDescent="0.25">
      <c r="A1669" s="98">
        <v>5.9061457546275999</v>
      </c>
      <c r="B1669">
        <v>3.05</v>
      </c>
      <c r="C1669">
        <v>2.84</v>
      </c>
    </row>
    <row r="1670" spans="1:3" x14ac:dyDescent="0.25">
      <c r="A1670" s="98">
        <v>5.9096883447854598</v>
      </c>
      <c r="B1670">
        <v>3.09</v>
      </c>
      <c r="C1670">
        <v>2.81</v>
      </c>
    </row>
    <row r="1671" spans="1:3" x14ac:dyDescent="0.25">
      <c r="A1671" s="98">
        <v>5.9132309298051702</v>
      </c>
      <c r="B1671">
        <v>3.13</v>
      </c>
      <c r="C1671">
        <v>2.78</v>
      </c>
    </row>
    <row r="1672" spans="1:3" x14ac:dyDescent="0.25">
      <c r="A1672" s="98">
        <v>5.9167743258840497</v>
      </c>
      <c r="B1672">
        <v>3.2</v>
      </c>
      <c r="C1672">
        <v>2.91</v>
      </c>
    </row>
    <row r="1673" spans="1:3" x14ac:dyDescent="0.25">
      <c r="A1673" s="98">
        <v>5.9203182403688004</v>
      </c>
      <c r="B1673">
        <v>3.07</v>
      </c>
      <c r="C1673">
        <v>2.95</v>
      </c>
    </row>
    <row r="1674" spans="1:3" x14ac:dyDescent="0.25">
      <c r="A1674" s="98">
        <v>5.9238607010741999</v>
      </c>
      <c r="B1674">
        <v>3.08</v>
      </c>
      <c r="C1674">
        <v>2.88</v>
      </c>
    </row>
    <row r="1675" spans="1:3" x14ac:dyDescent="0.25">
      <c r="A1675" s="98">
        <v>5.9274055642496597</v>
      </c>
      <c r="B1675">
        <v>3.07</v>
      </c>
      <c r="C1675">
        <v>2.94</v>
      </c>
    </row>
    <row r="1676" spans="1:3" x14ac:dyDescent="0.25">
      <c r="A1676" s="98">
        <v>5.9309492093876504</v>
      </c>
      <c r="B1676">
        <v>3.04</v>
      </c>
      <c r="C1676">
        <v>2.92</v>
      </c>
    </row>
    <row r="1677" spans="1:3" x14ac:dyDescent="0.25">
      <c r="A1677" s="98">
        <v>5.9344919230264601</v>
      </c>
      <c r="B1677">
        <v>3.17</v>
      </c>
      <c r="C1677">
        <v>2.91</v>
      </c>
    </row>
    <row r="1678" spans="1:3" x14ac:dyDescent="0.25">
      <c r="A1678" s="98">
        <v>5.9380352284069398</v>
      </c>
      <c r="B1678">
        <v>3.06</v>
      </c>
      <c r="C1678">
        <v>2.84</v>
      </c>
    </row>
    <row r="1679" spans="1:3" x14ac:dyDescent="0.25">
      <c r="A1679" s="98">
        <v>5.94157797182047</v>
      </c>
      <c r="B1679">
        <v>3.03</v>
      </c>
      <c r="C1679">
        <v>2.87</v>
      </c>
    </row>
    <row r="1680" spans="1:3" x14ac:dyDescent="0.25">
      <c r="A1680" s="98">
        <v>5.9451206800065597</v>
      </c>
      <c r="B1680">
        <v>3.03</v>
      </c>
      <c r="C1680">
        <v>2.83</v>
      </c>
    </row>
    <row r="1681" spans="1:3" x14ac:dyDescent="0.25">
      <c r="A1681" s="98">
        <v>5.9486631951839799</v>
      </c>
      <c r="B1681">
        <v>2.93</v>
      </c>
      <c r="C1681">
        <v>2.84</v>
      </c>
    </row>
    <row r="1682" spans="1:3" x14ac:dyDescent="0.25">
      <c r="A1682" s="98">
        <v>5.9522058106903604</v>
      </c>
      <c r="B1682">
        <v>3.06</v>
      </c>
      <c r="C1682">
        <v>2.82</v>
      </c>
    </row>
    <row r="1683" spans="1:3" x14ac:dyDescent="0.25">
      <c r="A1683" s="98">
        <v>5.95575064291556</v>
      </c>
      <c r="B1683">
        <v>2.96</v>
      </c>
      <c r="C1683">
        <v>2.89</v>
      </c>
    </row>
    <row r="1684" spans="1:3" x14ac:dyDescent="0.25">
      <c r="A1684" s="98">
        <v>5.9592918097200203</v>
      </c>
      <c r="B1684">
        <v>2.98</v>
      </c>
      <c r="C1684">
        <v>2.89</v>
      </c>
    </row>
    <row r="1685" spans="1:3" x14ac:dyDescent="0.25">
      <c r="A1685" s="98">
        <v>5.9628343670346098</v>
      </c>
      <c r="B1685">
        <v>3.04</v>
      </c>
      <c r="C1685">
        <v>2.83</v>
      </c>
    </row>
    <row r="1686" spans="1:3" x14ac:dyDescent="0.25">
      <c r="A1686" s="98">
        <v>5.9663769178589101</v>
      </c>
      <c r="B1686">
        <v>2.98</v>
      </c>
      <c r="C1686">
        <v>2.87</v>
      </c>
    </row>
    <row r="1687" spans="1:3" x14ac:dyDescent="0.25">
      <c r="A1687" s="98">
        <v>5.9699196579445202</v>
      </c>
      <c r="B1687">
        <v>3.09</v>
      </c>
      <c r="C1687">
        <v>2.93</v>
      </c>
    </row>
    <row r="1688" spans="1:3" x14ac:dyDescent="0.25">
      <c r="A1688" s="98">
        <v>5.9734645067817604</v>
      </c>
      <c r="B1688">
        <v>2.92</v>
      </c>
      <c r="C1688">
        <v>2.78</v>
      </c>
    </row>
    <row r="1689" spans="1:3" x14ac:dyDescent="0.25">
      <c r="A1689" s="98">
        <v>5.9770072984805802</v>
      </c>
      <c r="B1689">
        <v>2.95</v>
      </c>
      <c r="C1689">
        <v>2.81</v>
      </c>
    </row>
    <row r="1690" spans="1:3" x14ac:dyDescent="0.25">
      <c r="A1690" s="98">
        <v>5.98055127606347</v>
      </c>
      <c r="B1690">
        <v>2.98</v>
      </c>
      <c r="C1690">
        <v>2.86</v>
      </c>
    </row>
    <row r="1691" spans="1:3" x14ac:dyDescent="0.25">
      <c r="A1691" s="98">
        <v>5.9840938409059099</v>
      </c>
      <c r="B1691">
        <v>2.92</v>
      </c>
      <c r="C1691">
        <v>2.8</v>
      </c>
    </row>
    <row r="1692" spans="1:3" x14ac:dyDescent="0.25">
      <c r="A1692" s="98">
        <v>5.9876379689408603</v>
      </c>
      <c r="B1692">
        <v>2.88</v>
      </c>
      <c r="C1692">
        <v>2.82</v>
      </c>
    </row>
    <row r="1693" spans="1:3" x14ac:dyDescent="0.25">
      <c r="A1693" s="98">
        <v>5.9911815373765096</v>
      </c>
      <c r="B1693">
        <v>2.95</v>
      </c>
      <c r="C1693">
        <v>2.83</v>
      </c>
    </row>
    <row r="1694" spans="1:3" x14ac:dyDescent="0.25">
      <c r="A1694" s="98">
        <v>5.9947243945355702</v>
      </c>
      <c r="B1694">
        <v>3.04</v>
      </c>
      <c r="C1694">
        <v>2.77</v>
      </c>
    </row>
    <row r="1695" spans="1:3" x14ac:dyDescent="0.25">
      <c r="A1695" s="98">
        <v>5.9982700836713603</v>
      </c>
      <c r="B1695">
        <v>2.96</v>
      </c>
      <c r="C1695">
        <v>2.87</v>
      </c>
    </row>
    <row r="1696" spans="1:3" x14ac:dyDescent="0.25">
      <c r="A1696" s="98">
        <v>6.0018137259781303</v>
      </c>
      <c r="B1696">
        <v>2.94</v>
      </c>
      <c r="C1696">
        <v>2.82</v>
      </c>
    </row>
    <row r="1697" spans="1:3" x14ac:dyDescent="0.25">
      <c r="A1697" s="98">
        <v>6.00535639222021</v>
      </c>
      <c r="B1697">
        <v>2.91</v>
      </c>
      <c r="C1697">
        <v>2.92</v>
      </c>
    </row>
    <row r="1698" spans="1:3" x14ac:dyDescent="0.25">
      <c r="A1698" s="98">
        <v>6.0089001509436804</v>
      </c>
      <c r="B1698">
        <v>2.95</v>
      </c>
      <c r="C1698">
        <v>2.84</v>
      </c>
    </row>
    <row r="1699" spans="1:3" x14ac:dyDescent="0.25">
      <c r="A1699" s="98">
        <v>6.0124439823517104</v>
      </c>
      <c r="B1699">
        <v>3.04</v>
      </c>
      <c r="C1699">
        <v>2.97</v>
      </c>
    </row>
    <row r="1700" spans="1:3" x14ac:dyDescent="0.25">
      <c r="A1700" s="98">
        <v>6.0159864205508304</v>
      </c>
      <c r="B1700">
        <v>2.95</v>
      </c>
      <c r="C1700">
        <v>2.88</v>
      </c>
    </row>
    <row r="1701" spans="1:3" x14ac:dyDescent="0.25">
      <c r="A1701" s="98">
        <v>6.0195292629908597</v>
      </c>
      <c r="B1701">
        <v>2.87</v>
      </c>
      <c r="C1701">
        <v>2.82</v>
      </c>
    </row>
    <row r="1702" spans="1:3" x14ac:dyDescent="0.25">
      <c r="A1702" s="98">
        <v>6.0230721427776199</v>
      </c>
      <c r="B1702">
        <v>2.94</v>
      </c>
      <c r="C1702">
        <v>2.8</v>
      </c>
    </row>
    <row r="1703" spans="1:3" x14ac:dyDescent="0.25">
      <c r="A1703" s="98">
        <v>6.0266159146527398</v>
      </c>
      <c r="B1703">
        <v>2.91</v>
      </c>
      <c r="C1703">
        <v>2.83</v>
      </c>
    </row>
    <row r="1704" spans="1:3" x14ac:dyDescent="0.25">
      <c r="A1704" s="98">
        <v>6.0301583985818699</v>
      </c>
      <c r="B1704">
        <v>2.86</v>
      </c>
      <c r="C1704">
        <v>2.8</v>
      </c>
    </row>
    <row r="1705" spans="1:3" x14ac:dyDescent="0.25">
      <c r="A1705" s="98">
        <v>6.0337019506814302</v>
      </c>
      <c r="B1705">
        <v>2.94</v>
      </c>
      <c r="C1705">
        <v>2.77</v>
      </c>
    </row>
    <row r="1706" spans="1:3" x14ac:dyDescent="0.25">
      <c r="A1706" s="98">
        <v>6.0372453572187101</v>
      </c>
      <c r="B1706">
        <v>2.86</v>
      </c>
      <c r="C1706">
        <v>2.78</v>
      </c>
    </row>
    <row r="1707" spans="1:3" x14ac:dyDescent="0.25">
      <c r="A1707" s="98">
        <v>6.0407902836468397</v>
      </c>
      <c r="B1707">
        <v>2.9</v>
      </c>
      <c r="C1707">
        <v>2.76</v>
      </c>
    </row>
    <row r="1708" spans="1:3" x14ac:dyDescent="0.25">
      <c r="A1708" s="98">
        <v>6.0443330361997596</v>
      </c>
      <c r="B1708">
        <v>2.97</v>
      </c>
      <c r="C1708">
        <v>2.8</v>
      </c>
    </row>
    <row r="1709" spans="1:3" x14ac:dyDescent="0.25">
      <c r="A1709" s="98">
        <v>6.0478746056170296</v>
      </c>
      <c r="B1709">
        <v>2.96</v>
      </c>
      <c r="C1709">
        <v>2.86</v>
      </c>
    </row>
    <row r="1710" spans="1:3" x14ac:dyDescent="0.25">
      <c r="A1710" s="98">
        <v>6.0514196124783197</v>
      </c>
      <c r="B1710">
        <v>2.81</v>
      </c>
      <c r="C1710">
        <v>2.8</v>
      </c>
    </row>
    <row r="1711" spans="1:3" x14ac:dyDescent="0.25">
      <c r="A1711" s="98">
        <v>6.0549623375137598</v>
      </c>
      <c r="B1711">
        <v>2.82</v>
      </c>
      <c r="C1711">
        <v>2.72</v>
      </c>
    </row>
    <row r="1712" spans="1:3" x14ac:dyDescent="0.25">
      <c r="A1712" s="98">
        <v>6.0585059143878697</v>
      </c>
      <c r="B1712">
        <v>2.82</v>
      </c>
      <c r="C1712">
        <v>2.69</v>
      </c>
    </row>
    <row r="1713" spans="1:3" x14ac:dyDescent="0.25">
      <c r="A1713" s="98">
        <v>6.0620485201257202</v>
      </c>
      <c r="B1713">
        <v>2.79</v>
      </c>
      <c r="C1713">
        <v>2.72</v>
      </c>
    </row>
    <row r="1714" spans="1:3" x14ac:dyDescent="0.25">
      <c r="A1714" s="98">
        <v>6.0655935477768903</v>
      </c>
      <c r="B1714">
        <v>2.85</v>
      </c>
      <c r="C1714">
        <v>2.79</v>
      </c>
    </row>
    <row r="1715" spans="1:3" x14ac:dyDescent="0.25">
      <c r="A1715" s="98">
        <v>6.0691362230424497</v>
      </c>
      <c r="B1715">
        <v>2.95</v>
      </c>
      <c r="C1715">
        <v>2.8</v>
      </c>
    </row>
    <row r="1716" spans="1:3" x14ac:dyDescent="0.25">
      <c r="A1716" s="98">
        <v>6.0726821477766304</v>
      </c>
      <c r="B1716">
        <v>2.83</v>
      </c>
      <c r="C1716">
        <v>2.66</v>
      </c>
    </row>
    <row r="1717" spans="1:3" x14ac:dyDescent="0.25">
      <c r="A1717" s="98">
        <v>6.0762249286748702</v>
      </c>
      <c r="B1717">
        <v>2.86</v>
      </c>
      <c r="C1717">
        <v>2.83</v>
      </c>
    </row>
    <row r="1718" spans="1:3" x14ac:dyDescent="0.25">
      <c r="A1718" s="98">
        <v>6.0797687642496996</v>
      </c>
      <c r="B1718">
        <v>2.85</v>
      </c>
      <c r="C1718">
        <v>2.85</v>
      </c>
    </row>
    <row r="1719" spans="1:3" x14ac:dyDescent="0.25">
      <c r="A1719" s="98">
        <v>6.0833138542925802</v>
      </c>
      <c r="B1719">
        <v>2.87</v>
      </c>
      <c r="C1719">
        <v>2.76</v>
      </c>
    </row>
    <row r="1720" spans="1:3" x14ac:dyDescent="0.25">
      <c r="A1720" s="98">
        <v>6.0868563117638699</v>
      </c>
      <c r="B1720">
        <v>3.05</v>
      </c>
      <c r="C1720">
        <v>2.77</v>
      </c>
    </row>
    <row r="1721" spans="1:3" x14ac:dyDescent="0.25">
      <c r="A1721" s="98">
        <v>6.0903999280543202</v>
      </c>
      <c r="B1721">
        <v>2.92</v>
      </c>
      <c r="C1721">
        <v>2.77</v>
      </c>
    </row>
    <row r="1722" spans="1:3" x14ac:dyDescent="0.25">
      <c r="A1722" s="98">
        <v>6.0939425600789203</v>
      </c>
      <c r="B1722">
        <v>2.86</v>
      </c>
      <c r="C1722">
        <v>2.77</v>
      </c>
    </row>
    <row r="1723" spans="1:3" x14ac:dyDescent="0.25">
      <c r="A1723" s="98">
        <v>6.0974863484888102</v>
      </c>
      <c r="B1723">
        <v>2.82</v>
      </c>
      <c r="C1723">
        <v>2.72</v>
      </c>
    </row>
    <row r="1724" spans="1:3" x14ac:dyDescent="0.25">
      <c r="A1724" s="98">
        <v>6.1010300092564602</v>
      </c>
      <c r="B1724">
        <v>2.92</v>
      </c>
      <c r="C1724">
        <v>2.76</v>
      </c>
    </row>
    <row r="1725" spans="1:3" x14ac:dyDescent="0.25">
      <c r="A1725" s="98">
        <v>6.1045725763395904</v>
      </c>
      <c r="B1725">
        <v>2.77</v>
      </c>
      <c r="C1725">
        <v>2.74</v>
      </c>
    </row>
    <row r="1726" spans="1:3" x14ac:dyDescent="0.25">
      <c r="A1726" s="98">
        <v>6.1081180341817696</v>
      </c>
      <c r="B1726">
        <v>2.71</v>
      </c>
      <c r="C1726">
        <v>2.73</v>
      </c>
    </row>
    <row r="1727" spans="1:3" x14ac:dyDescent="0.25">
      <c r="A1727" s="98">
        <v>6.1116595614232399</v>
      </c>
      <c r="B1727">
        <v>2.8</v>
      </c>
      <c r="C1727">
        <v>2.95</v>
      </c>
    </row>
    <row r="1728" spans="1:3" x14ac:dyDescent="0.25">
      <c r="A1728" s="98">
        <v>6.1151948705150003</v>
      </c>
      <c r="B1728">
        <v>2.83</v>
      </c>
      <c r="C1728">
        <v>3.12</v>
      </c>
    </row>
    <row r="1729" spans="1:3" x14ac:dyDescent="0.25">
      <c r="A1729" s="98">
        <v>6.1187254806635503</v>
      </c>
      <c r="B1729">
        <v>2.78</v>
      </c>
      <c r="C1729">
        <v>3</v>
      </c>
    </row>
    <row r="1730" spans="1:3" x14ac:dyDescent="0.25">
      <c r="A1730" s="98">
        <v>6.1222551866151598</v>
      </c>
      <c r="B1730">
        <v>2.8</v>
      </c>
      <c r="C1730">
        <v>2.98</v>
      </c>
    </row>
    <row r="1731" spans="1:3" x14ac:dyDescent="0.25">
      <c r="A1731" s="98">
        <v>6.1257860822092596</v>
      </c>
      <c r="B1731">
        <v>2.83</v>
      </c>
      <c r="C1731">
        <v>3.05</v>
      </c>
    </row>
    <row r="1732" spans="1:3" x14ac:dyDescent="0.25">
      <c r="A1732" s="98">
        <v>6.1293193922660896</v>
      </c>
      <c r="B1732">
        <v>2.76</v>
      </c>
      <c r="C1732">
        <v>2.97</v>
      </c>
    </row>
    <row r="1733" spans="1:3" x14ac:dyDescent="0.25">
      <c r="A1733" s="98">
        <v>6.1328492776442403</v>
      </c>
      <c r="B1733">
        <v>2.84</v>
      </c>
      <c r="C1733">
        <v>2.99</v>
      </c>
    </row>
    <row r="1734" spans="1:3" x14ac:dyDescent="0.25">
      <c r="A1734" s="98">
        <v>6.1363791634528697</v>
      </c>
      <c r="B1734">
        <v>2.81</v>
      </c>
      <c r="C1734">
        <v>2.9</v>
      </c>
    </row>
    <row r="1735" spans="1:3" x14ac:dyDescent="0.25">
      <c r="A1735" s="98">
        <v>6.1399100871439298</v>
      </c>
      <c r="B1735">
        <v>2.87</v>
      </c>
      <c r="C1735">
        <v>3.06</v>
      </c>
    </row>
    <row r="1736" spans="1:3" x14ac:dyDescent="0.25">
      <c r="A1736" s="98">
        <v>6.1434424490233202</v>
      </c>
      <c r="B1736">
        <v>2.8</v>
      </c>
      <c r="C1736">
        <v>2.98</v>
      </c>
    </row>
    <row r="1737" spans="1:3" x14ac:dyDescent="0.25">
      <c r="A1737" s="98">
        <v>6.1469745758120604</v>
      </c>
      <c r="B1737">
        <v>2.8</v>
      </c>
      <c r="C1737">
        <v>2.98</v>
      </c>
    </row>
    <row r="1738" spans="1:3" x14ac:dyDescent="0.25">
      <c r="A1738" s="98">
        <v>6.1505042455152203</v>
      </c>
      <c r="B1738">
        <v>2.77</v>
      </c>
      <c r="C1738">
        <v>3.01</v>
      </c>
    </row>
    <row r="1739" spans="1:3" x14ac:dyDescent="0.25">
      <c r="A1739" s="98">
        <v>6.1540337905066904</v>
      </c>
      <c r="B1739">
        <v>2.73</v>
      </c>
      <c r="C1739">
        <v>2.89</v>
      </c>
    </row>
    <row r="1740" spans="1:3" x14ac:dyDescent="0.25">
      <c r="A1740" s="98">
        <v>6.1575655639226703</v>
      </c>
      <c r="B1740">
        <v>2.74</v>
      </c>
      <c r="C1740">
        <v>2.82</v>
      </c>
    </row>
    <row r="1741" spans="1:3" x14ac:dyDescent="0.25">
      <c r="A1741" s="98">
        <v>6.1610953284524097</v>
      </c>
      <c r="B1741">
        <v>2.78</v>
      </c>
      <c r="C1741">
        <v>2.9</v>
      </c>
    </row>
    <row r="1742" spans="1:3" x14ac:dyDescent="0.25">
      <c r="A1742" s="98">
        <v>6.1646283036746299</v>
      </c>
      <c r="B1742">
        <v>2.78</v>
      </c>
      <c r="C1742">
        <v>2.92</v>
      </c>
    </row>
    <row r="1743" spans="1:3" x14ac:dyDescent="0.25">
      <c r="A1743" s="98">
        <v>6.1681617315444601</v>
      </c>
      <c r="B1743">
        <v>2.75</v>
      </c>
      <c r="C1743">
        <v>2.85</v>
      </c>
    </row>
    <row r="1744" spans="1:3" x14ac:dyDescent="0.25">
      <c r="A1744" s="98">
        <v>6.1716940649405601</v>
      </c>
      <c r="B1744">
        <v>2.7</v>
      </c>
      <c r="C1744">
        <v>2.83</v>
      </c>
    </row>
    <row r="1745" spans="1:3" x14ac:dyDescent="0.25">
      <c r="A1745" s="98">
        <v>6.1752250987125699</v>
      </c>
      <c r="B1745">
        <v>2.76</v>
      </c>
      <c r="C1745">
        <v>2.92</v>
      </c>
    </row>
    <row r="1746" spans="1:3" x14ac:dyDescent="0.25">
      <c r="A1746" s="98">
        <v>6.1787549399612098</v>
      </c>
      <c r="B1746">
        <v>2.7</v>
      </c>
      <c r="C1746">
        <v>2.78</v>
      </c>
    </row>
    <row r="1747" spans="1:3" x14ac:dyDescent="0.25">
      <c r="A1747" s="98">
        <v>6.1822845990348698</v>
      </c>
      <c r="B1747">
        <v>2.68</v>
      </c>
      <c r="C1747">
        <v>2.79</v>
      </c>
    </row>
    <row r="1748" spans="1:3" x14ac:dyDescent="0.25">
      <c r="A1748" s="98">
        <v>6.1858178638308097</v>
      </c>
      <c r="B1748">
        <v>2.81</v>
      </c>
      <c r="C1748">
        <v>2.82</v>
      </c>
    </row>
    <row r="1749" spans="1:3" x14ac:dyDescent="0.25">
      <c r="A1749" s="98">
        <v>6.1893473721819898</v>
      </c>
      <c r="B1749">
        <v>2.71</v>
      </c>
      <c r="C1749">
        <v>2.8</v>
      </c>
    </row>
    <row r="1750" spans="1:3" x14ac:dyDescent="0.25">
      <c r="A1750" s="98">
        <v>6.1928792400602903</v>
      </c>
      <c r="B1750">
        <v>2.65</v>
      </c>
      <c r="C1750">
        <v>2.71</v>
      </c>
    </row>
    <row r="1751" spans="1:3" x14ac:dyDescent="0.25">
      <c r="A1751" s="98">
        <v>6.19641142166323</v>
      </c>
      <c r="B1751">
        <v>2.71</v>
      </c>
      <c r="C1751">
        <v>2.81</v>
      </c>
    </row>
    <row r="1752" spans="1:3" x14ac:dyDescent="0.25">
      <c r="A1752" s="98">
        <v>6.1999421134977402</v>
      </c>
      <c r="B1752">
        <v>2.82</v>
      </c>
      <c r="C1752">
        <v>2.77</v>
      </c>
    </row>
    <row r="1753" spans="1:3" x14ac:dyDescent="0.25">
      <c r="A1753" s="98">
        <v>6.2034718787725298</v>
      </c>
      <c r="B1753">
        <v>2.74</v>
      </c>
      <c r="C1753">
        <v>2.79</v>
      </c>
    </row>
    <row r="1754" spans="1:3" x14ac:dyDescent="0.25">
      <c r="A1754" s="98">
        <v>6.2070048847684101</v>
      </c>
      <c r="B1754">
        <v>2.72</v>
      </c>
      <c r="C1754">
        <v>2.74</v>
      </c>
    </row>
    <row r="1755" spans="1:3" x14ac:dyDescent="0.25">
      <c r="A1755" s="98">
        <v>6.2105370503608803</v>
      </c>
      <c r="B1755">
        <v>2.63</v>
      </c>
      <c r="C1755">
        <v>2.79</v>
      </c>
    </row>
    <row r="1756" spans="1:3" x14ac:dyDescent="0.25">
      <c r="A1756" s="98">
        <v>6.2140669982852703</v>
      </c>
      <c r="B1756">
        <v>2.74</v>
      </c>
      <c r="C1756">
        <v>2.81</v>
      </c>
    </row>
    <row r="1757" spans="1:3" x14ac:dyDescent="0.25">
      <c r="A1757" s="98">
        <v>6.2175990941071904</v>
      </c>
      <c r="B1757">
        <v>2.82</v>
      </c>
      <c r="C1757">
        <v>2.82</v>
      </c>
    </row>
    <row r="1758" spans="1:3" x14ac:dyDescent="0.25">
      <c r="A1758" s="98">
        <v>6.2211287047355199</v>
      </c>
      <c r="B1758">
        <v>2.65</v>
      </c>
      <c r="C1758">
        <v>2.75</v>
      </c>
    </row>
    <row r="1759" spans="1:3" x14ac:dyDescent="0.25">
      <c r="A1759" s="98">
        <v>6.2246615007354098</v>
      </c>
      <c r="B1759">
        <v>2.78</v>
      </c>
      <c r="C1759">
        <v>2.69</v>
      </c>
    </row>
    <row r="1760" spans="1:3" x14ac:dyDescent="0.25">
      <c r="A1760" s="98">
        <v>6.2281946931172296</v>
      </c>
      <c r="B1760">
        <v>2.74</v>
      </c>
      <c r="C1760">
        <v>2.7</v>
      </c>
    </row>
    <row r="1761" spans="1:3" x14ac:dyDescent="0.25">
      <c r="A1761" s="98">
        <v>6.2317267373480103</v>
      </c>
      <c r="B1761">
        <v>2.76</v>
      </c>
      <c r="C1761">
        <v>2.7</v>
      </c>
    </row>
    <row r="1762" spans="1:3" x14ac:dyDescent="0.25">
      <c r="A1762" s="98">
        <v>6.2352586915647503</v>
      </c>
      <c r="B1762">
        <v>2.68</v>
      </c>
      <c r="C1762">
        <v>2.81</v>
      </c>
    </row>
    <row r="1763" spans="1:3" x14ac:dyDescent="0.25">
      <c r="A1763" s="98">
        <v>6.2387921426914303</v>
      </c>
      <c r="B1763">
        <v>2.75</v>
      </c>
      <c r="C1763">
        <v>2.75</v>
      </c>
    </row>
    <row r="1764" spans="1:3" x14ac:dyDescent="0.25">
      <c r="A1764" s="98">
        <v>6.2423241977172799</v>
      </c>
      <c r="B1764">
        <v>2.74</v>
      </c>
      <c r="C1764">
        <v>2.61</v>
      </c>
    </row>
    <row r="1765" spans="1:3" x14ac:dyDescent="0.25">
      <c r="A1765" s="98">
        <v>6.2458562831083899</v>
      </c>
      <c r="B1765">
        <v>2.88</v>
      </c>
      <c r="C1765">
        <v>2.6</v>
      </c>
    </row>
    <row r="1766" spans="1:3" x14ac:dyDescent="0.25">
      <c r="A1766" s="98">
        <v>6.2493929807289801</v>
      </c>
      <c r="B1766">
        <v>2.87</v>
      </c>
      <c r="C1766">
        <v>2.76</v>
      </c>
    </row>
    <row r="1767" spans="1:3" x14ac:dyDescent="0.25">
      <c r="A1767" s="98">
        <v>6.2529224828382297</v>
      </c>
      <c r="B1767">
        <v>2.69</v>
      </c>
      <c r="C1767">
        <v>2.65</v>
      </c>
    </row>
    <row r="1768" spans="1:3" x14ac:dyDescent="0.25">
      <c r="A1768" s="98">
        <v>6.2564522807851901</v>
      </c>
      <c r="B1768">
        <v>2.67</v>
      </c>
      <c r="C1768">
        <v>2.67</v>
      </c>
    </row>
    <row r="1769" spans="1:3" x14ac:dyDescent="0.25">
      <c r="A1769" s="98">
        <v>6.25998527937465</v>
      </c>
      <c r="B1769">
        <v>2.79</v>
      </c>
      <c r="C1769">
        <v>2.68</v>
      </c>
    </row>
    <row r="1770" spans="1:3" x14ac:dyDescent="0.25">
      <c r="A1770" s="98">
        <v>6.2635174737539501</v>
      </c>
      <c r="B1770">
        <v>2.87</v>
      </c>
      <c r="C1770">
        <v>2.69</v>
      </c>
    </row>
    <row r="1771" spans="1:3" x14ac:dyDescent="0.25">
      <c r="A1771" s="98">
        <v>6.2670482390346303</v>
      </c>
      <c r="B1771">
        <v>2.72</v>
      </c>
      <c r="C1771">
        <v>2.77</v>
      </c>
    </row>
    <row r="1772" spans="1:3" x14ac:dyDescent="0.25">
      <c r="A1772" s="98">
        <v>6.2705812915828396</v>
      </c>
      <c r="B1772">
        <v>2.68</v>
      </c>
      <c r="C1772">
        <v>2.71</v>
      </c>
    </row>
    <row r="1773" spans="1:3" x14ac:dyDescent="0.25">
      <c r="A1773" s="98">
        <v>6.2741134297406198</v>
      </c>
      <c r="B1773">
        <v>2.68</v>
      </c>
      <c r="C1773">
        <v>2.66</v>
      </c>
    </row>
    <row r="1774" spans="1:3" x14ac:dyDescent="0.25">
      <c r="A1774" s="98">
        <v>6.2776454783037803</v>
      </c>
      <c r="B1774">
        <v>2.81</v>
      </c>
      <c r="C1774">
        <v>2.63</v>
      </c>
    </row>
    <row r="1775" spans="1:3" x14ac:dyDescent="0.25">
      <c r="A1775" s="98">
        <v>6.2811823829346203</v>
      </c>
      <c r="B1775">
        <v>2.74</v>
      </c>
      <c r="C1775">
        <v>2.67</v>
      </c>
    </row>
    <row r="1776" spans="1:3" x14ac:dyDescent="0.25">
      <c r="A1776" s="98">
        <v>6.2847137825356496</v>
      </c>
      <c r="B1776">
        <v>2.66</v>
      </c>
      <c r="C1776">
        <v>2.67</v>
      </c>
    </row>
    <row r="1777" spans="1:3" x14ac:dyDescent="0.25">
      <c r="A1777" s="98">
        <v>6.2882448768284496</v>
      </c>
      <c r="B1777">
        <v>2.72</v>
      </c>
      <c r="C1777">
        <v>2.62</v>
      </c>
    </row>
    <row r="1778" spans="1:3" x14ac:dyDescent="0.25">
      <c r="A1778" s="98">
        <v>6.2917769472190601</v>
      </c>
      <c r="B1778">
        <v>2.72</v>
      </c>
      <c r="C1778">
        <v>2.67</v>
      </c>
    </row>
    <row r="1779" spans="1:3" x14ac:dyDescent="0.25">
      <c r="A1779" s="98">
        <v>6.2953068355608801</v>
      </c>
      <c r="B1779">
        <v>2.72</v>
      </c>
      <c r="C1779">
        <v>2.58</v>
      </c>
    </row>
    <row r="1780" spans="1:3" x14ac:dyDescent="0.25">
      <c r="A1780" s="98">
        <v>6.2988374194999501</v>
      </c>
      <c r="B1780">
        <v>2.71</v>
      </c>
      <c r="C1780">
        <v>2.65</v>
      </c>
    </row>
    <row r="1781" spans="1:3" x14ac:dyDescent="0.25">
      <c r="A1781" s="98">
        <v>6.3023707052402997</v>
      </c>
      <c r="B1781">
        <v>2.76</v>
      </c>
      <c r="C1781">
        <v>2.62</v>
      </c>
    </row>
    <row r="1782" spans="1:3" x14ac:dyDescent="0.25">
      <c r="A1782" s="98">
        <v>6.3059037411930303</v>
      </c>
      <c r="B1782">
        <v>2.71</v>
      </c>
      <c r="C1782">
        <v>2.65</v>
      </c>
    </row>
    <row r="1783" spans="1:3" x14ac:dyDescent="0.25">
      <c r="A1783" s="98">
        <v>6.3094333804702298</v>
      </c>
      <c r="B1783">
        <v>2.68</v>
      </c>
      <c r="C1783">
        <v>2.63</v>
      </c>
    </row>
    <row r="1784" spans="1:3" x14ac:dyDescent="0.25">
      <c r="A1784" s="98">
        <v>6.3129641774407101</v>
      </c>
      <c r="B1784">
        <v>2.68</v>
      </c>
      <c r="C1784">
        <v>2.64</v>
      </c>
    </row>
    <row r="1785" spans="1:3" x14ac:dyDescent="0.25">
      <c r="A1785" s="98">
        <v>6.3164937500710803</v>
      </c>
      <c r="B1785">
        <v>2.66</v>
      </c>
      <c r="C1785">
        <v>2.66</v>
      </c>
    </row>
    <row r="1786" spans="1:3" x14ac:dyDescent="0.25">
      <c r="A1786" s="98">
        <v>6.3200257335161698</v>
      </c>
      <c r="B1786">
        <v>2.62</v>
      </c>
      <c r="C1786">
        <v>2.65</v>
      </c>
    </row>
    <row r="1787" spans="1:3" x14ac:dyDescent="0.25">
      <c r="A1787" s="98">
        <v>6.32355805096251</v>
      </c>
      <c r="B1787">
        <v>2.68</v>
      </c>
      <c r="C1787">
        <v>2.57</v>
      </c>
    </row>
    <row r="1788" spans="1:3" x14ac:dyDescent="0.25">
      <c r="A1788" s="98">
        <v>6.3270900494301703</v>
      </c>
      <c r="B1788">
        <v>2.62</v>
      </c>
      <c r="C1788">
        <v>2.65</v>
      </c>
    </row>
    <row r="1789" spans="1:3" x14ac:dyDescent="0.25">
      <c r="A1789" s="98">
        <v>6.3306197617009801</v>
      </c>
      <c r="B1789">
        <v>2.59</v>
      </c>
      <c r="C1789">
        <v>2.57</v>
      </c>
    </row>
    <row r="1790" spans="1:3" x14ac:dyDescent="0.25">
      <c r="A1790" s="98">
        <v>6.3341506410969597</v>
      </c>
      <c r="B1790">
        <v>2.67</v>
      </c>
      <c r="C1790">
        <v>2.66</v>
      </c>
    </row>
    <row r="1791" spans="1:3" x14ac:dyDescent="0.25">
      <c r="A1791" s="98">
        <v>6.33768364986887</v>
      </c>
      <c r="B1791">
        <v>2.59</v>
      </c>
      <c r="C1791">
        <v>2.63</v>
      </c>
    </row>
    <row r="1792" spans="1:3" x14ac:dyDescent="0.25">
      <c r="A1792" s="98">
        <v>6.3412156674486599</v>
      </c>
      <c r="B1792">
        <v>2.7</v>
      </c>
      <c r="C1792">
        <v>2.66</v>
      </c>
    </row>
    <row r="1793" spans="1:3" x14ac:dyDescent="0.25">
      <c r="A1793" s="98">
        <v>6.3447487651915404</v>
      </c>
      <c r="B1793">
        <v>2.76</v>
      </c>
      <c r="C1793">
        <v>2.7</v>
      </c>
    </row>
    <row r="1794" spans="1:3" x14ac:dyDescent="0.25">
      <c r="A1794" s="98">
        <v>6.3482795974612198</v>
      </c>
      <c r="B1794">
        <v>2.71</v>
      </c>
      <c r="C1794">
        <v>2.66</v>
      </c>
    </row>
    <row r="1795" spans="1:3" x14ac:dyDescent="0.25">
      <c r="A1795" s="98">
        <v>6.35180912936727</v>
      </c>
      <c r="B1795">
        <v>2.75</v>
      </c>
      <c r="C1795">
        <v>2.63</v>
      </c>
    </row>
    <row r="1796" spans="1:3" x14ac:dyDescent="0.25">
      <c r="A1796" s="98">
        <v>6.3553388465720104</v>
      </c>
      <c r="B1796">
        <v>2.75</v>
      </c>
      <c r="C1796">
        <v>2.58</v>
      </c>
    </row>
    <row r="1797" spans="1:3" x14ac:dyDescent="0.25">
      <c r="A1797" s="98">
        <v>6.3588684802585096</v>
      </c>
      <c r="B1797">
        <v>2.74</v>
      </c>
      <c r="C1797">
        <v>2.5099999999999998</v>
      </c>
    </row>
    <row r="1798" spans="1:3" x14ac:dyDescent="0.25">
      <c r="A1798" s="98">
        <v>6.36240048716465</v>
      </c>
      <c r="B1798">
        <v>2.63</v>
      </c>
      <c r="C1798">
        <v>2.59</v>
      </c>
    </row>
    <row r="1799" spans="1:3" x14ac:dyDescent="0.25">
      <c r="A1799" s="98">
        <v>6.3659328501809496</v>
      </c>
      <c r="B1799">
        <v>2.64</v>
      </c>
      <c r="C1799">
        <v>2.58</v>
      </c>
    </row>
    <row r="1800" spans="1:3" x14ac:dyDescent="0.25">
      <c r="A1800" s="98">
        <v>6.3694673342671599</v>
      </c>
      <c r="B1800">
        <v>2.5499999999999998</v>
      </c>
      <c r="C1800">
        <v>2.58</v>
      </c>
    </row>
    <row r="1801" spans="1:3" x14ac:dyDescent="0.25">
      <c r="A1801" s="98">
        <v>6.3729994383509503</v>
      </c>
      <c r="B1801">
        <v>2.65</v>
      </c>
      <c r="C1801">
        <v>2.6</v>
      </c>
    </row>
    <row r="1802" spans="1:3" x14ac:dyDescent="0.25">
      <c r="A1802" s="98">
        <v>6.3765290515787001</v>
      </c>
      <c r="B1802">
        <v>2.66</v>
      </c>
      <c r="C1802">
        <v>2.46</v>
      </c>
    </row>
    <row r="1803" spans="1:3" x14ac:dyDescent="0.25">
      <c r="A1803" s="98">
        <v>6.3800611408606702</v>
      </c>
      <c r="B1803">
        <v>2.62</v>
      </c>
      <c r="C1803">
        <v>2.59</v>
      </c>
    </row>
    <row r="1804" spans="1:3" x14ac:dyDescent="0.25">
      <c r="A1804" s="98">
        <v>6.38359094208037</v>
      </c>
      <c r="B1804">
        <v>2.5</v>
      </c>
      <c r="C1804">
        <v>2.4900000000000002</v>
      </c>
    </row>
    <row r="1805" spans="1:3" x14ac:dyDescent="0.25">
      <c r="A1805" s="98">
        <v>6.3871228321945202</v>
      </c>
      <c r="B1805">
        <v>2.62</v>
      </c>
      <c r="C1805">
        <v>2.65</v>
      </c>
    </row>
    <row r="1806" spans="1:3" x14ac:dyDescent="0.25">
      <c r="A1806" s="98">
        <v>6.3906551599612902</v>
      </c>
      <c r="B1806">
        <v>2.63</v>
      </c>
      <c r="C1806">
        <v>2.56</v>
      </c>
    </row>
    <row r="1807" spans="1:3" x14ac:dyDescent="0.25">
      <c r="A1807" s="98">
        <v>6.39418606107985</v>
      </c>
      <c r="B1807">
        <v>2.62</v>
      </c>
      <c r="C1807">
        <v>2.63</v>
      </c>
    </row>
    <row r="1808" spans="1:3" x14ac:dyDescent="0.25">
      <c r="A1808" s="98">
        <v>6.3977158817759197</v>
      </c>
      <c r="B1808">
        <v>2.48</v>
      </c>
      <c r="C1808">
        <v>2.52</v>
      </c>
    </row>
    <row r="1809" spans="1:3" x14ac:dyDescent="0.25">
      <c r="A1809" s="98">
        <v>6.4012459024345398</v>
      </c>
      <c r="B1809">
        <v>2.62</v>
      </c>
      <c r="C1809">
        <v>2.5299999999999998</v>
      </c>
    </row>
    <row r="1810" spans="1:3" x14ac:dyDescent="0.25">
      <c r="A1810" s="98">
        <v>6.4047793047847499</v>
      </c>
      <c r="B1810">
        <v>2.52</v>
      </c>
      <c r="C1810">
        <v>2.5299999999999998</v>
      </c>
    </row>
    <row r="1811" spans="1:3" x14ac:dyDescent="0.25">
      <c r="A1811" s="98">
        <v>6.4083101473472697</v>
      </c>
      <c r="B1811">
        <v>2.56</v>
      </c>
      <c r="C1811">
        <v>2.61</v>
      </c>
    </row>
    <row r="1812" spans="1:3" x14ac:dyDescent="0.25">
      <c r="A1812" s="98">
        <v>6.4118399088471003</v>
      </c>
      <c r="B1812">
        <v>2.4700000000000002</v>
      </c>
      <c r="C1812">
        <v>2.6</v>
      </c>
    </row>
    <row r="1813" spans="1:3" x14ac:dyDescent="0.25">
      <c r="A1813" s="98">
        <v>6.41537200407297</v>
      </c>
      <c r="B1813">
        <v>2.64</v>
      </c>
      <c r="C1813">
        <v>2.56</v>
      </c>
    </row>
    <row r="1814" spans="1:3" x14ac:dyDescent="0.25">
      <c r="A1814" s="98">
        <v>6.4189017587182704</v>
      </c>
      <c r="B1814">
        <v>2.5299999999999998</v>
      </c>
      <c r="C1814">
        <v>2.5099999999999998</v>
      </c>
    </row>
    <row r="1815" spans="1:3" x14ac:dyDescent="0.25">
      <c r="A1815" s="98">
        <v>6.42243231507915</v>
      </c>
      <c r="B1815">
        <v>2.65</v>
      </c>
      <c r="C1815">
        <v>2.58</v>
      </c>
    </row>
    <row r="1816" spans="1:3" x14ac:dyDescent="0.25">
      <c r="A1816" s="98">
        <v>6.4259631284519401</v>
      </c>
      <c r="B1816">
        <v>2.68</v>
      </c>
      <c r="C1816">
        <v>2.52</v>
      </c>
    </row>
    <row r="1817" spans="1:3" x14ac:dyDescent="0.25">
      <c r="A1817" s="98">
        <v>6.4294930225334701</v>
      </c>
      <c r="B1817">
        <v>2.63</v>
      </c>
      <c r="C1817">
        <v>2.5</v>
      </c>
    </row>
    <row r="1818" spans="1:3" x14ac:dyDescent="0.25">
      <c r="A1818" s="98">
        <v>6.4330228603879602</v>
      </c>
      <c r="B1818">
        <v>2.5</v>
      </c>
      <c r="C1818">
        <v>2.57</v>
      </c>
    </row>
    <row r="1819" spans="1:3" x14ac:dyDescent="0.25">
      <c r="A1819" s="98">
        <v>6.4365549587209996</v>
      </c>
      <c r="B1819">
        <v>2.64</v>
      </c>
      <c r="C1819">
        <v>2.5</v>
      </c>
    </row>
    <row r="1820" spans="1:3" x14ac:dyDescent="0.25">
      <c r="A1820" s="98">
        <v>6.4400870991636197</v>
      </c>
      <c r="B1820">
        <v>2.63</v>
      </c>
      <c r="C1820">
        <v>2.54</v>
      </c>
    </row>
    <row r="1821" spans="1:3" x14ac:dyDescent="0.25">
      <c r="A1821" s="98">
        <v>6.4436212111733502</v>
      </c>
      <c r="B1821">
        <v>2.6</v>
      </c>
      <c r="C1821">
        <v>2.5</v>
      </c>
    </row>
    <row r="1822" spans="1:3" x14ac:dyDescent="0.25">
      <c r="A1822" s="98">
        <v>6.44715325718124</v>
      </c>
      <c r="B1822">
        <v>2.62</v>
      </c>
      <c r="C1822">
        <v>2.5</v>
      </c>
    </row>
    <row r="1823" spans="1:3" x14ac:dyDescent="0.25">
      <c r="A1823" s="98">
        <v>6.45068552648027</v>
      </c>
      <c r="B1823">
        <v>2.56</v>
      </c>
      <c r="C1823">
        <v>2.5</v>
      </c>
    </row>
    <row r="1824" spans="1:3" x14ac:dyDescent="0.25">
      <c r="A1824" s="98">
        <v>6.45421507470033</v>
      </c>
      <c r="B1824">
        <v>2.5499999999999998</v>
      </c>
      <c r="C1824">
        <v>2.4900000000000002</v>
      </c>
    </row>
    <row r="1825" spans="1:3" x14ac:dyDescent="0.25">
      <c r="A1825" s="98">
        <v>6.45774592394078</v>
      </c>
      <c r="B1825">
        <v>2.67</v>
      </c>
      <c r="C1825">
        <v>2.58</v>
      </c>
    </row>
    <row r="1826" spans="1:3" x14ac:dyDescent="0.25">
      <c r="A1826" s="98">
        <v>6.4612756554120097</v>
      </c>
      <c r="B1826">
        <v>2.58</v>
      </c>
      <c r="C1826">
        <v>2.44</v>
      </c>
    </row>
    <row r="1827" spans="1:3" x14ac:dyDescent="0.25">
      <c r="A1827" s="98">
        <v>6.4648075786288102</v>
      </c>
      <c r="B1827">
        <v>2.58</v>
      </c>
      <c r="C1827">
        <v>2.4500000000000002</v>
      </c>
    </row>
    <row r="1828" spans="1:3" x14ac:dyDescent="0.25">
      <c r="A1828" s="98">
        <v>6.4683374094411104</v>
      </c>
      <c r="B1828">
        <v>2.66</v>
      </c>
      <c r="C1828">
        <v>2.4900000000000002</v>
      </c>
    </row>
    <row r="1829" spans="1:3" x14ac:dyDescent="0.25">
      <c r="A1829" s="98">
        <v>6.4718671382577302</v>
      </c>
      <c r="B1829">
        <v>2.58</v>
      </c>
      <c r="C1829">
        <v>2.4500000000000002</v>
      </c>
    </row>
    <row r="1830" spans="1:3" x14ac:dyDescent="0.25">
      <c r="A1830" s="98">
        <v>6.47539785389547</v>
      </c>
      <c r="B1830">
        <v>2.59</v>
      </c>
      <c r="C1830">
        <v>2.5099999999999998</v>
      </c>
    </row>
    <row r="1831" spans="1:3" x14ac:dyDescent="0.25">
      <c r="A1831" s="98">
        <v>6.4789274529229699</v>
      </c>
      <c r="B1831">
        <v>2.59</v>
      </c>
      <c r="C1831">
        <v>2.54</v>
      </c>
    </row>
    <row r="1832" spans="1:3" x14ac:dyDescent="0.25">
      <c r="A1832" s="98">
        <v>6.4824570226448497</v>
      </c>
      <c r="B1832">
        <v>2.64</v>
      </c>
      <c r="C1832">
        <v>2.5099999999999998</v>
      </c>
    </row>
    <row r="1833" spans="1:3" x14ac:dyDescent="0.25">
      <c r="A1833" s="98">
        <v>6.4859876759239903</v>
      </c>
      <c r="B1833">
        <v>2.62</v>
      </c>
      <c r="C1833">
        <v>2.44</v>
      </c>
    </row>
    <row r="1834" spans="1:3" x14ac:dyDescent="0.25">
      <c r="A1834" s="98">
        <v>6.4895185423780299</v>
      </c>
      <c r="B1834">
        <v>2.4900000000000002</v>
      </c>
      <c r="C1834">
        <v>2.4700000000000002</v>
      </c>
    </row>
    <row r="1835" spans="1:3" x14ac:dyDescent="0.25">
      <c r="A1835" s="98">
        <v>6.4930506780633204</v>
      </c>
      <c r="B1835">
        <v>2.57</v>
      </c>
      <c r="C1835">
        <v>2.56</v>
      </c>
    </row>
    <row r="1836" spans="1:3" x14ac:dyDescent="0.25">
      <c r="A1836" s="98">
        <v>6.4965803856650899</v>
      </c>
      <c r="B1836">
        <v>2.52</v>
      </c>
      <c r="C1836">
        <v>2.5099999999999998</v>
      </c>
    </row>
    <row r="1837" spans="1:3" x14ac:dyDescent="0.25">
      <c r="A1837" s="98">
        <v>6.5001137694164504</v>
      </c>
      <c r="B1837">
        <v>2.5299999999999998</v>
      </c>
      <c r="C1837">
        <v>2.56</v>
      </c>
    </row>
    <row r="1838" spans="1:3" x14ac:dyDescent="0.25">
      <c r="A1838" s="98">
        <v>6.5036434172093802</v>
      </c>
      <c r="B1838">
        <v>2.61</v>
      </c>
      <c r="C1838">
        <v>2.52</v>
      </c>
    </row>
    <row r="1839" spans="1:3" x14ac:dyDescent="0.25">
      <c r="A1839" s="98">
        <v>6.5071744204947199</v>
      </c>
      <c r="B1839">
        <v>2.63</v>
      </c>
      <c r="C1839">
        <v>2.52</v>
      </c>
    </row>
    <row r="1840" spans="1:3" x14ac:dyDescent="0.25">
      <c r="A1840" s="98">
        <v>6.51070412373653</v>
      </c>
      <c r="B1840">
        <v>2.48</v>
      </c>
      <c r="C1840">
        <v>2.4</v>
      </c>
    </row>
    <row r="1841" spans="1:3" x14ac:dyDescent="0.25">
      <c r="A1841" s="98">
        <v>6.5142359555153897</v>
      </c>
      <c r="B1841">
        <v>2.54</v>
      </c>
      <c r="C1841">
        <v>2.52</v>
      </c>
    </row>
    <row r="1842" spans="1:3" x14ac:dyDescent="0.25">
      <c r="A1842" s="98">
        <v>6.5177656769697299</v>
      </c>
      <c r="B1842">
        <v>2.4500000000000002</v>
      </c>
      <c r="C1842">
        <v>2.4700000000000002</v>
      </c>
    </row>
    <row r="1843" spans="1:3" x14ac:dyDescent="0.25">
      <c r="A1843" s="98">
        <v>6.52129555350652</v>
      </c>
      <c r="B1843">
        <v>2.5299999999999998</v>
      </c>
      <c r="C1843">
        <v>2.5499999999999998</v>
      </c>
    </row>
    <row r="1844" spans="1:3" x14ac:dyDescent="0.25">
      <c r="A1844" s="98">
        <v>6.5248264446081903</v>
      </c>
      <c r="B1844">
        <v>2.5</v>
      </c>
      <c r="C1844">
        <v>2.4</v>
      </c>
    </row>
    <row r="1845" spans="1:3" x14ac:dyDescent="0.25">
      <c r="A1845" s="98">
        <v>6.5283568954798898</v>
      </c>
      <c r="B1845">
        <v>2.5299999999999998</v>
      </c>
      <c r="C1845">
        <v>2.42</v>
      </c>
    </row>
    <row r="1846" spans="1:3" x14ac:dyDescent="0.25">
      <c r="A1846" s="98">
        <v>6.5318889397769002</v>
      </c>
      <c r="B1846">
        <v>2.52</v>
      </c>
      <c r="C1846">
        <v>2.46</v>
      </c>
    </row>
    <row r="1847" spans="1:3" x14ac:dyDescent="0.25">
      <c r="A1847" s="98">
        <v>6.5354193425344098</v>
      </c>
      <c r="B1847">
        <v>2.5099999999999998</v>
      </c>
      <c r="C1847">
        <v>2.4700000000000002</v>
      </c>
    </row>
    <row r="1848" spans="1:3" x14ac:dyDescent="0.25">
      <c r="A1848" s="98">
        <v>6.5389492397286197</v>
      </c>
      <c r="B1848">
        <v>2.52</v>
      </c>
      <c r="C1848">
        <v>2.4700000000000002</v>
      </c>
    </row>
    <row r="1849" spans="1:3" x14ac:dyDescent="0.25">
      <c r="A1849" s="98">
        <v>6.5424801117016198</v>
      </c>
      <c r="B1849">
        <v>2.52</v>
      </c>
      <c r="C1849">
        <v>2.36</v>
      </c>
    </row>
    <row r="1850" spans="1:3" x14ac:dyDescent="0.25">
      <c r="A1850" s="98">
        <v>6.5460096904028298</v>
      </c>
      <c r="B1850">
        <v>2.48</v>
      </c>
      <c r="C1850">
        <v>2.38</v>
      </c>
    </row>
    <row r="1851" spans="1:3" x14ac:dyDescent="0.25">
      <c r="A1851" s="98">
        <v>6.5495420672496101</v>
      </c>
      <c r="B1851">
        <v>2.48</v>
      </c>
      <c r="C1851">
        <v>2.42</v>
      </c>
    </row>
    <row r="1852" spans="1:3" x14ac:dyDescent="0.25">
      <c r="A1852" s="98">
        <v>6.5530743012218498</v>
      </c>
      <c r="B1852">
        <v>2.46</v>
      </c>
      <c r="C1852">
        <v>2.44</v>
      </c>
    </row>
    <row r="1853" spans="1:3" x14ac:dyDescent="0.25">
      <c r="A1853" s="98">
        <v>6.5566040839420401</v>
      </c>
      <c r="B1853">
        <v>2.52</v>
      </c>
      <c r="C1853">
        <v>2.4700000000000002</v>
      </c>
    </row>
    <row r="1854" spans="1:3" x14ac:dyDescent="0.25">
      <c r="A1854" s="98">
        <v>6.5601358762383404</v>
      </c>
      <c r="B1854">
        <v>2.4500000000000002</v>
      </c>
      <c r="C1854">
        <v>2.4700000000000002</v>
      </c>
    </row>
    <row r="1855" spans="1:3" x14ac:dyDescent="0.25">
      <c r="A1855" s="98">
        <v>6.5636690949676204</v>
      </c>
      <c r="B1855">
        <v>2.5299999999999998</v>
      </c>
      <c r="C1855">
        <v>2.48</v>
      </c>
    </row>
    <row r="1856" spans="1:3" x14ac:dyDescent="0.25">
      <c r="A1856" s="98">
        <v>6.5671986696289597</v>
      </c>
      <c r="B1856">
        <v>2.4500000000000002</v>
      </c>
      <c r="C1856">
        <v>2.48</v>
      </c>
    </row>
    <row r="1857" spans="1:3" x14ac:dyDescent="0.25">
      <c r="A1857" s="98">
        <v>6.5707297679229999</v>
      </c>
      <c r="B1857">
        <v>2.52</v>
      </c>
      <c r="C1857">
        <v>2.38</v>
      </c>
    </row>
    <row r="1858" spans="1:3" x14ac:dyDescent="0.25">
      <c r="A1858" s="98">
        <v>6.57426080153496</v>
      </c>
      <c r="B1858">
        <v>2.58</v>
      </c>
      <c r="C1858">
        <v>2.39</v>
      </c>
    </row>
    <row r="1859" spans="1:3" x14ac:dyDescent="0.25">
      <c r="A1859" s="98">
        <v>6.5777917767730001</v>
      </c>
      <c r="B1859">
        <v>2.48</v>
      </c>
      <c r="C1859">
        <v>2.37</v>
      </c>
    </row>
    <row r="1860" spans="1:3" x14ac:dyDescent="0.25">
      <c r="A1860" s="98">
        <v>6.5813248832744504</v>
      </c>
      <c r="B1860">
        <v>2.5</v>
      </c>
      <c r="C1860">
        <v>2.31</v>
      </c>
    </row>
    <row r="1861" spans="1:3" x14ac:dyDescent="0.25">
      <c r="A1861" s="98">
        <v>6.5848569478701604</v>
      </c>
      <c r="B1861">
        <v>2.5299999999999998</v>
      </c>
      <c r="C1861">
        <v>2.41</v>
      </c>
    </row>
    <row r="1862" spans="1:3" x14ac:dyDescent="0.25">
      <c r="A1862" s="98">
        <v>6.5883866839221197</v>
      </c>
      <c r="B1862">
        <v>2.5499999999999998</v>
      </c>
      <c r="C1862">
        <v>2.39</v>
      </c>
    </row>
    <row r="1863" spans="1:3" x14ac:dyDescent="0.25">
      <c r="A1863" s="98">
        <v>6.5919175095525002</v>
      </c>
      <c r="B1863">
        <v>2.5299999999999998</v>
      </c>
      <c r="C1863">
        <v>2.4300000000000002</v>
      </c>
    </row>
    <row r="1864" spans="1:3" x14ac:dyDescent="0.25">
      <c r="A1864" s="98">
        <v>6.5954470866366597</v>
      </c>
      <c r="B1864">
        <v>2.5099999999999998</v>
      </c>
      <c r="C1864">
        <v>2.37</v>
      </c>
    </row>
    <row r="1865" spans="1:3" x14ac:dyDescent="0.25">
      <c r="A1865" s="98">
        <v>6.5989781119812401</v>
      </c>
      <c r="B1865">
        <v>2.58</v>
      </c>
      <c r="C1865">
        <v>2.37</v>
      </c>
    </row>
    <row r="1866" spans="1:3" x14ac:dyDescent="0.25">
      <c r="A1866" s="98">
        <v>6.6025077658008602</v>
      </c>
      <c r="B1866">
        <v>2.4900000000000002</v>
      </c>
      <c r="C1866">
        <v>2.35</v>
      </c>
    </row>
    <row r="1867" spans="1:3" x14ac:dyDescent="0.25">
      <c r="A1867" s="98">
        <v>6.60603871578419</v>
      </c>
      <c r="B1867">
        <v>2.5099999999999998</v>
      </c>
      <c r="C1867">
        <v>2.4</v>
      </c>
    </row>
    <row r="1868" spans="1:3" x14ac:dyDescent="0.25">
      <c r="A1868" s="98">
        <v>6.60957064459721</v>
      </c>
      <c r="B1868">
        <v>2.5</v>
      </c>
      <c r="C1868">
        <v>2.41</v>
      </c>
    </row>
    <row r="1869" spans="1:3" x14ac:dyDescent="0.25">
      <c r="A1869" s="98">
        <v>6.6131016264690201</v>
      </c>
      <c r="B1869">
        <v>2.5099999999999998</v>
      </c>
      <c r="C1869">
        <v>2.37</v>
      </c>
    </row>
    <row r="1870" spans="1:3" x14ac:dyDescent="0.25">
      <c r="A1870" s="98">
        <v>6.6166315873519101</v>
      </c>
      <c r="B1870">
        <v>2.4500000000000002</v>
      </c>
      <c r="C1870">
        <v>2.42</v>
      </c>
    </row>
    <row r="1871" spans="1:3" x14ac:dyDescent="0.25">
      <c r="A1871" s="98">
        <v>6.6201627325735704</v>
      </c>
      <c r="B1871">
        <v>2.5299999999999998</v>
      </c>
      <c r="C1871">
        <v>2.38</v>
      </c>
    </row>
    <row r="1872" spans="1:3" x14ac:dyDescent="0.25">
      <c r="A1872" s="98">
        <v>6.6236949383660599</v>
      </c>
      <c r="B1872">
        <v>2.4700000000000002</v>
      </c>
      <c r="C1872">
        <v>2.42</v>
      </c>
    </row>
    <row r="1873" spans="1:3" x14ac:dyDescent="0.25">
      <c r="A1873" s="98">
        <v>6.6272291432265797</v>
      </c>
      <c r="B1873">
        <v>2.48</v>
      </c>
      <c r="C1873">
        <v>2.42</v>
      </c>
    </row>
    <row r="1874" spans="1:3" x14ac:dyDescent="0.25">
      <c r="A1874" s="98">
        <v>6.6307600484953904</v>
      </c>
      <c r="B1874">
        <v>2.5</v>
      </c>
      <c r="C1874">
        <v>2.34</v>
      </c>
    </row>
    <row r="1875" spans="1:3" x14ac:dyDescent="0.25">
      <c r="A1875" s="98">
        <v>6.6342907737857697</v>
      </c>
      <c r="B1875">
        <v>2.42</v>
      </c>
      <c r="C1875">
        <v>2.4</v>
      </c>
    </row>
    <row r="1876" spans="1:3" x14ac:dyDescent="0.25">
      <c r="A1876" s="98">
        <v>6.6378216075234899</v>
      </c>
      <c r="B1876">
        <v>2.42</v>
      </c>
      <c r="C1876">
        <v>2.29</v>
      </c>
    </row>
    <row r="1877" spans="1:3" x14ac:dyDescent="0.25">
      <c r="A1877" s="98">
        <v>6.64135604169081</v>
      </c>
      <c r="B1877">
        <v>2.52</v>
      </c>
      <c r="C1877">
        <v>2.4</v>
      </c>
    </row>
    <row r="1878" spans="1:3" x14ac:dyDescent="0.25">
      <c r="A1878" s="98">
        <v>6.6448905257218396</v>
      </c>
      <c r="B1878">
        <v>2.48</v>
      </c>
      <c r="C1878">
        <v>2.36</v>
      </c>
    </row>
    <row r="1879" spans="1:3" x14ac:dyDescent="0.25">
      <c r="A1879" s="98">
        <v>6.6484203688137997</v>
      </c>
      <c r="B1879">
        <v>2.4500000000000002</v>
      </c>
      <c r="C1879">
        <v>2.41</v>
      </c>
    </row>
    <row r="1880" spans="1:3" x14ac:dyDescent="0.25">
      <c r="A1880" s="98">
        <v>6.6519514147109398</v>
      </c>
      <c r="B1880">
        <v>2.39</v>
      </c>
      <c r="C1880">
        <v>2.35</v>
      </c>
    </row>
    <row r="1881" spans="1:3" x14ac:dyDescent="0.25">
      <c r="A1881" s="98">
        <v>6.6554833542362397</v>
      </c>
      <c r="B1881">
        <v>2.4700000000000002</v>
      </c>
      <c r="C1881">
        <v>2.44</v>
      </c>
    </row>
    <row r="1882" spans="1:3" x14ac:dyDescent="0.25">
      <c r="A1882" s="98">
        <v>6.6590176800334797</v>
      </c>
      <c r="B1882">
        <v>2.4300000000000002</v>
      </c>
      <c r="C1882">
        <v>2.34</v>
      </c>
    </row>
    <row r="1883" spans="1:3" x14ac:dyDescent="0.25">
      <c r="A1883" s="98">
        <v>6.6625484011625797</v>
      </c>
      <c r="B1883">
        <v>2.5</v>
      </c>
      <c r="C1883">
        <v>2.33</v>
      </c>
    </row>
    <row r="1884" spans="1:3" x14ac:dyDescent="0.25">
      <c r="A1884" s="98">
        <v>6.6660792693219797</v>
      </c>
      <c r="B1884">
        <v>2.48</v>
      </c>
      <c r="C1884">
        <v>2.33</v>
      </c>
    </row>
    <row r="1885" spans="1:3" x14ac:dyDescent="0.25">
      <c r="A1885" s="98">
        <v>6.6696148524405698</v>
      </c>
      <c r="B1885">
        <v>2.42</v>
      </c>
      <c r="C1885">
        <v>2.36</v>
      </c>
    </row>
    <row r="1886" spans="1:3" x14ac:dyDescent="0.25">
      <c r="A1886" s="98">
        <v>6.6731468007078796</v>
      </c>
      <c r="B1886">
        <v>2.46</v>
      </c>
      <c r="C1886">
        <v>2.4</v>
      </c>
    </row>
    <row r="1887" spans="1:3" x14ac:dyDescent="0.25">
      <c r="A1887" s="98">
        <v>6.6766766685247401</v>
      </c>
      <c r="B1887">
        <v>2.4500000000000002</v>
      </c>
      <c r="C1887">
        <v>2.33</v>
      </c>
    </row>
    <row r="1888" spans="1:3" x14ac:dyDescent="0.25">
      <c r="A1888" s="98">
        <v>6.6802074740054396</v>
      </c>
      <c r="B1888">
        <v>2.46</v>
      </c>
      <c r="C1888">
        <v>2.38</v>
      </c>
    </row>
    <row r="1889" spans="1:3" x14ac:dyDescent="0.25">
      <c r="A1889" s="98">
        <v>6.6837405534254097</v>
      </c>
      <c r="B1889">
        <v>2.39</v>
      </c>
      <c r="C1889">
        <v>2.34</v>
      </c>
    </row>
    <row r="1890" spans="1:3" x14ac:dyDescent="0.25">
      <c r="A1890" s="98">
        <v>6.6872725614519002</v>
      </c>
      <c r="B1890">
        <v>2.46</v>
      </c>
      <c r="C1890">
        <v>2.37</v>
      </c>
    </row>
    <row r="1891" spans="1:3" x14ac:dyDescent="0.25">
      <c r="A1891" s="98">
        <v>6.6908034891828301</v>
      </c>
      <c r="B1891">
        <v>2.4300000000000002</v>
      </c>
      <c r="C1891">
        <v>2.38</v>
      </c>
    </row>
    <row r="1892" spans="1:3" x14ac:dyDescent="0.25">
      <c r="A1892" s="98">
        <v>6.69433410922134</v>
      </c>
      <c r="B1892">
        <v>2.4</v>
      </c>
      <c r="C1892">
        <v>2.38</v>
      </c>
    </row>
    <row r="1893" spans="1:3" x14ac:dyDescent="0.25">
      <c r="A1893" s="98">
        <v>6.6978648529339697</v>
      </c>
      <c r="B1893">
        <v>2.33</v>
      </c>
      <c r="C1893">
        <v>2.31</v>
      </c>
    </row>
    <row r="1894" spans="1:3" x14ac:dyDescent="0.25">
      <c r="A1894" s="98">
        <v>6.7013945449778296</v>
      </c>
      <c r="B1894">
        <v>2.42</v>
      </c>
      <c r="C1894">
        <v>2.39</v>
      </c>
    </row>
    <row r="1895" spans="1:3" x14ac:dyDescent="0.25">
      <c r="A1895" s="98">
        <v>6.7049238179403297</v>
      </c>
      <c r="B1895">
        <v>2.48</v>
      </c>
      <c r="C1895">
        <v>2.33</v>
      </c>
    </row>
    <row r="1896" spans="1:3" x14ac:dyDescent="0.25">
      <c r="A1896" s="98">
        <v>6.7084558942913999</v>
      </c>
      <c r="B1896">
        <v>2.38</v>
      </c>
      <c r="C1896">
        <v>2.33</v>
      </c>
    </row>
    <row r="1897" spans="1:3" x14ac:dyDescent="0.25">
      <c r="A1897" s="98">
        <v>6.7119868662842999</v>
      </c>
      <c r="B1897">
        <v>2.35</v>
      </c>
      <c r="C1897">
        <v>2.37</v>
      </c>
    </row>
    <row r="1898" spans="1:3" x14ac:dyDescent="0.25">
      <c r="A1898" s="98">
        <v>6.7155177017770402</v>
      </c>
      <c r="B1898">
        <v>2.48</v>
      </c>
      <c r="C1898">
        <v>2.36</v>
      </c>
    </row>
    <row r="1899" spans="1:3" x14ac:dyDescent="0.25">
      <c r="A1899" s="98">
        <v>6.7190485476619601</v>
      </c>
      <c r="B1899">
        <v>2.44</v>
      </c>
      <c r="C1899">
        <v>2.36</v>
      </c>
    </row>
    <row r="1900" spans="1:3" x14ac:dyDescent="0.25">
      <c r="A1900" s="98">
        <v>6.7225804105511404</v>
      </c>
      <c r="B1900">
        <v>2.4300000000000002</v>
      </c>
      <c r="C1900">
        <v>2.3199999999999998</v>
      </c>
    </row>
    <row r="1901" spans="1:3" x14ac:dyDescent="0.25">
      <c r="A1901" s="98">
        <v>6.7261113095780196</v>
      </c>
      <c r="B1901">
        <v>2.4300000000000002</v>
      </c>
      <c r="C1901">
        <v>2.38</v>
      </c>
    </row>
    <row r="1902" spans="1:3" x14ac:dyDescent="0.25">
      <c r="A1902" s="98">
        <v>6.7296433933465503</v>
      </c>
      <c r="B1902">
        <v>2.39</v>
      </c>
      <c r="C1902">
        <v>2.33</v>
      </c>
    </row>
    <row r="1903" spans="1:3" x14ac:dyDescent="0.25">
      <c r="A1903" s="98">
        <v>6.7331756271808203</v>
      </c>
      <c r="B1903">
        <v>2.38</v>
      </c>
      <c r="C1903">
        <v>2.3199999999999998</v>
      </c>
    </row>
    <row r="1904" spans="1:3" x14ac:dyDescent="0.25">
      <c r="A1904" s="98">
        <v>6.73670811581942</v>
      </c>
      <c r="B1904">
        <v>2.42</v>
      </c>
      <c r="C1904">
        <v>2.38</v>
      </c>
    </row>
    <row r="1905" spans="1:3" x14ac:dyDescent="0.25">
      <c r="A1905" s="98">
        <v>6.74024027575497</v>
      </c>
      <c r="B1905">
        <v>2.4300000000000002</v>
      </c>
      <c r="C1905">
        <v>2.35</v>
      </c>
    </row>
    <row r="1906" spans="1:3" x14ac:dyDescent="0.25">
      <c r="A1906" s="98">
        <v>6.7437716239138803</v>
      </c>
      <c r="B1906">
        <v>2.37</v>
      </c>
      <c r="C1906">
        <v>2.2599999999999998</v>
      </c>
    </row>
    <row r="1907" spans="1:3" x14ac:dyDescent="0.25">
      <c r="A1907" s="98">
        <v>6.7473039171706697</v>
      </c>
      <c r="B1907">
        <v>2.42</v>
      </c>
      <c r="C1907">
        <v>2.2999999999999998</v>
      </c>
    </row>
    <row r="1908" spans="1:3" x14ac:dyDescent="0.25">
      <c r="A1908" s="98">
        <v>6.7508370337662802</v>
      </c>
      <c r="B1908">
        <v>2.35</v>
      </c>
      <c r="C1908">
        <v>2.2400000000000002</v>
      </c>
    </row>
    <row r="1909" spans="1:3" x14ac:dyDescent="0.25">
      <c r="A1909" s="98">
        <v>6.7543703121167598</v>
      </c>
      <c r="B1909">
        <v>2.4300000000000002</v>
      </c>
      <c r="C1909">
        <v>2.2999999999999998</v>
      </c>
    </row>
    <row r="1910" spans="1:3" x14ac:dyDescent="0.25">
      <c r="A1910" s="98">
        <v>6.7579061215177703</v>
      </c>
      <c r="B1910">
        <v>2.4</v>
      </c>
      <c r="C1910">
        <v>2.35</v>
      </c>
    </row>
    <row r="1911" spans="1:3" x14ac:dyDescent="0.25">
      <c r="A1911" s="98">
        <v>6.7614368568857497</v>
      </c>
      <c r="B1911">
        <v>2.36</v>
      </c>
      <c r="C1911">
        <v>2.29</v>
      </c>
    </row>
    <row r="1912" spans="1:3" x14ac:dyDescent="0.25">
      <c r="A1912" s="98">
        <v>6.7649686932177397</v>
      </c>
      <c r="B1912">
        <v>2.3199999999999998</v>
      </c>
      <c r="C1912">
        <v>2.27</v>
      </c>
    </row>
    <row r="1913" spans="1:3" x14ac:dyDescent="0.25">
      <c r="A1913" s="98">
        <v>6.7684987001562504</v>
      </c>
      <c r="B1913">
        <v>2.36</v>
      </c>
      <c r="C1913">
        <v>2.29</v>
      </c>
    </row>
    <row r="1914" spans="1:3" x14ac:dyDescent="0.25">
      <c r="A1914" s="98">
        <v>6.7720317339676397</v>
      </c>
      <c r="B1914">
        <v>2.3199999999999998</v>
      </c>
      <c r="C1914">
        <v>2.29</v>
      </c>
    </row>
    <row r="1915" spans="1:3" x14ac:dyDescent="0.25">
      <c r="A1915" s="98">
        <v>6.7755624557865897</v>
      </c>
      <c r="B1915">
        <v>2.38</v>
      </c>
      <c r="C1915">
        <v>2.3199999999999998</v>
      </c>
    </row>
    <row r="1916" spans="1:3" x14ac:dyDescent="0.25">
      <c r="A1916" s="98">
        <v>6.7790946145631601</v>
      </c>
      <c r="B1916">
        <v>2.35</v>
      </c>
      <c r="C1916">
        <v>2.29</v>
      </c>
    </row>
    <row r="1917" spans="1:3" x14ac:dyDescent="0.25">
      <c r="A1917" s="98">
        <v>6.7826243012315697</v>
      </c>
      <c r="B1917">
        <v>2.38</v>
      </c>
      <c r="C1917">
        <v>2.33</v>
      </c>
    </row>
    <row r="1918" spans="1:3" x14ac:dyDescent="0.25">
      <c r="A1918" s="98">
        <v>6.7861553331436903</v>
      </c>
      <c r="B1918">
        <v>2.39</v>
      </c>
      <c r="C1918">
        <v>2.25</v>
      </c>
    </row>
    <row r="1919" spans="1:3" x14ac:dyDescent="0.25">
      <c r="A1919" s="98">
        <v>6.7896851693480098</v>
      </c>
      <c r="B1919">
        <v>2.33</v>
      </c>
      <c r="C1919">
        <v>2.35</v>
      </c>
    </row>
    <row r="1920" spans="1:3" x14ac:dyDescent="0.25">
      <c r="A1920" s="98">
        <v>6.79321628776413</v>
      </c>
      <c r="B1920">
        <v>2.36</v>
      </c>
      <c r="C1920">
        <v>2.2799999999999998</v>
      </c>
    </row>
    <row r="1921" spans="1:3" x14ac:dyDescent="0.25">
      <c r="A1921" s="98">
        <v>6.7967481745613902</v>
      </c>
      <c r="B1921">
        <v>1.55</v>
      </c>
      <c r="C1921">
        <v>1.41</v>
      </c>
    </row>
    <row r="1922" spans="1:3" x14ac:dyDescent="0.25">
      <c r="A1922" s="98">
        <v>6.8002800794442404</v>
      </c>
      <c r="B1922">
        <v>2.3199999999999998</v>
      </c>
      <c r="C1922">
        <v>2.2000000000000002</v>
      </c>
    </row>
    <row r="1923" spans="1:3" x14ac:dyDescent="0.25">
      <c r="A1923" s="98">
        <v>6.8038112213324604</v>
      </c>
      <c r="B1923">
        <v>2.3199999999999998</v>
      </c>
      <c r="C1923">
        <v>2.21</v>
      </c>
    </row>
    <row r="1924" spans="1:3" x14ac:dyDescent="0.25">
      <c r="A1924" s="98">
        <v>6.8073419300825497</v>
      </c>
      <c r="B1924">
        <v>2.31</v>
      </c>
      <c r="C1924">
        <v>2.25</v>
      </c>
    </row>
    <row r="1925" spans="1:3" x14ac:dyDescent="0.25">
      <c r="A1925" s="98">
        <v>6.8108727914426002</v>
      </c>
      <c r="B1925">
        <v>2.34</v>
      </c>
      <c r="C1925">
        <v>2.31</v>
      </c>
    </row>
    <row r="1926" spans="1:3" x14ac:dyDescent="0.25">
      <c r="A1926" s="98">
        <v>6.8144048507732302</v>
      </c>
      <c r="B1926">
        <v>2.39</v>
      </c>
      <c r="C1926">
        <v>2.31</v>
      </c>
    </row>
    <row r="1927" spans="1:3" x14ac:dyDescent="0.25">
      <c r="A1927" s="98">
        <v>6.8179412635608898</v>
      </c>
      <c r="B1927">
        <v>2.27</v>
      </c>
      <c r="C1927">
        <v>2.29</v>
      </c>
    </row>
    <row r="1928" spans="1:3" x14ac:dyDescent="0.25">
      <c r="A1928" s="98">
        <v>6.8214745545552802</v>
      </c>
      <c r="B1928">
        <v>2.3199999999999998</v>
      </c>
      <c r="C1928">
        <v>2.29</v>
      </c>
    </row>
    <row r="1929" spans="1:3" x14ac:dyDescent="0.25">
      <c r="A1929" s="98">
        <v>6.8250052536085803</v>
      </c>
      <c r="B1929">
        <v>2.33</v>
      </c>
      <c r="C1929">
        <v>2.33</v>
      </c>
    </row>
    <row r="1930" spans="1:3" x14ac:dyDescent="0.25">
      <c r="A1930" s="98">
        <v>6.8285384081469598</v>
      </c>
      <c r="B1930">
        <v>2.35</v>
      </c>
      <c r="C1930">
        <v>2.33</v>
      </c>
    </row>
    <row r="1931" spans="1:3" x14ac:dyDescent="0.25">
      <c r="A1931" s="98">
        <v>6.8320703076267604</v>
      </c>
      <c r="B1931">
        <v>2.3199999999999998</v>
      </c>
      <c r="C1931">
        <v>2.2599999999999998</v>
      </c>
    </row>
    <row r="1932" spans="1:3" x14ac:dyDescent="0.25">
      <c r="A1932" s="98">
        <v>6.8356000003218602</v>
      </c>
      <c r="B1932">
        <v>2.2799999999999998</v>
      </c>
      <c r="C1932">
        <v>2.37</v>
      </c>
    </row>
    <row r="1933" spans="1:3" x14ac:dyDescent="0.25">
      <c r="A1933" s="98">
        <v>6.8391305397726798</v>
      </c>
      <c r="B1933">
        <v>2.2999999999999998</v>
      </c>
      <c r="C1933">
        <v>2.35</v>
      </c>
    </row>
    <row r="1934" spans="1:3" x14ac:dyDescent="0.25">
      <c r="A1934" s="98">
        <v>6.8426624850873496</v>
      </c>
      <c r="B1934">
        <v>2.33</v>
      </c>
      <c r="C1934">
        <v>2.34</v>
      </c>
    </row>
    <row r="1935" spans="1:3" x14ac:dyDescent="0.25">
      <c r="A1935" s="98">
        <v>6.8461942703745899</v>
      </c>
      <c r="B1935">
        <v>2.39</v>
      </c>
      <c r="C1935">
        <v>2.35</v>
      </c>
    </row>
    <row r="1936" spans="1:3" x14ac:dyDescent="0.25">
      <c r="A1936" s="98">
        <v>6.8497254469769899</v>
      </c>
      <c r="B1936">
        <v>2.2999999999999998</v>
      </c>
      <c r="C1936">
        <v>2.2999999999999998</v>
      </c>
    </row>
    <row r="1937" spans="1:3" x14ac:dyDescent="0.25">
      <c r="A1937" s="98">
        <v>6.8532573342488803</v>
      </c>
      <c r="B1937">
        <v>2.37</v>
      </c>
      <c r="C1937">
        <v>2.31</v>
      </c>
    </row>
    <row r="1938" spans="1:3" x14ac:dyDescent="0.25">
      <c r="A1938" s="98">
        <v>6.8567885933485204</v>
      </c>
      <c r="B1938">
        <v>2.2599999999999998</v>
      </c>
      <c r="C1938">
        <v>2.2999999999999998</v>
      </c>
    </row>
    <row r="1939" spans="1:3" x14ac:dyDescent="0.25">
      <c r="A1939" s="98">
        <v>6.8603206733972897</v>
      </c>
      <c r="B1939">
        <v>2.2999999999999998</v>
      </c>
      <c r="C1939">
        <v>2.2999999999999998</v>
      </c>
    </row>
    <row r="1940" spans="1:3" x14ac:dyDescent="0.25">
      <c r="A1940" s="98">
        <v>6.8638542076338203</v>
      </c>
      <c r="B1940">
        <v>2.29</v>
      </c>
      <c r="C1940">
        <v>2.37</v>
      </c>
    </row>
    <row r="1941" spans="1:3" x14ac:dyDescent="0.25">
      <c r="A1941" s="98">
        <v>6.8673862786756601</v>
      </c>
      <c r="B1941">
        <v>2.2999999999999998</v>
      </c>
      <c r="C1941">
        <v>2.2400000000000002</v>
      </c>
    </row>
    <row r="1942" spans="1:3" x14ac:dyDescent="0.25">
      <c r="A1942" s="98">
        <v>6.8709229781175098</v>
      </c>
      <c r="B1942">
        <v>2.27</v>
      </c>
      <c r="C1942">
        <v>2.3199999999999998</v>
      </c>
    </row>
    <row r="1943" spans="1:3" x14ac:dyDescent="0.25">
      <c r="A1943" s="98">
        <v>6.8744638033100802</v>
      </c>
      <c r="B1943">
        <v>2.31</v>
      </c>
      <c r="C1943">
        <v>2.33</v>
      </c>
    </row>
    <row r="1944" spans="1:3" x14ac:dyDescent="0.25">
      <c r="A1944" s="98">
        <v>6.87800651510004</v>
      </c>
      <c r="B1944">
        <v>2.33</v>
      </c>
      <c r="C1944">
        <v>2.29</v>
      </c>
    </row>
    <row r="1945" spans="1:3" x14ac:dyDescent="0.25">
      <c r="A1945" s="98">
        <v>6.8815502143292502</v>
      </c>
      <c r="B1945">
        <v>2.35</v>
      </c>
      <c r="C1945">
        <v>2.2799999999999998</v>
      </c>
    </row>
    <row r="1946" spans="1:3" x14ac:dyDescent="0.25">
      <c r="A1946" s="98">
        <v>6.8850929453968996</v>
      </c>
      <c r="B1946">
        <v>2.34</v>
      </c>
      <c r="C1946">
        <v>2.38</v>
      </c>
    </row>
    <row r="1947" spans="1:3" x14ac:dyDescent="0.25">
      <c r="A1947" s="98">
        <v>6.8886369776063496</v>
      </c>
      <c r="B1947">
        <v>2.2999999999999998</v>
      </c>
      <c r="C1947">
        <v>2.23</v>
      </c>
    </row>
    <row r="1948" spans="1:3" x14ac:dyDescent="0.25">
      <c r="A1948" s="98">
        <v>6.8921798594406303</v>
      </c>
      <c r="B1948">
        <v>2.29</v>
      </c>
      <c r="C1948">
        <v>2.33</v>
      </c>
    </row>
    <row r="1949" spans="1:3" x14ac:dyDescent="0.25">
      <c r="A1949" s="98">
        <v>6.8957225038939001</v>
      </c>
      <c r="B1949">
        <v>2.2999999999999998</v>
      </c>
      <c r="C1949">
        <v>2.27</v>
      </c>
    </row>
    <row r="1950" spans="1:3" x14ac:dyDescent="0.25">
      <c r="A1950" s="98">
        <v>6.89926528563654</v>
      </c>
      <c r="B1950">
        <v>2.34</v>
      </c>
      <c r="C1950">
        <v>2.27</v>
      </c>
    </row>
    <row r="1951" spans="1:3" x14ac:dyDescent="0.25">
      <c r="A1951" s="98">
        <v>6.9028104386064699</v>
      </c>
      <c r="B1951">
        <v>2.35</v>
      </c>
      <c r="C1951">
        <v>2.2400000000000002</v>
      </c>
    </row>
    <row r="1952" spans="1:3" x14ac:dyDescent="0.25">
      <c r="A1952" s="98">
        <v>6.9063520279802599</v>
      </c>
      <c r="B1952">
        <v>2.31</v>
      </c>
      <c r="C1952">
        <v>2.2000000000000002</v>
      </c>
    </row>
    <row r="1953" spans="1:3" x14ac:dyDescent="0.25">
      <c r="A1953" s="98">
        <v>6.9098961902382197</v>
      </c>
      <c r="B1953">
        <v>2.34</v>
      </c>
      <c r="C1953">
        <v>2.21</v>
      </c>
    </row>
    <row r="1954" spans="1:3" x14ac:dyDescent="0.25">
      <c r="A1954" s="98">
        <v>6.9134399550049297</v>
      </c>
      <c r="B1954">
        <v>2.35</v>
      </c>
      <c r="C1954">
        <v>2.2599999999999998</v>
      </c>
    </row>
    <row r="1955" spans="1:3" x14ac:dyDescent="0.25">
      <c r="A1955" s="98">
        <v>6.9169829410645596</v>
      </c>
      <c r="B1955">
        <v>2.34</v>
      </c>
      <c r="C1955">
        <v>2.27</v>
      </c>
    </row>
    <row r="1956" spans="1:3" x14ac:dyDescent="0.25">
      <c r="A1956" s="98">
        <v>6.9205271415688303</v>
      </c>
      <c r="B1956">
        <v>2.35</v>
      </c>
      <c r="C1956">
        <v>2.2400000000000002</v>
      </c>
    </row>
    <row r="1957" spans="1:3" x14ac:dyDescent="0.25">
      <c r="A1957" s="98">
        <v>6.92407018090287</v>
      </c>
      <c r="B1957">
        <v>2.33</v>
      </c>
      <c r="C1957">
        <v>2.2799999999999998</v>
      </c>
    </row>
    <row r="1958" spans="1:3" x14ac:dyDescent="0.25">
      <c r="A1958" s="98">
        <v>6.9276133820524901</v>
      </c>
      <c r="B1958">
        <v>2.36</v>
      </c>
      <c r="C1958">
        <v>2.23</v>
      </c>
    </row>
    <row r="1959" spans="1:3" x14ac:dyDescent="0.25">
      <c r="A1959" s="98">
        <v>6.9311558831345099</v>
      </c>
      <c r="B1959">
        <v>2.33</v>
      </c>
      <c r="C1959">
        <v>2.27</v>
      </c>
    </row>
    <row r="1960" spans="1:3" x14ac:dyDescent="0.25">
      <c r="A1960" s="98">
        <v>6.9346988028122301</v>
      </c>
      <c r="B1960">
        <v>2.3199999999999998</v>
      </c>
      <c r="C1960">
        <v>2.25</v>
      </c>
    </row>
    <row r="1961" spans="1:3" x14ac:dyDescent="0.25">
      <c r="A1961" s="98">
        <v>6.9382425806754098</v>
      </c>
      <c r="B1961">
        <v>2.35</v>
      </c>
      <c r="C1961">
        <v>2.27</v>
      </c>
    </row>
    <row r="1962" spans="1:3" x14ac:dyDescent="0.25">
      <c r="A1962" s="98">
        <v>6.9417835736716196</v>
      </c>
      <c r="B1962">
        <v>2.4</v>
      </c>
      <c r="C1962">
        <v>2.27</v>
      </c>
    </row>
    <row r="1963" spans="1:3" x14ac:dyDescent="0.25">
      <c r="A1963" s="98">
        <v>6.9453274550647599</v>
      </c>
      <c r="B1963">
        <v>2.36</v>
      </c>
      <c r="C1963">
        <v>2.31</v>
      </c>
    </row>
    <row r="1964" spans="1:3" x14ac:dyDescent="0.25">
      <c r="A1964" s="98">
        <v>6.94886962334866</v>
      </c>
      <c r="B1964">
        <v>2.35</v>
      </c>
      <c r="C1964">
        <v>2.25</v>
      </c>
    </row>
    <row r="1965" spans="1:3" x14ac:dyDescent="0.25">
      <c r="A1965" s="98">
        <v>6.95241255751362</v>
      </c>
      <c r="B1965">
        <v>2.27</v>
      </c>
      <c r="C1965">
        <v>2.19</v>
      </c>
    </row>
    <row r="1966" spans="1:3" x14ac:dyDescent="0.25">
      <c r="A1966" s="98">
        <v>6.9559565861191999</v>
      </c>
      <c r="B1966">
        <v>2.35</v>
      </c>
      <c r="C1966">
        <v>2.2400000000000002</v>
      </c>
    </row>
    <row r="1967" spans="1:3" x14ac:dyDescent="0.25">
      <c r="A1967" s="98">
        <v>6.9594995130984803</v>
      </c>
      <c r="B1967">
        <v>2.36</v>
      </c>
      <c r="C1967">
        <v>2.2400000000000002</v>
      </c>
    </row>
    <row r="1968" spans="1:3" x14ac:dyDescent="0.25">
      <c r="A1968" s="98">
        <v>6.9630424187746298</v>
      </c>
      <c r="B1968">
        <v>2.31</v>
      </c>
      <c r="C1968">
        <v>2.25</v>
      </c>
    </row>
    <row r="1969" spans="1:3" x14ac:dyDescent="0.25">
      <c r="A1969" s="98">
        <v>6.9665854909960796</v>
      </c>
      <c r="B1969">
        <v>2.2599999999999998</v>
      </c>
      <c r="C1969">
        <v>2.16</v>
      </c>
    </row>
    <row r="1970" spans="1:3" x14ac:dyDescent="0.25">
      <c r="A1970" s="98">
        <v>6.9701282102587001</v>
      </c>
      <c r="B1970">
        <v>2.2000000000000002</v>
      </c>
      <c r="C1970">
        <v>2.09</v>
      </c>
    </row>
    <row r="1971" spans="1:3" x14ac:dyDescent="0.25">
      <c r="A1971" s="98">
        <v>6.9736709712390503</v>
      </c>
      <c r="B1971">
        <v>2.2799999999999998</v>
      </c>
      <c r="C1971">
        <v>2.21</v>
      </c>
    </row>
    <row r="1972" spans="1:3" x14ac:dyDescent="0.25">
      <c r="A1972" s="98">
        <v>6.9772168921430904</v>
      </c>
      <c r="B1972">
        <v>2.3199999999999998</v>
      </c>
      <c r="C1972">
        <v>2.2599999999999998</v>
      </c>
    </row>
    <row r="1973" spans="1:3" x14ac:dyDescent="0.25">
      <c r="A1973" s="98">
        <v>6.9807606325878</v>
      </c>
      <c r="B1973">
        <v>2.33</v>
      </c>
      <c r="C1973">
        <v>2.29</v>
      </c>
    </row>
    <row r="1974" spans="1:3" x14ac:dyDescent="0.25">
      <c r="A1974" s="98">
        <v>6.98430395870297</v>
      </c>
      <c r="B1974">
        <v>2.2799999999999998</v>
      </c>
      <c r="C1974">
        <v>2.29</v>
      </c>
    </row>
    <row r="1975" spans="1:3" x14ac:dyDescent="0.25">
      <c r="A1975" s="98">
        <v>6.9878494341009096</v>
      </c>
      <c r="B1975">
        <v>2.33</v>
      </c>
      <c r="C1975">
        <v>2.25</v>
      </c>
    </row>
    <row r="1976" spans="1:3" x14ac:dyDescent="0.25">
      <c r="A1976" s="98">
        <v>6.9913937171631302</v>
      </c>
      <c r="B1976">
        <v>2.42</v>
      </c>
      <c r="C1976">
        <v>2.33</v>
      </c>
    </row>
    <row r="1977" spans="1:3" x14ac:dyDescent="0.25">
      <c r="A1977" s="98">
        <v>6.9949382507359497</v>
      </c>
      <c r="B1977">
        <v>2.35</v>
      </c>
      <c r="C1977">
        <v>2.2599999999999998</v>
      </c>
    </row>
    <row r="1978" spans="1:3" x14ac:dyDescent="0.25">
      <c r="A1978" s="98">
        <v>6.9984811394965201</v>
      </c>
      <c r="B1978">
        <v>2.2999999999999998</v>
      </c>
      <c r="C1978">
        <v>2.14</v>
      </c>
    </row>
    <row r="1979" spans="1:3" x14ac:dyDescent="0.25">
      <c r="A1979" s="98">
        <v>7.0020238899246401</v>
      </c>
      <c r="B1979">
        <v>2.33</v>
      </c>
      <c r="C1979">
        <v>2.3199999999999998</v>
      </c>
    </row>
    <row r="1980" spans="1:3" x14ac:dyDescent="0.25">
      <c r="A1980" s="98">
        <v>7.0055677623053301</v>
      </c>
      <c r="B1980">
        <v>2.34</v>
      </c>
      <c r="C1980">
        <v>2.2200000000000002</v>
      </c>
    </row>
    <row r="1981" spans="1:3" x14ac:dyDescent="0.25">
      <c r="A1981" s="98">
        <v>7.0091104725444699</v>
      </c>
      <c r="B1981">
        <v>2.2999999999999998</v>
      </c>
      <c r="C1981">
        <v>2.25</v>
      </c>
    </row>
    <row r="1982" spans="1:3" x14ac:dyDescent="0.25">
      <c r="A1982" s="98">
        <v>7.0126533445550301</v>
      </c>
      <c r="B1982">
        <v>2.31</v>
      </c>
      <c r="C1982">
        <v>2.23</v>
      </c>
    </row>
    <row r="1983" spans="1:3" x14ac:dyDescent="0.25">
      <c r="A1983" s="98">
        <v>7.01619701297746</v>
      </c>
      <c r="B1983">
        <v>2.25</v>
      </c>
      <c r="C1983">
        <v>2.17</v>
      </c>
    </row>
    <row r="1984" spans="1:3" x14ac:dyDescent="0.25">
      <c r="A1984" s="98">
        <v>7.0197396483023899</v>
      </c>
      <c r="B1984">
        <v>2.35</v>
      </c>
      <c r="C1984">
        <v>2.17</v>
      </c>
    </row>
    <row r="1985" spans="1:3" x14ac:dyDescent="0.25">
      <c r="A1985" s="98">
        <v>7.0232868941072999</v>
      </c>
      <c r="B1985">
        <v>2.29</v>
      </c>
      <c r="C1985">
        <v>2.2200000000000002</v>
      </c>
    </row>
    <row r="1986" spans="1:3" x14ac:dyDescent="0.25">
      <c r="A1986" s="98">
        <v>7.0268289536072102</v>
      </c>
      <c r="B1986">
        <v>2.2999999999999998</v>
      </c>
      <c r="C1986">
        <v>2.2000000000000002</v>
      </c>
    </row>
    <row r="1987" spans="1:3" x14ac:dyDescent="0.25">
      <c r="A1987" s="98">
        <v>7.0303729622948996</v>
      </c>
      <c r="B1987">
        <v>2.2000000000000002</v>
      </c>
      <c r="C1987">
        <v>2.08</v>
      </c>
    </row>
    <row r="1988" spans="1:3" x14ac:dyDescent="0.25">
      <c r="A1988" s="98">
        <v>7.0339145721991798</v>
      </c>
      <c r="B1988">
        <v>2.2599999999999998</v>
      </c>
      <c r="C1988">
        <v>2.21</v>
      </c>
    </row>
    <row r="1989" spans="1:3" x14ac:dyDescent="0.25">
      <c r="A1989" s="98">
        <v>7.0374596833686001</v>
      </c>
      <c r="B1989">
        <v>2.25</v>
      </c>
      <c r="C1989">
        <v>2.1</v>
      </c>
    </row>
    <row r="1990" spans="1:3" x14ac:dyDescent="0.25">
      <c r="A1990" s="98">
        <v>7.0410011982752199</v>
      </c>
      <c r="B1990">
        <v>2.2999999999999998</v>
      </c>
      <c r="C1990">
        <v>2.2000000000000002</v>
      </c>
    </row>
    <row r="1991" spans="1:3" x14ac:dyDescent="0.25">
      <c r="A1991" s="98">
        <v>7.0445437445077603</v>
      </c>
      <c r="B1991">
        <v>2.34</v>
      </c>
      <c r="C1991">
        <v>2.19</v>
      </c>
    </row>
    <row r="1992" spans="1:3" x14ac:dyDescent="0.25">
      <c r="A1992" s="98">
        <v>7.04808785492071</v>
      </c>
      <c r="B1992">
        <v>2.2000000000000002</v>
      </c>
      <c r="C1992">
        <v>2.15</v>
      </c>
    </row>
    <row r="1993" spans="1:3" x14ac:dyDescent="0.25">
      <c r="A1993" s="98">
        <v>7.0516308988134</v>
      </c>
      <c r="B1993">
        <v>2.27</v>
      </c>
      <c r="C1993">
        <v>2.2599999999999998</v>
      </c>
    </row>
    <row r="1994" spans="1:3" x14ac:dyDescent="0.25">
      <c r="A1994" s="98">
        <v>7.0551735734442804</v>
      </c>
      <c r="B1994">
        <v>2.2200000000000002</v>
      </c>
      <c r="C1994">
        <v>2.13</v>
      </c>
    </row>
    <row r="1995" spans="1:3" x14ac:dyDescent="0.25">
      <c r="A1995" s="98">
        <v>7.0587171250085001</v>
      </c>
      <c r="B1995">
        <v>2.2999999999999998</v>
      </c>
      <c r="C1995">
        <v>2.2200000000000002</v>
      </c>
    </row>
    <row r="1996" spans="1:3" x14ac:dyDescent="0.25">
      <c r="A1996" s="98">
        <v>7.06225923119871</v>
      </c>
      <c r="B1996">
        <v>2.25</v>
      </c>
      <c r="C1996">
        <v>2.14</v>
      </c>
    </row>
    <row r="1997" spans="1:3" x14ac:dyDescent="0.25">
      <c r="A1997" s="98">
        <v>7.0658013199766403</v>
      </c>
      <c r="B1997">
        <v>2.25</v>
      </c>
      <c r="C1997">
        <v>2.23</v>
      </c>
    </row>
    <row r="1998" spans="1:3" x14ac:dyDescent="0.25">
      <c r="A1998" s="98">
        <v>7.0693452860525303</v>
      </c>
      <c r="B1998">
        <v>2.29</v>
      </c>
      <c r="C1998">
        <v>2.1</v>
      </c>
    </row>
    <row r="1999" spans="1:3" x14ac:dyDescent="0.25">
      <c r="A1999" s="98">
        <v>7.0728882295058799</v>
      </c>
      <c r="B1999">
        <v>2.2400000000000002</v>
      </c>
      <c r="C1999">
        <v>2.11</v>
      </c>
    </row>
    <row r="2000" spans="1:3" x14ac:dyDescent="0.25">
      <c r="A2000" s="98">
        <v>7.0764303426830804</v>
      </c>
      <c r="B2000">
        <v>2.27</v>
      </c>
      <c r="C2000">
        <v>2.0099999999999998</v>
      </c>
    </row>
    <row r="2001" spans="1:3" x14ac:dyDescent="0.25">
      <c r="A2001" s="98">
        <v>7.0799750590269204</v>
      </c>
      <c r="B2001">
        <v>2.16</v>
      </c>
      <c r="C2001">
        <v>2.12</v>
      </c>
    </row>
    <row r="2002" spans="1:3" x14ac:dyDescent="0.25">
      <c r="A2002" s="98">
        <v>7.0835170738509401</v>
      </c>
      <c r="B2002">
        <v>2.2400000000000002</v>
      </c>
      <c r="C2002">
        <v>2.13</v>
      </c>
    </row>
    <row r="2003" spans="1:3" x14ac:dyDescent="0.25">
      <c r="A2003" s="98">
        <v>7.08706096877654</v>
      </c>
      <c r="B2003">
        <v>2.2400000000000002</v>
      </c>
      <c r="C2003">
        <v>2.12</v>
      </c>
    </row>
    <row r="2004" spans="1:3" x14ac:dyDescent="0.25">
      <c r="A2004" s="98">
        <v>7.0906044214798296</v>
      </c>
      <c r="B2004">
        <v>2.2000000000000002</v>
      </c>
      <c r="C2004">
        <v>2.15</v>
      </c>
    </row>
    <row r="2005" spans="1:3" x14ac:dyDescent="0.25">
      <c r="A2005" s="98">
        <v>7.0941497003204201</v>
      </c>
      <c r="B2005">
        <v>2.21</v>
      </c>
      <c r="C2005">
        <v>2.1800000000000002</v>
      </c>
    </row>
    <row r="2006" spans="1:3" x14ac:dyDescent="0.25">
      <c r="A2006" s="98">
        <v>7.0976905356623501</v>
      </c>
      <c r="B2006">
        <v>2.2200000000000002</v>
      </c>
      <c r="C2006">
        <v>2.0499999999999998</v>
      </c>
    </row>
    <row r="2007" spans="1:3" x14ac:dyDescent="0.25">
      <c r="A2007" s="98">
        <v>7.1012339108795999</v>
      </c>
      <c r="B2007">
        <v>2.21</v>
      </c>
      <c r="C2007">
        <v>2.1</v>
      </c>
    </row>
    <row r="2008" spans="1:3" x14ac:dyDescent="0.25">
      <c r="A2008" s="98">
        <v>7.1047780456531902</v>
      </c>
      <c r="B2008">
        <v>2.15</v>
      </c>
      <c r="C2008">
        <v>2.16</v>
      </c>
    </row>
    <row r="2009" spans="1:3" x14ac:dyDescent="0.25">
      <c r="A2009" s="98">
        <v>7.1083221087577098</v>
      </c>
      <c r="B2009">
        <v>2.2799999999999998</v>
      </c>
      <c r="C2009">
        <v>2.2000000000000002</v>
      </c>
    </row>
    <row r="2010" spans="1:3" x14ac:dyDescent="0.25">
      <c r="A2010" s="98">
        <v>7.1118660059516001</v>
      </c>
      <c r="B2010">
        <v>2.19</v>
      </c>
      <c r="C2010">
        <v>2.2000000000000002</v>
      </c>
    </row>
    <row r="2011" spans="1:3" x14ac:dyDescent="0.25">
      <c r="A2011" s="98">
        <v>7.1154086459345196</v>
      </c>
      <c r="B2011">
        <v>2.16</v>
      </c>
      <c r="C2011">
        <v>2.14</v>
      </c>
    </row>
    <row r="2012" spans="1:3" x14ac:dyDescent="0.25">
      <c r="A2012" s="98">
        <v>7.1189504409719397</v>
      </c>
      <c r="B2012">
        <v>2.14</v>
      </c>
      <c r="C2012">
        <v>2.15</v>
      </c>
    </row>
    <row r="2013" spans="1:3" x14ac:dyDescent="0.25">
      <c r="A2013" s="98">
        <v>7.12249309487916</v>
      </c>
      <c r="B2013">
        <v>2.09</v>
      </c>
      <c r="C2013">
        <v>2.13</v>
      </c>
    </row>
    <row r="2014" spans="1:3" x14ac:dyDescent="0.25">
      <c r="A2014" s="98">
        <v>7.12603698659274</v>
      </c>
      <c r="B2014">
        <v>2.19</v>
      </c>
      <c r="C2014">
        <v>2.0699999999999998</v>
      </c>
    </row>
    <row r="2015" spans="1:3" x14ac:dyDescent="0.25">
      <c r="A2015" s="98">
        <v>7.1295796683209902</v>
      </c>
      <c r="B2015">
        <v>2.17</v>
      </c>
      <c r="C2015">
        <v>2.1800000000000002</v>
      </c>
    </row>
    <row r="2016" spans="1:3" x14ac:dyDescent="0.25">
      <c r="A2016" s="98">
        <v>7.1331225211090503</v>
      </c>
      <c r="B2016">
        <v>2.16</v>
      </c>
      <c r="C2016">
        <v>2.13</v>
      </c>
    </row>
    <row r="2017" spans="1:3" x14ac:dyDescent="0.25">
      <c r="A2017" s="98">
        <v>7.1366669316920897</v>
      </c>
      <c r="B2017">
        <v>2.1800000000000002</v>
      </c>
      <c r="C2017">
        <v>2.13</v>
      </c>
    </row>
    <row r="2018" spans="1:3" x14ac:dyDescent="0.25">
      <c r="A2018" s="98">
        <v>7.1402107436292699</v>
      </c>
      <c r="B2018">
        <v>2.15</v>
      </c>
      <c r="C2018">
        <v>2.02</v>
      </c>
    </row>
    <row r="2019" spans="1:3" x14ac:dyDescent="0.25">
      <c r="A2019" s="98">
        <v>7.1437549939972298</v>
      </c>
      <c r="B2019">
        <v>2.2200000000000002</v>
      </c>
      <c r="C2019">
        <v>2.08</v>
      </c>
    </row>
    <row r="2020" spans="1:3" x14ac:dyDescent="0.25">
      <c r="A2020" s="98">
        <v>7.1472981598421299</v>
      </c>
      <c r="B2020">
        <v>2.1800000000000002</v>
      </c>
      <c r="C2020">
        <v>2.12</v>
      </c>
    </row>
    <row r="2021" spans="1:3" x14ac:dyDescent="0.25">
      <c r="A2021" s="98">
        <v>7.1508434571160198</v>
      </c>
      <c r="B2021">
        <v>2.19</v>
      </c>
      <c r="C2021">
        <v>2.15</v>
      </c>
    </row>
    <row r="2022" spans="1:3" x14ac:dyDescent="0.25">
      <c r="A2022" s="98">
        <v>7.1543863646189303</v>
      </c>
      <c r="B2022">
        <v>2.17</v>
      </c>
      <c r="C2022">
        <v>2.11</v>
      </c>
    </row>
    <row r="2023" spans="1:3" x14ac:dyDescent="0.25">
      <c r="A2023" s="98">
        <v>7.15793114143941</v>
      </c>
      <c r="B2023">
        <v>2.2000000000000002</v>
      </c>
      <c r="C2023">
        <v>2.0699999999999998</v>
      </c>
    </row>
    <row r="2024" spans="1:3" x14ac:dyDescent="0.25">
      <c r="A2024" s="98">
        <v>7.1614735287924596</v>
      </c>
      <c r="B2024">
        <v>2.1800000000000002</v>
      </c>
      <c r="C2024">
        <v>2.08</v>
      </c>
    </row>
    <row r="2025" spans="1:3" x14ac:dyDescent="0.25">
      <c r="A2025" s="98">
        <v>7.1650185648765801</v>
      </c>
      <c r="B2025">
        <v>2.11</v>
      </c>
      <c r="C2025">
        <v>1.98</v>
      </c>
    </row>
    <row r="2026" spans="1:3" x14ac:dyDescent="0.25">
      <c r="A2026" s="98">
        <v>7.1685598695057404</v>
      </c>
      <c r="B2026">
        <v>2.12</v>
      </c>
      <c r="C2026">
        <v>2.02</v>
      </c>
    </row>
    <row r="2027" spans="1:3" x14ac:dyDescent="0.25">
      <c r="A2027" s="98">
        <v>7.1721038276840101</v>
      </c>
      <c r="B2027">
        <v>2.17</v>
      </c>
      <c r="C2027">
        <v>2.12</v>
      </c>
    </row>
    <row r="2028" spans="1:3" x14ac:dyDescent="0.25">
      <c r="A2028" s="98">
        <v>7.1756476849703796</v>
      </c>
      <c r="B2028">
        <v>2.15</v>
      </c>
      <c r="C2028">
        <v>2.04</v>
      </c>
    </row>
    <row r="2029" spans="1:3" x14ac:dyDescent="0.25">
      <c r="A2029" s="98">
        <v>7.1791916570343304</v>
      </c>
      <c r="B2029">
        <v>2.19</v>
      </c>
      <c r="C2029">
        <v>2.14</v>
      </c>
    </row>
    <row r="2030" spans="1:3" x14ac:dyDescent="0.25">
      <c r="A2030" s="98">
        <v>7.18273427625497</v>
      </c>
      <c r="B2030">
        <v>2.1800000000000002</v>
      </c>
      <c r="C2030">
        <v>2.1</v>
      </c>
    </row>
    <row r="2031" spans="1:3" x14ac:dyDescent="0.25">
      <c r="A2031" s="98">
        <v>7.1862767765367401</v>
      </c>
      <c r="B2031">
        <v>2.11</v>
      </c>
      <c r="C2031">
        <v>2.17</v>
      </c>
    </row>
    <row r="2032" spans="1:3" x14ac:dyDescent="0.25">
      <c r="A2032" s="98">
        <v>7.1898204615436203</v>
      </c>
      <c r="B2032">
        <v>2.16</v>
      </c>
      <c r="C2032">
        <v>2.15</v>
      </c>
    </row>
    <row r="2033" spans="1:3" x14ac:dyDescent="0.25">
      <c r="A2033" s="98">
        <v>7.1933618956252303</v>
      </c>
      <c r="B2033">
        <v>2.17</v>
      </c>
      <c r="C2033">
        <v>2.0699999999999998</v>
      </c>
    </row>
    <row r="2034" spans="1:3" x14ac:dyDescent="0.25">
      <c r="A2034" s="98">
        <v>7.1969049746184401</v>
      </c>
      <c r="B2034">
        <v>2.13</v>
      </c>
      <c r="C2034">
        <v>2.12</v>
      </c>
    </row>
    <row r="2035" spans="1:3" x14ac:dyDescent="0.25">
      <c r="A2035" s="98">
        <v>7.2004460271916999</v>
      </c>
      <c r="B2035">
        <v>2.1</v>
      </c>
      <c r="C2035">
        <v>2.12</v>
      </c>
    </row>
    <row r="2036" spans="1:3" x14ac:dyDescent="0.25">
      <c r="A2036" s="98">
        <v>7.2039886258100996</v>
      </c>
      <c r="B2036">
        <v>2.08</v>
      </c>
      <c r="C2036">
        <v>2.0699999999999998</v>
      </c>
    </row>
    <row r="2037" spans="1:3" x14ac:dyDescent="0.25">
      <c r="A2037" s="98">
        <v>7.2075323472861799</v>
      </c>
      <c r="B2037">
        <v>2.12</v>
      </c>
      <c r="C2037">
        <v>2.06</v>
      </c>
    </row>
    <row r="2038" spans="1:3" x14ac:dyDescent="0.25">
      <c r="A2038" s="98">
        <v>7.2110747984437999</v>
      </c>
      <c r="B2038">
        <v>2.1</v>
      </c>
      <c r="C2038">
        <v>2.0499999999999998</v>
      </c>
    </row>
    <row r="2039" spans="1:3" x14ac:dyDescent="0.25">
      <c r="A2039" s="98">
        <v>7.2146177121169002</v>
      </c>
      <c r="B2039">
        <v>2.2400000000000002</v>
      </c>
      <c r="C2039">
        <v>2.06</v>
      </c>
    </row>
    <row r="2040" spans="1:3" x14ac:dyDescent="0.25">
      <c r="A2040" s="98">
        <v>7.2181616917362899</v>
      </c>
      <c r="B2040">
        <v>2.14</v>
      </c>
      <c r="C2040">
        <v>2.0099999999999998</v>
      </c>
    </row>
    <row r="2041" spans="1:3" x14ac:dyDescent="0.25">
      <c r="A2041" s="98">
        <v>7.2217079543846596</v>
      </c>
      <c r="B2041">
        <v>2.14</v>
      </c>
      <c r="C2041">
        <v>1.97</v>
      </c>
    </row>
    <row r="2042" spans="1:3" x14ac:dyDescent="0.25">
      <c r="A2042" s="98">
        <v>7.2252528367495099</v>
      </c>
      <c r="B2042">
        <v>2.13</v>
      </c>
      <c r="C2042">
        <v>1.98</v>
      </c>
    </row>
    <row r="2043" spans="1:3" x14ac:dyDescent="0.25">
      <c r="A2043" s="98">
        <v>7.2287958446641696</v>
      </c>
      <c r="B2043">
        <v>2.1</v>
      </c>
      <c r="C2043">
        <v>1.95</v>
      </c>
    </row>
    <row r="2044" spans="1:3" x14ac:dyDescent="0.25">
      <c r="A2044" s="98">
        <v>7.2323376754864501</v>
      </c>
      <c r="B2044">
        <v>2.15</v>
      </c>
      <c r="C2044">
        <v>1.92</v>
      </c>
    </row>
    <row r="2045" spans="1:3" x14ac:dyDescent="0.25">
      <c r="A2045" s="98">
        <v>7.2358829351376599</v>
      </c>
      <c r="B2045">
        <v>2.13</v>
      </c>
      <c r="C2045">
        <v>1.97</v>
      </c>
    </row>
    <row r="2046" spans="1:3" x14ac:dyDescent="0.25">
      <c r="A2046" s="98">
        <v>7.2394278489329196</v>
      </c>
      <c r="B2046">
        <v>2.14</v>
      </c>
      <c r="C2046">
        <v>1.92</v>
      </c>
    </row>
    <row r="2047" spans="1:3" x14ac:dyDescent="0.25">
      <c r="A2047" s="98">
        <v>7.2429718412127704</v>
      </c>
      <c r="B2047">
        <v>2.13</v>
      </c>
      <c r="C2047">
        <v>2.0099999999999998</v>
      </c>
    </row>
    <row r="2048" spans="1:3" x14ac:dyDescent="0.25">
      <c r="A2048" s="98">
        <v>7.2465146190921397</v>
      </c>
      <c r="B2048">
        <v>2.14</v>
      </c>
      <c r="C2048">
        <v>2.06</v>
      </c>
    </row>
    <row r="2049" spans="1:3" x14ac:dyDescent="0.25">
      <c r="A2049" s="98">
        <v>7.2500575733571102</v>
      </c>
      <c r="B2049">
        <v>2.13</v>
      </c>
      <c r="C2049">
        <v>2.0299999999999998</v>
      </c>
    </row>
    <row r="2050" spans="1:3" x14ac:dyDescent="0.25">
      <c r="A2050" s="98">
        <v>7.2536003754536296</v>
      </c>
      <c r="B2050">
        <v>2.1</v>
      </c>
      <c r="C2050">
        <v>2.0499999999999998</v>
      </c>
    </row>
    <row r="2051" spans="1:3" x14ac:dyDescent="0.25">
      <c r="A2051" s="98">
        <v>7.2571436273113399</v>
      </c>
      <c r="B2051">
        <v>2.08</v>
      </c>
      <c r="C2051">
        <v>2.0099999999999998</v>
      </c>
    </row>
    <row r="2052" spans="1:3" x14ac:dyDescent="0.25">
      <c r="A2052" s="98">
        <v>7.2606862683704598</v>
      </c>
      <c r="B2052">
        <v>2.11</v>
      </c>
      <c r="C2052">
        <v>2</v>
      </c>
    </row>
    <row r="2053" spans="1:3" x14ac:dyDescent="0.25">
      <c r="A2053" s="98">
        <v>7.2642297880461904</v>
      </c>
      <c r="B2053">
        <v>2.12</v>
      </c>
      <c r="C2053">
        <v>1.97</v>
      </c>
    </row>
    <row r="2054" spans="1:3" x14ac:dyDescent="0.25">
      <c r="A2054" s="98">
        <v>7.2677730666100899</v>
      </c>
      <c r="B2054">
        <v>2.11</v>
      </c>
      <c r="C2054">
        <v>2</v>
      </c>
    </row>
    <row r="2055" spans="1:3" x14ac:dyDescent="0.25">
      <c r="A2055" s="98">
        <v>7.2713152892832396</v>
      </c>
      <c r="B2055">
        <v>2.09</v>
      </c>
      <c r="C2055">
        <v>2.0299999999999998</v>
      </c>
    </row>
    <row r="2056" spans="1:3" x14ac:dyDescent="0.25">
      <c r="A2056" s="98">
        <v>7.2748581656372098</v>
      </c>
      <c r="B2056">
        <v>2.0299999999999998</v>
      </c>
      <c r="C2056">
        <v>2</v>
      </c>
    </row>
    <row r="2057" spans="1:3" x14ac:dyDescent="0.25">
      <c r="A2057" s="98">
        <v>7.2783997256833004</v>
      </c>
      <c r="B2057">
        <v>2.02</v>
      </c>
      <c r="C2057">
        <v>2</v>
      </c>
    </row>
    <row r="2058" spans="1:3" x14ac:dyDescent="0.25">
      <c r="A2058" s="98">
        <v>7.2819441541477401</v>
      </c>
      <c r="B2058">
        <v>2.09</v>
      </c>
      <c r="C2058">
        <v>1.96</v>
      </c>
    </row>
    <row r="2059" spans="1:3" x14ac:dyDescent="0.25">
      <c r="A2059" s="98">
        <v>7.2854870341662998</v>
      </c>
      <c r="B2059">
        <v>2.06</v>
      </c>
      <c r="C2059">
        <v>1.98</v>
      </c>
    </row>
    <row r="2060" spans="1:3" x14ac:dyDescent="0.25">
      <c r="A2060" s="98">
        <v>7.2890298858229698</v>
      </c>
      <c r="B2060">
        <v>2.04</v>
      </c>
      <c r="C2060">
        <v>1.99</v>
      </c>
    </row>
    <row r="2061" spans="1:3" x14ac:dyDescent="0.25">
      <c r="A2061" s="98">
        <v>7.2925727951802504</v>
      </c>
      <c r="B2061">
        <v>2.08</v>
      </c>
      <c r="C2061">
        <v>2.0499999999999998</v>
      </c>
    </row>
    <row r="2062" spans="1:3" x14ac:dyDescent="0.25">
      <c r="A2062" s="98">
        <v>7.2961156550325699</v>
      </c>
      <c r="B2062">
        <v>2.08</v>
      </c>
      <c r="C2062">
        <v>2</v>
      </c>
    </row>
    <row r="2063" spans="1:3" x14ac:dyDescent="0.25">
      <c r="A2063" s="98">
        <v>7.2996623862010397</v>
      </c>
      <c r="B2063">
        <v>2.13</v>
      </c>
      <c r="C2063">
        <v>2</v>
      </c>
    </row>
    <row r="2064" spans="1:3" x14ac:dyDescent="0.25">
      <c r="A2064" s="98">
        <v>7.3032063233686797</v>
      </c>
      <c r="B2064">
        <v>2.08</v>
      </c>
      <c r="C2064">
        <v>1.97</v>
      </c>
    </row>
    <row r="2065" spans="1:3" x14ac:dyDescent="0.25">
      <c r="A2065" s="98">
        <v>7.3067485967278403</v>
      </c>
      <c r="B2065">
        <v>2.04</v>
      </c>
      <c r="C2065">
        <v>1.94</v>
      </c>
    </row>
    <row r="2066" spans="1:3" x14ac:dyDescent="0.25">
      <c r="A2066" s="98">
        <v>7.3102916741536701</v>
      </c>
      <c r="B2066">
        <v>2.0499999999999998</v>
      </c>
      <c r="C2066">
        <v>1.98</v>
      </c>
    </row>
    <row r="2067" spans="1:3" x14ac:dyDescent="0.25">
      <c r="A2067" s="98">
        <v>7.3138346447216103</v>
      </c>
      <c r="B2067">
        <v>2.06</v>
      </c>
      <c r="C2067">
        <v>1.99</v>
      </c>
    </row>
    <row r="2068" spans="1:3" x14ac:dyDescent="0.25">
      <c r="A2068" s="98">
        <v>7.3173781237116504</v>
      </c>
      <c r="B2068">
        <v>2.0699999999999998</v>
      </c>
      <c r="C2068">
        <v>1.99</v>
      </c>
    </row>
    <row r="2069" spans="1:3" x14ac:dyDescent="0.25">
      <c r="A2069" s="98">
        <v>7.3209207955333904</v>
      </c>
      <c r="B2069">
        <v>2.04</v>
      </c>
      <c r="C2069">
        <v>2.0299999999999998</v>
      </c>
    </row>
    <row r="2070" spans="1:3" x14ac:dyDescent="0.25">
      <c r="A2070" s="98">
        <v>7.32446280109661</v>
      </c>
      <c r="B2070">
        <v>1.97</v>
      </c>
      <c r="C2070">
        <v>1.99</v>
      </c>
    </row>
    <row r="2071" spans="1:3" x14ac:dyDescent="0.25">
      <c r="A2071" s="98">
        <v>7.3280049130154898</v>
      </c>
      <c r="B2071">
        <v>2.04</v>
      </c>
      <c r="C2071">
        <v>2.04</v>
      </c>
    </row>
    <row r="2072" spans="1:3" x14ac:dyDescent="0.25">
      <c r="A2072" s="98">
        <v>7.3315477691093998</v>
      </c>
      <c r="B2072">
        <v>2</v>
      </c>
      <c r="C2072">
        <v>2</v>
      </c>
    </row>
    <row r="2073" spans="1:3" x14ac:dyDescent="0.25">
      <c r="A2073" s="98">
        <v>7.3350916436480098</v>
      </c>
      <c r="B2073">
        <v>2.04</v>
      </c>
      <c r="C2073">
        <v>2.0099999999999998</v>
      </c>
    </row>
    <row r="2074" spans="1:3" x14ac:dyDescent="0.25">
      <c r="A2074" s="98">
        <v>7.3386345584690504</v>
      </c>
      <c r="B2074">
        <v>2.02</v>
      </c>
      <c r="C2074">
        <v>1.94</v>
      </c>
    </row>
    <row r="2075" spans="1:3" x14ac:dyDescent="0.25">
      <c r="A2075" s="98">
        <v>7.3421784788425297</v>
      </c>
      <c r="B2075">
        <v>2.08</v>
      </c>
      <c r="C2075">
        <v>2</v>
      </c>
    </row>
    <row r="2076" spans="1:3" x14ac:dyDescent="0.25">
      <c r="A2076" s="98">
        <v>7.3457206616633401</v>
      </c>
      <c r="B2076">
        <v>2.0499999999999998</v>
      </c>
      <c r="C2076">
        <v>2</v>
      </c>
    </row>
    <row r="2077" spans="1:3" x14ac:dyDescent="0.25">
      <c r="A2077" s="98">
        <v>7.3492643318959896</v>
      </c>
      <c r="B2077">
        <v>1.98</v>
      </c>
      <c r="C2077">
        <v>1.99</v>
      </c>
    </row>
    <row r="2078" spans="1:3" x14ac:dyDescent="0.25">
      <c r="A2078" s="98">
        <v>7.35280831631135</v>
      </c>
      <c r="B2078">
        <v>2.0499999999999998</v>
      </c>
      <c r="C2078">
        <v>2.0299999999999998</v>
      </c>
    </row>
    <row r="2079" spans="1:3" x14ac:dyDescent="0.25">
      <c r="A2079" s="98">
        <v>7.3563512655430303</v>
      </c>
      <c r="B2079">
        <v>2.02</v>
      </c>
      <c r="C2079">
        <v>1.95</v>
      </c>
    </row>
    <row r="2080" spans="1:3" x14ac:dyDescent="0.25">
      <c r="A2080" s="98">
        <v>7.3598957035718104</v>
      </c>
      <c r="B2080">
        <v>2.0499999999999998</v>
      </c>
      <c r="C2080">
        <v>1.96</v>
      </c>
    </row>
    <row r="2081" spans="1:3" x14ac:dyDescent="0.25">
      <c r="A2081" s="98">
        <v>7.3634387437557702</v>
      </c>
      <c r="B2081">
        <v>2.0299999999999998</v>
      </c>
      <c r="C2081">
        <v>1.97</v>
      </c>
    </row>
    <row r="2082" spans="1:3" x14ac:dyDescent="0.25">
      <c r="A2082" s="98">
        <v>7.3669720290159697</v>
      </c>
      <c r="B2082">
        <v>2.0499999999999998</v>
      </c>
      <c r="C2082">
        <v>1.99</v>
      </c>
    </row>
    <row r="2083" spans="1:3" x14ac:dyDescent="0.25">
      <c r="A2083" s="98">
        <v>7.3705040667123196</v>
      </c>
      <c r="B2083">
        <v>2.0099999999999998</v>
      </c>
      <c r="C2083">
        <v>2.02</v>
      </c>
    </row>
    <row r="2084" spans="1:3" x14ac:dyDescent="0.25">
      <c r="A2084" s="98">
        <v>7.3740370945356499</v>
      </c>
      <c r="B2084">
        <v>2.04</v>
      </c>
      <c r="C2084">
        <v>1.96</v>
      </c>
    </row>
    <row r="2085" spans="1:3" x14ac:dyDescent="0.25">
      <c r="A2085" s="98">
        <v>7.3775693096275603</v>
      </c>
      <c r="B2085">
        <v>2.02</v>
      </c>
      <c r="C2085">
        <v>1.96</v>
      </c>
    </row>
    <row r="2086" spans="1:3" x14ac:dyDescent="0.25">
      <c r="A2086" s="98">
        <v>7.3811038353652796</v>
      </c>
      <c r="B2086">
        <v>2.06</v>
      </c>
      <c r="C2086">
        <v>2.0499999999999998</v>
      </c>
    </row>
    <row r="2087" spans="1:3" x14ac:dyDescent="0.25">
      <c r="A2087" s="98">
        <v>7.3846397472586904</v>
      </c>
      <c r="B2087">
        <v>2.0499999999999998</v>
      </c>
      <c r="C2087">
        <v>1.97</v>
      </c>
    </row>
    <row r="2088" spans="1:3" x14ac:dyDescent="0.25">
      <c r="A2088" s="98">
        <v>7.3881745247542803</v>
      </c>
      <c r="B2088">
        <v>1.95</v>
      </c>
      <c r="C2088">
        <v>1.93</v>
      </c>
    </row>
    <row r="2089" spans="1:3" x14ac:dyDescent="0.25">
      <c r="A2089" s="98">
        <v>7.3917069200619503</v>
      </c>
      <c r="B2089">
        <v>2.06</v>
      </c>
      <c r="C2089">
        <v>1.97</v>
      </c>
    </row>
    <row r="2090" spans="1:3" x14ac:dyDescent="0.25">
      <c r="A2090" s="98">
        <v>7.3952400590092999</v>
      </c>
      <c r="B2090">
        <v>1.97</v>
      </c>
      <c r="C2090">
        <v>2.0299999999999998</v>
      </c>
    </row>
    <row r="2091" spans="1:3" x14ac:dyDescent="0.25">
      <c r="A2091" s="98">
        <v>7.39877358544204</v>
      </c>
      <c r="B2091">
        <v>1.98</v>
      </c>
      <c r="C2091">
        <v>2</v>
      </c>
    </row>
    <row r="2092" spans="1:3" x14ac:dyDescent="0.25">
      <c r="A2092" s="98">
        <v>7.4023061041533902</v>
      </c>
      <c r="B2092">
        <v>2.06</v>
      </c>
      <c r="C2092">
        <v>2.0099999999999998</v>
      </c>
    </row>
    <row r="2093" spans="1:3" x14ac:dyDescent="0.25">
      <c r="A2093" s="98">
        <v>7.4058430181388504</v>
      </c>
      <c r="B2093">
        <v>1.94</v>
      </c>
      <c r="C2093">
        <v>1.92</v>
      </c>
    </row>
    <row r="2094" spans="1:3" x14ac:dyDescent="0.25">
      <c r="A2094" s="98">
        <v>7.4093861058188804</v>
      </c>
      <c r="B2094">
        <v>1.95</v>
      </c>
      <c r="C2094">
        <v>1.96</v>
      </c>
    </row>
    <row r="2095" spans="1:3" x14ac:dyDescent="0.25">
      <c r="A2095" s="98">
        <v>7.4129302353494699</v>
      </c>
      <c r="B2095">
        <v>2.08</v>
      </c>
      <c r="C2095">
        <v>1.95</v>
      </c>
    </row>
    <row r="2096" spans="1:3" x14ac:dyDescent="0.25">
      <c r="A2096" s="98">
        <v>7.4164718027081697</v>
      </c>
      <c r="B2096">
        <v>1.96</v>
      </c>
      <c r="C2096">
        <v>1.89</v>
      </c>
    </row>
    <row r="2097" spans="1:3" x14ac:dyDescent="0.25">
      <c r="A2097" s="98">
        <v>7.42001469560795</v>
      </c>
      <c r="B2097">
        <v>2.0299999999999998</v>
      </c>
      <c r="C2097">
        <v>1.99</v>
      </c>
    </row>
    <row r="2098" spans="1:3" x14ac:dyDescent="0.25">
      <c r="A2098" s="98">
        <v>7.4235619758842102</v>
      </c>
      <c r="B2098">
        <v>1.91</v>
      </c>
      <c r="C2098">
        <v>1.83</v>
      </c>
    </row>
    <row r="2099" spans="1:3" x14ac:dyDescent="0.25">
      <c r="A2099" s="98">
        <v>7.4271046890428698</v>
      </c>
      <c r="B2099">
        <v>2</v>
      </c>
      <c r="C2099">
        <v>1.9</v>
      </c>
    </row>
    <row r="2100" spans="1:3" x14ac:dyDescent="0.25">
      <c r="A2100" s="98">
        <v>7.4306472371573804</v>
      </c>
      <c r="B2100">
        <v>2.0499999999999998</v>
      </c>
      <c r="C2100">
        <v>1.91</v>
      </c>
    </row>
    <row r="2101" spans="1:3" x14ac:dyDescent="0.25">
      <c r="A2101" s="98">
        <v>7.4341890149535903</v>
      </c>
      <c r="B2101">
        <v>2</v>
      </c>
      <c r="C2101">
        <v>1.98</v>
      </c>
    </row>
    <row r="2102" spans="1:3" x14ac:dyDescent="0.25">
      <c r="A2102" s="98">
        <v>7.4377330905530101</v>
      </c>
      <c r="B2102">
        <v>2.0299999999999998</v>
      </c>
      <c r="C2102">
        <v>1.96</v>
      </c>
    </row>
    <row r="2103" spans="1:3" x14ac:dyDescent="0.25">
      <c r="A2103" s="98">
        <v>7.4412785036751501</v>
      </c>
      <c r="B2103">
        <v>2.0099999999999998</v>
      </c>
      <c r="C2103">
        <v>1.95</v>
      </c>
    </row>
    <row r="2104" spans="1:3" x14ac:dyDescent="0.25">
      <c r="A2104" s="98">
        <v>7.44482535261798</v>
      </c>
      <c r="B2104">
        <v>2.02</v>
      </c>
      <c r="C2104">
        <v>1.98</v>
      </c>
    </row>
    <row r="2105" spans="1:3" x14ac:dyDescent="0.25">
      <c r="A2105" s="98">
        <v>7.4483679196183301</v>
      </c>
      <c r="B2105">
        <v>2.04</v>
      </c>
      <c r="C2105">
        <v>1.92</v>
      </c>
    </row>
    <row r="2106" spans="1:3" x14ac:dyDescent="0.25">
      <c r="A2106" s="98">
        <v>7.4519110427576001</v>
      </c>
      <c r="B2106">
        <v>1.99</v>
      </c>
      <c r="C2106">
        <v>1.9</v>
      </c>
    </row>
    <row r="2107" spans="1:3" x14ac:dyDescent="0.25">
      <c r="A2107" s="98">
        <v>7.45545748233243</v>
      </c>
      <c r="B2107">
        <v>1.87</v>
      </c>
      <c r="C2107">
        <v>1.9</v>
      </c>
    </row>
    <row r="2108" spans="1:3" x14ac:dyDescent="0.25">
      <c r="A2108" s="98">
        <v>7.4590003829035396</v>
      </c>
      <c r="B2108">
        <v>2.0099999999999998</v>
      </c>
      <c r="C2108">
        <v>1.98</v>
      </c>
    </row>
    <row r="2109" spans="1:3" x14ac:dyDescent="0.25">
      <c r="A2109" s="98">
        <v>7.4625464845365901</v>
      </c>
      <c r="B2109">
        <v>1.96</v>
      </c>
      <c r="C2109">
        <v>1.9</v>
      </c>
    </row>
    <row r="2110" spans="1:3" x14ac:dyDescent="0.25">
      <c r="A2110" s="98">
        <v>7.4660883839483603</v>
      </c>
      <c r="B2110">
        <v>1.95</v>
      </c>
      <c r="C2110">
        <v>1.94</v>
      </c>
    </row>
    <row r="2111" spans="1:3" x14ac:dyDescent="0.25">
      <c r="A2111" s="98">
        <v>7.4696324221458701</v>
      </c>
      <c r="B2111">
        <v>1.99</v>
      </c>
      <c r="C2111">
        <v>1.95</v>
      </c>
    </row>
    <row r="2112" spans="1:3" x14ac:dyDescent="0.25">
      <c r="A2112" s="98">
        <v>7.4731753920736104</v>
      </c>
      <c r="B2112">
        <v>2.0299999999999998</v>
      </c>
      <c r="C2112">
        <v>1.86</v>
      </c>
    </row>
    <row r="2113" spans="1:3" x14ac:dyDescent="0.25">
      <c r="A2113" s="98">
        <v>7.4767195935988804</v>
      </c>
      <c r="B2113">
        <v>2.02</v>
      </c>
      <c r="C2113">
        <v>1.94</v>
      </c>
    </row>
    <row r="2114" spans="1:3" x14ac:dyDescent="0.25">
      <c r="A2114" s="98">
        <v>7.4802632776013098</v>
      </c>
      <c r="B2114">
        <v>2.02</v>
      </c>
      <c r="C2114">
        <v>1.93</v>
      </c>
    </row>
    <row r="2115" spans="1:3" x14ac:dyDescent="0.25">
      <c r="A2115" s="98">
        <v>7.4838071290265598</v>
      </c>
      <c r="B2115">
        <v>1.95</v>
      </c>
      <c r="C2115">
        <v>1.87</v>
      </c>
    </row>
    <row r="2116" spans="1:3" x14ac:dyDescent="0.25">
      <c r="A2116" s="98">
        <v>7.4873481287282901</v>
      </c>
      <c r="B2116">
        <v>1.99</v>
      </c>
      <c r="C2116">
        <v>1.84</v>
      </c>
    </row>
    <row r="2117" spans="1:3" x14ac:dyDescent="0.25">
      <c r="A2117" s="98">
        <v>7.4908916674333499</v>
      </c>
      <c r="B2117">
        <v>1.97</v>
      </c>
      <c r="C2117">
        <v>1.89</v>
      </c>
    </row>
    <row r="2118" spans="1:3" x14ac:dyDescent="0.25">
      <c r="A2118" s="98">
        <v>7.4944356673790304</v>
      </c>
      <c r="B2118">
        <v>1.92</v>
      </c>
      <c r="C2118">
        <v>1.87</v>
      </c>
    </row>
    <row r="2119" spans="1:3" x14ac:dyDescent="0.25">
      <c r="A2119" s="98">
        <v>7.4979807842108901</v>
      </c>
      <c r="B2119">
        <v>1.95</v>
      </c>
      <c r="C2119">
        <v>1.9</v>
      </c>
    </row>
    <row r="2120" spans="1:3" x14ac:dyDescent="0.25">
      <c r="A2120" s="98">
        <v>7.5015225430991901</v>
      </c>
      <c r="B2120">
        <v>1.89</v>
      </c>
      <c r="C2120">
        <v>1.91</v>
      </c>
    </row>
    <row r="2121" spans="1:3" x14ac:dyDescent="0.25">
      <c r="A2121" s="98">
        <v>7.5050652480235804</v>
      </c>
      <c r="B2121">
        <v>1.93</v>
      </c>
      <c r="C2121">
        <v>1.85</v>
      </c>
    </row>
    <row r="2122" spans="1:3" x14ac:dyDescent="0.25">
      <c r="A2122" s="98">
        <v>7.5086087648128998</v>
      </c>
      <c r="B2122">
        <v>1.98</v>
      </c>
      <c r="C2122">
        <v>1.85</v>
      </c>
    </row>
    <row r="2123" spans="1:3" x14ac:dyDescent="0.25">
      <c r="A2123" s="98">
        <v>7.5121519233231204</v>
      </c>
      <c r="B2123">
        <v>2.0299999999999998</v>
      </c>
      <c r="C2123">
        <v>1.87</v>
      </c>
    </row>
    <row r="2124" spans="1:3" x14ac:dyDescent="0.25">
      <c r="A2124" s="98">
        <v>7.51569594717136</v>
      </c>
      <c r="B2124">
        <v>1.96</v>
      </c>
      <c r="C2124">
        <v>1.97</v>
      </c>
    </row>
    <row r="2125" spans="1:3" x14ac:dyDescent="0.25">
      <c r="A2125" s="98">
        <v>7.5192399564440597</v>
      </c>
      <c r="B2125">
        <v>2.13</v>
      </c>
      <c r="C2125">
        <v>1.96</v>
      </c>
    </row>
    <row r="2126" spans="1:3" x14ac:dyDescent="0.25">
      <c r="A2126" s="98">
        <v>7.5227842980899204</v>
      </c>
      <c r="B2126">
        <v>1.99</v>
      </c>
      <c r="C2126">
        <v>1.92</v>
      </c>
    </row>
    <row r="2127" spans="1:3" x14ac:dyDescent="0.25">
      <c r="A2127" s="98">
        <v>7.5263297698122402</v>
      </c>
      <c r="B2127">
        <v>1.92</v>
      </c>
      <c r="C2127">
        <v>1.86</v>
      </c>
    </row>
    <row r="2128" spans="1:3" x14ac:dyDescent="0.25">
      <c r="A2128" s="98">
        <v>7.5298726884579201</v>
      </c>
      <c r="B2128">
        <v>1.96</v>
      </c>
      <c r="C2128">
        <v>1.94</v>
      </c>
    </row>
    <row r="2129" spans="1:3" x14ac:dyDescent="0.25">
      <c r="A2129" s="98">
        <v>7.5334158230158996</v>
      </c>
      <c r="B2129">
        <v>1.88</v>
      </c>
      <c r="C2129">
        <v>1.88</v>
      </c>
    </row>
    <row r="2130" spans="1:3" x14ac:dyDescent="0.25">
      <c r="A2130" s="98">
        <v>7.53695874335037</v>
      </c>
      <c r="B2130">
        <v>2</v>
      </c>
      <c r="C2130">
        <v>1.94</v>
      </c>
    </row>
    <row r="2131" spans="1:3" x14ac:dyDescent="0.25">
      <c r="A2131" s="98">
        <v>7.5405017877673597</v>
      </c>
      <c r="B2131">
        <v>1.94</v>
      </c>
      <c r="C2131">
        <v>1.86</v>
      </c>
    </row>
    <row r="2132" spans="1:3" x14ac:dyDescent="0.25">
      <c r="A2132" s="98">
        <v>7.5440449223032697</v>
      </c>
      <c r="B2132">
        <v>1.98</v>
      </c>
      <c r="C2132">
        <v>1.95</v>
      </c>
    </row>
    <row r="2133" spans="1:3" x14ac:dyDescent="0.25">
      <c r="A2133" s="98">
        <v>7.5475881740892303</v>
      </c>
      <c r="B2133">
        <v>2.04</v>
      </c>
      <c r="C2133">
        <v>1.81</v>
      </c>
    </row>
    <row r="2134" spans="1:3" x14ac:dyDescent="0.25">
      <c r="A2134" s="98">
        <v>7.5511299980348996</v>
      </c>
      <c r="B2134">
        <v>1.94</v>
      </c>
      <c r="C2134">
        <v>1.92</v>
      </c>
    </row>
    <row r="2135" spans="1:3" x14ac:dyDescent="0.25">
      <c r="A2135" s="98">
        <v>7.5546739469247797</v>
      </c>
      <c r="B2135">
        <v>1.91</v>
      </c>
      <c r="C2135">
        <v>1.84</v>
      </c>
    </row>
    <row r="2136" spans="1:3" x14ac:dyDescent="0.25">
      <c r="A2136" s="98">
        <v>7.55821589076408</v>
      </c>
      <c r="B2136">
        <v>2</v>
      </c>
      <c r="C2136">
        <v>1.95</v>
      </c>
    </row>
    <row r="2137" spans="1:3" x14ac:dyDescent="0.25">
      <c r="A2137" s="98">
        <v>7.5617598389972098</v>
      </c>
      <c r="B2137">
        <v>2.02</v>
      </c>
      <c r="C2137">
        <v>1.82</v>
      </c>
    </row>
    <row r="2138" spans="1:3" x14ac:dyDescent="0.25">
      <c r="A2138" s="98">
        <v>7.5653020853024904</v>
      </c>
      <c r="B2138">
        <v>2.04</v>
      </c>
      <c r="C2138">
        <v>1.88</v>
      </c>
    </row>
    <row r="2139" spans="1:3" x14ac:dyDescent="0.25">
      <c r="A2139" s="98">
        <v>7.5688448640262598</v>
      </c>
      <c r="B2139">
        <v>2.0099999999999998</v>
      </c>
      <c r="C2139">
        <v>1.91</v>
      </c>
    </row>
    <row r="2140" spans="1:3" x14ac:dyDescent="0.25">
      <c r="A2140" s="98">
        <v>7.5723886351011398</v>
      </c>
      <c r="B2140">
        <v>1.99</v>
      </c>
      <c r="C2140">
        <v>1.85</v>
      </c>
    </row>
    <row r="2141" spans="1:3" x14ac:dyDescent="0.25">
      <c r="A2141" s="98">
        <v>7.5759313404339297</v>
      </c>
      <c r="B2141">
        <v>1.96</v>
      </c>
      <c r="C2141">
        <v>1.82</v>
      </c>
    </row>
    <row r="2142" spans="1:3" x14ac:dyDescent="0.25">
      <c r="A2142" s="98">
        <v>7.5794745098109599</v>
      </c>
      <c r="B2142">
        <v>1.92</v>
      </c>
      <c r="C2142">
        <v>1.77</v>
      </c>
    </row>
    <row r="2143" spans="1:3" x14ac:dyDescent="0.25">
      <c r="A2143" s="98">
        <v>7.5830174419890897</v>
      </c>
      <c r="B2143">
        <v>1.97</v>
      </c>
      <c r="C2143">
        <v>1.81</v>
      </c>
    </row>
    <row r="2144" spans="1:3" x14ac:dyDescent="0.25">
      <c r="A2144" s="98">
        <v>7.58656022183321</v>
      </c>
      <c r="B2144">
        <v>1.96</v>
      </c>
      <c r="C2144">
        <v>1.83</v>
      </c>
    </row>
    <row r="2145" spans="1:3" x14ac:dyDescent="0.25">
      <c r="A2145" s="98">
        <v>7.5901030119039303</v>
      </c>
      <c r="B2145">
        <v>2.02</v>
      </c>
      <c r="C2145">
        <v>1.9</v>
      </c>
    </row>
    <row r="2146" spans="1:3" x14ac:dyDescent="0.25">
      <c r="A2146" s="98">
        <v>7.5936460466572502</v>
      </c>
      <c r="B2146">
        <v>1.91</v>
      </c>
      <c r="C2146">
        <v>1.9</v>
      </c>
    </row>
    <row r="2147" spans="1:3" x14ac:dyDescent="0.25">
      <c r="A2147" s="98">
        <v>7.5971887058130001</v>
      </c>
      <c r="B2147">
        <v>1.89</v>
      </c>
      <c r="C2147">
        <v>1.85</v>
      </c>
    </row>
    <row r="2148" spans="1:3" x14ac:dyDescent="0.25">
      <c r="A2148" s="98">
        <v>7.6007327362122297</v>
      </c>
      <c r="B2148">
        <v>1.95</v>
      </c>
      <c r="C2148">
        <v>1.89</v>
      </c>
    </row>
    <row r="2149" spans="1:3" x14ac:dyDescent="0.25">
      <c r="A2149" s="98">
        <v>7.60427682608917</v>
      </c>
      <c r="B2149">
        <v>1.99</v>
      </c>
      <c r="C2149">
        <v>1.97</v>
      </c>
    </row>
    <row r="2150" spans="1:3" x14ac:dyDescent="0.25">
      <c r="A2150" s="98">
        <v>7.6078200950169999</v>
      </c>
      <c r="B2150">
        <v>1.96</v>
      </c>
      <c r="C2150">
        <v>1.84</v>
      </c>
    </row>
    <row r="2151" spans="1:3" x14ac:dyDescent="0.25">
      <c r="A2151" s="98">
        <v>7.6113633202126696</v>
      </c>
      <c r="B2151">
        <v>1.97</v>
      </c>
      <c r="C2151">
        <v>1.88</v>
      </c>
    </row>
    <row r="2152" spans="1:3" x14ac:dyDescent="0.25">
      <c r="A2152" s="98">
        <v>7.6149051273200197</v>
      </c>
      <c r="B2152">
        <v>1.98</v>
      </c>
      <c r="C2152">
        <v>1.87</v>
      </c>
    </row>
    <row r="2153" spans="1:3" x14ac:dyDescent="0.25">
      <c r="A2153" s="98">
        <v>7.6184484463378199</v>
      </c>
      <c r="B2153">
        <v>1.89</v>
      </c>
      <c r="C2153">
        <v>1.79</v>
      </c>
    </row>
    <row r="2154" spans="1:3" x14ac:dyDescent="0.25">
      <c r="A2154" s="98">
        <v>7.6219928211746302</v>
      </c>
      <c r="B2154">
        <v>2</v>
      </c>
      <c r="C2154">
        <v>1.88</v>
      </c>
    </row>
    <row r="2155" spans="1:3" x14ac:dyDescent="0.25">
      <c r="A2155" s="98">
        <v>7.6255378209771898</v>
      </c>
      <c r="B2155">
        <v>1.98</v>
      </c>
      <c r="C2155">
        <v>1.9</v>
      </c>
    </row>
    <row r="2156" spans="1:3" x14ac:dyDescent="0.25">
      <c r="A2156" s="98">
        <v>7.6290808489973898</v>
      </c>
      <c r="B2156">
        <v>2.0299999999999998</v>
      </c>
      <c r="C2156">
        <v>1.93</v>
      </c>
    </row>
    <row r="2157" spans="1:3" x14ac:dyDescent="0.25">
      <c r="A2157" s="98">
        <v>7.6326314987573296</v>
      </c>
      <c r="B2157">
        <v>2.0499999999999998</v>
      </c>
      <c r="C2157">
        <v>1.92</v>
      </c>
    </row>
    <row r="2158" spans="1:3" x14ac:dyDescent="0.25">
      <c r="A2158" s="98">
        <v>7.63617520640293</v>
      </c>
      <c r="B2158">
        <v>2</v>
      </c>
      <c r="C2158">
        <v>1.89</v>
      </c>
    </row>
    <row r="2159" spans="1:3" x14ac:dyDescent="0.25">
      <c r="A2159" s="98">
        <v>7.6397203754440497</v>
      </c>
      <c r="B2159">
        <v>1.95</v>
      </c>
      <c r="C2159">
        <v>1.85</v>
      </c>
    </row>
    <row r="2160" spans="1:3" x14ac:dyDescent="0.25">
      <c r="A2160" s="98">
        <v>7.6432643971840504</v>
      </c>
      <c r="B2160">
        <v>1.95</v>
      </c>
      <c r="C2160">
        <v>1.82</v>
      </c>
    </row>
    <row r="2161" spans="1:3" x14ac:dyDescent="0.25">
      <c r="A2161" s="98">
        <v>7.6468087161525498</v>
      </c>
      <c r="B2161">
        <v>1.91</v>
      </c>
      <c r="C2161">
        <v>1.83</v>
      </c>
    </row>
    <row r="2162" spans="1:3" x14ac:dyDescent="0.25">
      <c r="A2162" s="98">
        <v>7.65035255514361</v>
      </c>
      <c r="B2162">
        <v>1.98</v>
      </c>
      <c r="C2162">
        <v>1.89</v>
      </c>
    </row>
    <row r="2163" spans="1:3" x14ac:dyDescent="0.25">
      <c r="A2163" s="98">
        <v>7.6538960429529297</v>
      </c>
      <c r="B2163">
        <v>1.92</v>
      </c>
      <c r="C2163">
        <v>1.93</v>
      </c>
    </row>
    <row r="2164" spans="1:3" x14ac:dyDescent="0.25">
      <c r="A2164" s="98">
        <v>7.6574383374441499</v>
      </c>
      <c r="B2164">
        <v>1.93</v>
      </c>
      <c r="C2164">
        <v>1.94</v>
      </c>
    </row>
    <row r="2165" spans="1:3" x14ac:dyDescent="0.25">
      <c r="A2165" s="98">
        <v>7.6609799242019596</v>
      </c>
      <c r="B2165">
        <v>1.84</v>
      </c>
      <c r="C2165">
        <v>1.88</v>
      </c>
    </row>
    <row r="2166" spans="1:3" x14ac:dyDescent="0.25">
      <c r="A2166" s="98">
        <v>7.6645224141081103</v>
      </c>
      <c r="B2166">
        <v>1.93</v>
      </c>
      <c r="C2166">
        <v>1.84</v>
      </c>
    </row>
    <row r="2167" spans="1:3" x14ac:dyDescent="0.25">
      <c r="A2167" s="98">
        <v>7.6680655382959904</v>
      </c>
      <c r="B2167">
        <v>1.91</v>
      </c>
      <c r="C2167">
        <v>1.84</v>
      </c>
    </row>
    <row r="2168" spans="1:3" x14ac:dyDescent="0.25">
      <c r="A2168" s="98">
        <v>7.6716091240445703</v>
      </c>
      <c r="B2168">
        <v>1.89</v>
      </c>
      <c r="C2168">
        <v>1.84</v>
      </c>
    </row>
    <row r="2169" spans="1:3" x14ac:dyDescent="0.25">
      <c r="A2169" s="98">
        <v>7.6751532181655904</v>
      </c>
      <c r="B2169">
        <v>1.96</v>
      </c>
      <c r="C2169">
        <v>1.92</v>
      </c>
    </row>
    <row r="2170" spans="1:3" x14ac:dyDescent="0.25">
      <c r="A2170" s="98">
        <v>7.6786975776707598</v>
      </c>
      <c r="B2170">
        <v>1.97</v>
      </c>
      <c r="C2170">
        <v>1.79</v>
      </c>
    </row>
    <row r="2171" spans="1:3" x14ac:dyDescent="0.25">
      <c r="A2171" s="98">
        <v>7.6822412794773198</v>
      </c>
      <c r="B2171">
        <v>1.94</v>
      </c>
      <c r="C2171">
        <v>1.91</v>
      </c>
    </row>
    <row r="2172" spans="1:3" x14ac:dyDescent="0.25">
      <c r="A2172" s="98">
        <v>7.6857842975413302</v>
      </c>
      <c r="B2172">
        <v>1.85</v>
      </c>
      <c r="C2172">
        <v>1.8</v>
      </c>
    </row>
    <row r="2173" spans="1:3" x14ac:dyDescent="0.25">
      <c r="A2173" s="98">
        <v>7.6893282402775904</v>
      </c>
      <c r="B2173">
        <v>1.92</v>
      </c>
      <c r="C2173">
        <v>1.91</v>
      </c>
    </row>
    <row r="2174" spans="1:3" x14ac:dyDescent="0.25">
      <c r="A2174" s="98">
        <v>7.6928707357192403</v>
      </c>
      <c r="B2174">
        <v>1.93</v>
      </c>
      <c r="C2174">
        <v>1.87</v>
      </c>
    </row>
    <row r="2175" spans="1:3" x14ac:dyDescent="0.25">
      <c r="A2175" s="98">
        <v>7.6964138881641402</v>
      </c>
      <c r="B2175">
        <v>1.95</v>
      </c>
      <c r="C2175">
        <v>1.86</v>
      </c>
    </row>
    <row r="2176" spans="1:3" x14ac:dyDescent="0.25">
      <c r="A2176" s="98">
        <v>7.6999566695535604</v>
      </c>
      <c r="B2176">
        <v>1.98</v>
      </c>
      <c r="C2176">
        <v>1.84</v>
      </c>
    </row>
    <row r="2177" spans="1:3" x14ac:dyDescent="0.25">
      <c r="A2177" s="98">
        <v>7.7034957384621601</v>
      </c>
      <c r="B2177">
        <v>1.93</v>
      </c>
      <c r="C2177">
        <v>1.8</v>
      </c>
    </row>
    <row r="2178" spans="1:3" x14ac:dyDescent="0.25">
      <c r="A2178" s="98">
        <v>7.7070288678838104</v>
      </c>
      <c r="B2178">
        <v>1.97</v>
      </c>
      <c r="C2178">
        <v>1.86</v>
      </c>
    </row>
    <row r="2179" spans="1:3" x14ac:dyDescent="0.25">
      <c r="A2179" s="98">
        <v>7.7105614779337603</v>
      </c>
      <c r="B2179">
        <v>1.97</v>
      </c>
      <c r="C2179">
        <v>1.86</v>
      </c>
    </row>
    <row r="2180" spans="1:3" x14ac:dyDescent="0.25">
      <c r="A2180" s="98">
        <v>7.7140945375241596</v>
      </c>
      <c r="B2180">
        <v>1.93</v>
      </c>
      <c r="C2180">
        <v>1.77</v>
      </c>
    </row>
    <row r="2181" spans="1:3" x14ac:dyDescent="0.25">
      <c r="A2181" s="98">
        <v>7.7176276094328404</v>
      </c>
      <c r="B2181">
        <v>1.93</v>
      </c>
      <c r="C2181">
        <v>1.84</v>
      </c>
    </row>
    <row r="2182" spans="1:3" x14ac:dyDescent="0.25">
      <c r="A2182" s="98">
        <v>7.7211594617366703</v>
      </c>
      <c r="B2182">
        <v>1.9</v>
      </c>
      <c r="C2182">
        <v>1.81</v>
      </c>
    </row>
    <row r="2183" spans="1:3" x14ac:dyDescent="0.25">
      <c r="A2183" s="98">
        <v>7.7246931178702196</v>
      </c>
      <c r="B2183">
        <v>1.83</v>
      </c>
      <c r="C2183">
        <v>1.8</v>
      </c>
    </row>
    <row r="2184" spans="1:3" x14ac:dyDescent="0.25">
      <c r="A2184" s="98">
        <v>7.7282253844815196</v>
      </c>
      <c r="B2184">
        <v>1.86</v>
      </c>
      <c r="C2184">
        <v>1.8</v>
      </c>
    </row>
    <row r="2185" spans="1:3" x14ac:dyDescent="0.25">
      <c r="A2185" s="98">
        <v>7.7317588748203301</v>
      </c>
      <c r="B2185">
        <v>1.89</v>
      </c>
      <c r="C2185">
        <v>1.88</v>
      </c>
    </row>
    <row r="2186" spans="1:3" x14ac:dyDescent="0.25">
      <c r="A2186" s="98">
        <v>7.7352906252774902</v>
      </c>
      <c r="B2186">
        <v>1.78</v>
      </c>
      <c r="C2186">
        <v>1.81</v>
      </c>
    </row>
    <row r="2187" spans="1:3" x14ac:dyDescent="0.25">
      <c r="A2187" s="98">
        <v>7.7388238387582398</v>
      </c>
      <c r="B2187">
        <v>1.86</v>
      </c>
      <c r="C2187">
        <v>1.88</v>
      </c>
    </row>
    <row r="2188" spans="1:3" x14ac:dyDescent="0.25">
      <c r="A2188" s="98">
        <v>7.74235810715291</v>
      </c>
      <c r="B2188">
        <v>1.87</v>
      </c>
      <c r="C2188">
        <v>1.77</v>
      </c>
    </row>
    <row r="2189" spans="1:3" x14ac:dyDescent="0.25">
      <c r="A2189" s="98">
        <v>7.7459000264328903</v>
      </c>
      <c r="B2189">
        <v>1.84</v>
      </c>
      <c r="C2189">
        <v>1.78</v>
      </c>
    </row>
    <row r="2190" spans="1:3" x14ac:dyDescent="0.25">
      <c r="A2190" s="98">
        <v>7.7494429562378802</v>
      </c>
      <c r="B2190">
        <v>1.83</v>
      </c>
      <c r="C2190">
        <v>1.77</v>
      </c>
    </row>
    <row r="2191" spans="1:3" x14ac:dyDescent="0.25">
      <c r="A2191" s="98">
        <v>7.7529866005701003</v>
      </c>
      <c r="B2191">
        <v>1.86</v>
      </c>
      <c r="C2191">
        <v>1.76</v>
      </c>
    </row>
    <row r="2192" spans="1:3" x14ac:dyDescent="0.25">
      <c r="A2192" s="98">
        <v>7.7565291739779401</v>
      </c>
      <c r="B2192">
        <v>1.6</v>
      </c>
      <c r="C2192">
        <v>1.54</v>
      </c>
    </row>
    <row r="2193" spans="1:3" x14ac:dyDescent="0.25">
      <c r="A2193" s="98">
        <v>7.7600720604260696</v>
      </c>
      <c r="B2193">
        <v>1.79</v>
      </c>
      <c r="C2193">
        <v>1.74</v>
      </c>
    </row>
    <row r="2194" spans="1:3" x14ac:dyDescent="0.25">
      <c r="A2194" s="98">
        <v>7.7636162592746496</v>
      </c>
      <c r="B2194">
        <v>1.85</v>
      </c>
      <c r="C2194">
        <v>1.74</v>
      </c>
    </row>
    <row r="2195" spans="1:3" x14ac:dyDescent="0.25">
      <c r="A2195" s="98">
        <v>7.7671611650067298</v>
      </c>
      <c r="B2195">
        <v>1.84</v>
      </c>
      <c r="C2195">
        <v>1.74</v>
      </c>
    </row>
    <row r="2196" spans="1:3" x14ac:dyDescent="0.25">
      <c r="A2196" s="98">
        <v>7.7707039465175702</v>
      </c>
      <c r="B2196">
        <v>1.83</v>
      </c>
      <c r="C2196">
        <v>1.73</v>
      </c>
    </row>
    <row r="2197" spans="1:3" x14ac:dyDescent="0.25">
      <c r="A2197" s="98">
        <v>7.77424815171294</v>
      </c>
      <c r="B2197">
        <v>1.76</v>
      </c>
      <c r="C2197">
        <v>1.67</v>
      </c>
    </row>
    <row r="2198" spans="1:3" x14ac:dyDescent="0.25">
      <c r="A2198" s="98">
        <v>7.7777915726546798</v>
      </c>
      <c r="B2198">
        <v>1.78</v>
      </c>
      <c r="C2198">
        <v>1.71</v>
      </c>
    </row>
    <row r="2199" spans="1:3" x14ac:dyDescent="0.25">
      <c r="A2199" s="98">
        <v>7.78133569183173</v>
      </c>
      <c r="B2199">
        <v>1.71</v>
      </c>
      <c r="C2199">
        <v>1.69</v>
      </c>
    </row>
    <row r="2200" spans="1:3" x14ac:dyDescent="0.25">
      <c r="A2200" s="98">
        <v>7.7848798293206398</v>
      </c>
      <c r="B2200">
        <v>1.8</v>
      </c>
      <c r="C2200">
        <v>1.64</v>
      </c>
    </row>
    <row r="2201" spans="1:3" x14ac:dyDescent="0.25">
      <c r="A2201" s="98">
        <v>7.7884227076559096</v>
      </c>
      <c r="B2201">
        <v>1.74</v>
      </c>
      <c r="C2201">
        <v>1.75</v>
      </c>
    </row>
    <row r="2202" spans="1:3" x14ac:dyDescent="0.25">
      <c r="A2202" s="98">
        <v>7.7919680852746502</v>
      </c>
      <c r="B2202">
        <v>1.86</v>
      </c>
      <c r="C2202">
        <v>1.67</v>
      </c>
    </row>
    <row r="2203" spans="1:3" x14ac:dyDescent="0.25">
      <c r="A2203" s="98">
        <v>7.7955109000923404</v>
      </c>
      <c r="B2203">
        <v>1.79</v>
      </c>
      <c r="C2203">
        <v>1.61</v>
      </c>
    </row>
    <row r="2204" spans="1:3" x14ac:dyDescent="0.25">
      <c r="A2204" s="98">
        <v>7.7990539886278096</v>
      </c>
      <c r="B2204">
        <v>1.86</v>
      </c>
      <c r="C2204">
        <v>1.69</v>
      </c>
    </row>
    <row r="2205" spans="1:3" x14ac:dyDescent="0.25">
      <c r="A2205" s="98">
        <v>7.8025977804704896</v>
      </c>
      <c r="B2205">
        <v>1.83</v>
      </c>
      <c r="C2205">
        <v>1.69</v>
      </c>
    </row>
    <row r="2206" spans="1:3" x14ac:dyDescent="0.25">
      <c r="A2206" s="98">
        <v>7.8061406544954597</v>
      </c>
      <c r="B2206">
        <v>1.85</v>
      </c>
      <c r="C2206">
        <v>1.72</v>
      </c>
    </row>
    <row r="2207" spans="1:3" x14ac:dyDescent="0.25">
      <c r="A2207" s="98">
        <v>7.8096837354589299</v>
      </c>
      <c r="B2207">
        <v>1.8</v>
      </c>
      <c r="C2207">
        <v>1.69</v>
      </c>
    </row>
    <row r="2208" spans="1:3" x14ac:dyDescent="0.25">
      <c r="A2208" s="98">
        <v>7.8132256925547496</v>
      </c>
      <c r="B2208">
        <v>1.77</v>
      </c>
      <c r="C2208">
        <v>1.71</v>
      </c>
    </row>
    <row r="2209" spans="1:3" x14ac:dyDescent="0.25">
      <c r="A2209" s="98">
        <v>7.8167690872373399</v>
      </c>
      <c r="B2209">
        <v>1.77</v>
      </c>
      <c r="C2209">
        <v>1.71</v>
      </c>
    </row>
    <row r="2210" spans="1:3" x14ac:dyDescent="0.25">
      <c r="A2210" s="98">
        <v>7.8203131467379903</v>
      </c>
      <c r="B2210">
        <v>1.72</v>
      </c>
      <c r="C2210">
        <v>1.66</v>
      </c>
    </row>
    <row r="2211" spans="1:3" x14ac:dyDescent="0.25">
      <c r="A2211" s="98">
        <v>7.8238571693610197</v>
      </c>
      <c r="B2211">
        <v>1.76</v>
      </c>
      <c r="C2211">
        <v>1.7</v>
      </c>
    </row>
    <row r="2212" spans="1:3" x14ac:dyDescent="0.25">
      <c r="A2212" s="98">
        <v>7.8273999499502001</v>
      </c>
      <c r="B2212">
        <v>1.72</v>
      </c>
      <c r="C2212">
        <v>1.65</v>
      </c>
    </row>
    <row r="2213" spans="1:3" x14ac:dyDescent="0.25">
      <c r="A2213" s="98">
        <v>7.83094508131345</v>
      </c>
      <c r="B2213">
        <v>1.76</v>
      </c>
      <c r="C2213">
        <v>1.67</v>
      </c>
    </row>
    <row r="2214" spans="1:3" x14ac:dyDescent="0.25">
      <c r="A2214" s="98">
        <v>7.8344879261431801</v>
      </c>
      <c r="B2214">
        <v>1.8</v>
      </c>
      <c r="C2214">
        <v>1.69</v>
      </c>
    </row>
    <row r="2215" spans="1:3" x14ac:dyDescent="0.25">
      <c r="A2215" s="98">
        <v>7.8380307893123797</v>
      </c>
      <c r="B2215">
        <v>1.72</v>
      </c>
      <c r="C2215">
        <v>1.69</v>
      </c>
    </row>
    <row r="2216" spans="1:3" x14ac:dyDescent="0.25">
      <c r="A2216" s="98">
        <v>7.8415734535069301</v>
      </c>
      <c r="B2216">
        <v>1.76</v>
      </c>
      <c r="C2216">
        <v>1.76</v>
      </c>
    </row>
    <row r="2217" spans="1:3" x14ac:dyDescent="0.25">
      <c r="A2217" s="98">
        <v>7.84511438148993</v>
      </c>
      <c r="B2217">
        <v>1.73</v>
      </c>
      <c r="C2217">
        <v>1.73</v>
      </c>
    </row>
    <row r="2218" spans="1:3" x14ac:dyDescent="0.25">
      <c r="A2218" s="98">
        <v>7.8486584549424796</v>
      </c>
      <c r="B2218">
        <v>1.66</v>
      </c>
      <c r="C2218">
        <v>1.69</v>
      </c>
    </row>
    <row r="2219" spans="1:3" x14ac:dyDescent="0.25">
      <c r="A2219" s="98">
        <v>7.8522002638876396</v>
      </c>
      <c r="B2219">
        <v>1.74</v>
      </c>
      <c r="C2219">
        <v>1.65</v>
      </c>
    </row>
    <row r="2220" spans="1:3" x14ac:dyDescent="0.25">
      <c r="A2220" s="98">
        <v>7.8557433097837102</v>
      </c>
      <c r="B2220">
        <v>1.79</v>
      </c>
      <c r="C2220">
        <v>1.74</v>
      </c>
    </row>
    <row r="2221" spans="1:3" x14ac:dyDescent="0.25">
      <c r="A2221" s="98">
        <v>7.8592853800345299</v>
      </c>
      <c r="B2221">
        <v>1.79</v>
      </c>
      <c r="C2221">
        <v>1.74</v>
      </c>
    </row>
    <row r="2222" spans="1:3" x14ac:dyDescent="0.25">
      <c r="A2222" s="98">
        <v>7.8628303359393703</v>
      </c>
      <c r="B2222">
        <v>1.77</v>
      </c>
      <c r="C2222">
        <v>1.73</v>
      </c>
    </row>
    <row r="2223" spans="1:3" x14ac:dyDescent="0.25">
      <c r="A2223" s="98">
        <v>7.86637320197842</v>
      </c>
      <c r="B2223">
        <v>1.68</v>
      </c>
      <c r="C2223">
        <v>1.65</v>
      </c>
    </row>
    <row r="2224" spans="1:3" x14ac:dyDescent="0.25">
      <c r="A2224" s="98">
        <v>7.8699160513226598</v>
      </c>
      <c r="B2224">
        <v>1.77</v>
      </c>
      <c r="C2224">
        <v>1.68</v>
      </c>
    </row>
    <row r="2225" spans="1:3" x14ac:dyDescent="0.25">
      <c r="A2225" s="98">
        <v>7.87345870681383</v>
      </c>
      <c r="B2225">
        <v>1.7</v>
      </c>
      <c r="C2225">
        <v>1.71</v>
      </c>
    </row>
    <row r="2226" spans="1:3" x14ac:dyDescent="0.25">
      <c r="A2226" s="98">
        <v>7.8770018925545404</v>
      </c>
      <c r="B2226">
        <v>1.79</v>
      </c>
      <c r="C2226">
        <v>1.75</v>
      </c>
    </row>
    <row r="2227" spans="1:3" x14ac:dyDescent="0.25">
      <c r="A2227" s="98">
        <v>7.8805455623015197</v>
      </c>
      <c r="B2227">
        <v>1.73</v>
      </c>
      <c r="C2227">
        <v>1.77</v>
      </c>
    </row>
    <row r="2228" spans="1:3" x14ac:dyDescent="0.25">
      <c r="A2228" s="98">
        <v>7.8840896821463504</v>
      </c>
      <c r="B2228">
        <v>1.71</v>
      </c>
      <c r="C2228">
        <v>1.74</v>
      </c>
    </row>
    <row r="2229" spans="1:3" x14ac:dyDescent="0.25">
      <c r="A2229" s="98">
        <v>7.8876326911924002</v>
      </c>
      <c r="B2229">
        <v>1.75</v>
      </c>
      <c r="C2229">
        <v>1.79</v>
      </c>
    </row>
    <row r="2230" spans="1:3" x14ac:dyDescent="0.25">
      <c r="A2230" s="98">
        <v>7.8911756715509602</v>
      </c>
      <c r="B2230">
        <v>1.73</v>
      </c>
      <c r="C2230">
        <v>1.72</v>
      </c>
    </row>
    <row r="2231" spans="1:3" x14ac:dyDescent="0.25">
      <c r="A2231" s="98">
        <v>7.8947196039502199</v>
      </c>
      <c r="B2231">
        <v>1.69</v>
      </c>
      <c r="C2231">
        <v>1.78</v>
      </c>
    </row>
    <row r="2232" spans="1:3" x14ac:dyDescent="0.25">
      <c r="A2232" s="98">
        <v>7.8982624474333303</v>
      </c>
      <c r="B2232">
        <v>1.62</v>
      </c>
      <c r="C2232">
        <v>1.72</v>
      </c>
    </row>
    <row r="2233" spans="1:3" x14ac:dyDescent="0.25">
      <c r="A2233" s="98">
        <v>7.9018050474425099</v>
      </c>
      <c r="B2233">
        <v>1.72</v>
      </c>
      <c r="C2233">
        <v>1.66</v>
      </c>
    </row>
    <row r="2234" spans="1:3" x14ac:dyDescent="0.25">
      <c r="A2234" s="98">
        <v>7.9053501546934797</v>
      </c>
      <c r="B2234">
        <v>1.72</v>
      </c>
      <c r="C2234">
        <v>1.69</v>
      </c>
    </row>
    <row r="2235" spans="1:3" x14ac:dyDescent="0.25">
      <c r="A2235" s="98">
        <v>7.90889437795789</v>
      </c>
      <c r="B2235">
        <v>1.64</v>
      </c>
      <c r="C2235">
        <v>1.58</v>
      </c>
    </row>
    <row r="2236" spans="1:3" x14ac:dyDescent="0.25">
      <c r="A2236" s="98">
        <v>7.9124383529137603</v>
      </c>
      <c r="B2236">
        <v>1.79</v>
      </c>
      <c r="C2236">
        <v>1.66</v>
      </c>
    </row>
    <row r="2237" spans="1:3" x14ac:dyDescent="0.25">
      <c r="A2237" s="98">
        <v>7.9159851148503799</v>
      </c>
      <c r="B2237">
        <v>1.76</v>
      </c>
      <c r="C2237">
        <v>1.67</v>
      </c>
    </row>
    <row r="2238" spans="1:3" x14ac:dyDescent="0.25">
      <c r="A2238" s="98">
        <v>7.9195284024708803</v>
      </c>
      <c r="B2238">
        <v>1.77</v>
      </c>
      <c r="C2238">
        <v>1.62</v>
      </c>
    </row>
    <row r="2239" spans="1:3" x14ac:dyDescent="0.25">
      <c r="A2239" s="98">
        <v>7.9230712488845496</v>
      </c>
      <c r="B2239">
        <v>1.77</v>
      </c>
      <c r="C2239">
        <v>1.69</v>
      </c>
    </row>
    <row r="2240" spans="1:3" x14ac:dyDescent="0.25">
      <c r="A2240" s="98">
        <v>7.92661513267291</v>
      </c>
      <c r="B2240">
        <v>1.8</v>
      </c>
      <c r="C2240">
        <v>1.57</v>
      </c>
    </row>
    <row r="2241" spans="1:3" x14ac:dyDescent="0.25">
      <c r="A2241" s="98">
        <v>7.9301591905509898</v>
      </c>
      <c r="B2241">
        <v>1.74</v>
      </c>
      <c r="C2241">
        <v>1.6</v>
      </c>
    </row>
    <row r="2242" spans="1:3" x14ac:dyDescent="0.25">
      <c r="A2242" s="98">
        <v>7.9337023737474697</v>
      </c>
      <c r="B2242">
        <v>1.65</v>
      </c>
      <c r="C2242">
        <v>1.65</v>
      </c>
    </row>
    <row r="2243" spans="1:3" x14ac:dyDescent="0.25">
      <c r="A2243" s="98">
        <v>7.9372450754156798</v>
      </c>
      <c r="B2243">
        <v>1.73</v>
      </c>
      <c r="C2243">
        <v>1.63</v>
      </c>
    </row>
    <row r="2244" spans="1:3" x14ac:dyDescent="0.25">
      <c r="A2244" s="98">
        <v>7.94078917054114</v>
      </c>
      <c r="B2244">
        <v>1.79</v>
      </c>
      <c r="C2244">
        <v>1.73</v>
      </c>
    </row>
    <row r="2245" spans="1:3" x14ac:dyDescent="0.25">
      <c r="A2245" s="98">
        <v>7.9443316772083401</v>
      </c>
      <c r="B2245">
        <v>1.77</v>
      </c>
      <c r="C2245">
        <v>1.65</v>
      </c>
    </row>
    <row r="2246" spans="1:3" x14ac:dyDescent="0.25">
      <c r="A2246" s="98">
        <v>7.9478746518602996</v>
      </c>
      <c r="B2246">
        <v>1.64</v>
      </c>
      <c r="C2246">
        <v>1.64</v>
      </c>
    </row>
    <row r="2247" spans="1:3" x14ac:dyDescent="0.25">
      <c r="A2247" s="98">
        <v>7.9514189304245804</v>
      </c>
      <c r="B2247">
        <v>1.73</v>
      </c>
      <c r="C2247">
        <v>1.66</v>
      </c>
    </row>
    <row r="2248" spans="1:3" x14ac:dyDescent="0.25">
      <c r="A2248" s="98">
        <v>7.9549628771344798</v>
      </c>
      <c r="B2248">
        <v>1.63</v>
      </c>
      <c r="C2248">
        <v>1.73</v>
      </c>
    </row>
    <row r="2249" spans="1:3" x14ac:dyDescent="0.25">
      <c r="A2249" s="98">
        <v>7.9585063030708696</v>
      </c>
      <c r="B2249">
        <v>1.66</v>
      </c>
      <c r="C2249">
        <v>1.65</v>
      </c>
    </row>
    <row r="2250" spans="1:3" x14ac:dyDescent="0.25">
      <c r="A2250" s="98">
        <v>7.9620515874690403</v>
      </c>
      <c r="B2250">
        <v>1.71</v>
      </c>
      <c r="C2250">
        <v>1.57</v>
      </c>
    </row>
    <row r="2251" spans="1:3" x14ac:dyDescent="0.25">
      <c r="A2251" s="98">
        <v>7.96559569356066</v>
      </c>
      <c r="B2251">
        <v>1.62</v>
      </c>
      <c r="C2251">
        <v>1.57</v>
      </c>
    </row>
    <row r="2252" spans="1:3" x14ac:dyDescent="0.25">
      <c r="A2252" s="98">
        <v>7.9691376354131398</v>
      </c>
      <c r="B2252">
        <v>1.62</v>
      </c>
      <c r="C2252">
        <v>1.65</v>
      </c>
    </row>
    <row r="2253" spans="1:3" x14ac:dyDescent="0.25">
      <c r="A2253" s="98">
        <v>7.9726813151162998</v>
      </c>
      <c r="B2253">
        <v>1.55</v>
      </c>
      <c r="C2253">
        <v>1.63</v>
      </c>
    </row>
    <row r="2254" spans="1:3" x14ac:dyDescent="0.25">
      <c r="A2254" s="98">
        <v>7.9762251373518396</v>
      </c>
      <c r="B2254">
        <v>1.56</v>
      </c>
      <c r="C2254">
        <v>1.7</v>
      </c>
    </row>
    <row r="2255" spans="1:3" x14ac:dyDescent="0.25">
      <c r="A2255" s="98">
        <v>7.97976903223881</v>
      </c>
      <c r="B2255">
        <v>1.52</v>
      </c>
      <c r="C2255">
        <v>1.58</v>
      </c>
    </row>
    <row r="2256" spans="1:3" x14ac:dyDescent="0.25">
      <c r="A2256" s="98">
        <v>7.9833121347261802</v>
      </c>
      <c r="B2256">
        <v>1.57</v>
      </c>
      <c r="C2256">
        <v>1.64</v>
      </c>
    </row>
    <row r="2257" spans="1:3" x14ac:dyDescent="0.25">
      <c r="A2257" s="98">
        <v>7.9868563210357104</v>
      </c>
      <c r="B2257">
        <v>1.59</v>
      </c>
      <c r="C2257">
        <v>1.66</v>
      </c>
    </row>
    <row r="2258" spans="1:3" x14ac:dyDescent="0.25">
      <c r="A2258" s="98">
        <v>7.99040124248575</v>
      </c>
      <c r="B2258">
        <v>1.55</v>
      </c>
      <c r="C2258">
        <v>1.67</v>
      </c>
    </row>
    <row r="2259" spans="1:3" x14ac:dyDescent="0.25">
      <c r="A2259" s="98">
        <v>7.9939442862846199</v>
      </c>
      <c r="B2259">
        <v>1.57</v>
      </c>
      <c r="C2259">
        <v>1.67</v>
      </c>
    </row>
    <row r="2260" spans="1:3" x14ac:dyDescent="0.25">
      <c r="A2260" s="98">
        <v>7.9974891184160004</v>
      </c>
      <c r="B2260">
        <v>1.53</v>
      </c>
      <c r="C2260">
        <v>1.67</v>
      </c>
    </row>
    <row r="2261" spans="1:3" x14ac:dyDescent="0.25">
      <c r="A2261" s="98">
        <v>8.0010323011433595</v>
      </c>
      <c r="B2261">
        <v>1.53</v>
      </c>
      <c r="C2261">
        <v>1.63</v>
      </c>
    </row>
    <row r="2262" spans="1:3" x14ac:dyDescent="0.25">
      <c r="A2262" s="98">
        <v>8.0045744464518798</v>
      </c>
      <c r="B2262">
        <v>1.55</v>
      </c>
      <c r="C2262">
        <v>1.62</v>
      </c>
    </row>
    <row r="2263" spans="1:3" x14ac:dyDescent="0.25">
      <c r="A2263" s="98">
        <v>8.0081161686833209</v>
      </c>
      <c r="B2263">
        <v>1.56</v>
      </c>
      <c r="C2263">
        <v>1.63</v>
      </c>
    </row>
    <row r="2264" spans="1:3" x14ac:dyDescent="0.25">
      <c r="A2264" s="98">
        <v>8.0116579366447702</v>
      </c>
      <c r="B2264">
        <v>1.58</v>
      </c>
      <c r="C2264">
        <v>1.56</v>
      </c>
    </row>
    <row r="2265" spans="1:3" x14ac:dyDescent="0.25">
      <c r="A2265" s="98">
        <v>8.0152006506257507</v>
      </c>
      <c r="B2265">
        <v>1.64</v>
      </c>
      <c r="C2265">
        <v>1.69</v>
      </c>
    </row>
    <row r="2266" spans="1:3" x14ac:dyDescent="0.25">
      <c r="A2266" s="98">
        <v>8.0187435291431495</v>
      </c>
      <c r="B2266">
        <v>1.55</v>
      </c>
      <c r="C2266">
        <v>1.7</v>
      </c>
    </row>
    <row r="2267" spans="1:3" x14ac:dyDescent="0.25">
      <c r="A2267" s="98">
        <v>8.0222863906456308</v>
      </c>
      <c r="B2267">
        <v>1.6</v>
      </c>
      <c r="C2267">
        <v>1.71</v>
      </c>
    </row>
    <row r="2268" spans="1:3" x14ac:dyDescent="0.25">
      <c r="A2268" s="98">
        <v>8.0258291731719602</v>
      </c>
      <c r="B2268">
        <v>1.58</v>
      </c>
      <c r="C2268">
        <v>1.62</v>
      </c>
    </row>
    <row r="2269" spans="1:3" x14ac:dyDescent="0.25">
      <c r="A2269" s="98">
        <v>8.0293719268948909</v>
      </c>
      <c r="B2269">
        <v>1.6</v>
      </c>
      <c r="C2269">
        <v>1.66</v>
      </c>
    </row>
    <row r="2270" spans="1:3" x14ac:dyDescent="0.25">
      <c r="A2270" s="98">
        <v>8.0329145293599993</v>
      </c>
      <c r="B2270">
        <v>1.61</v>
      </c>
      <c r="C2270">
        <v>1.67</v>
      </c>
    </row>
    <row r="2271" spans="1:3" x14ac:dyDescent="0.25">
      <c r="A2271" s="98">
        <v>8.0364583361259196</v>
      </c>
      <c r="B2271">
        <v>1.65</v>
      </c>
      <c r="C2271">
        <v>1.64</v>
      </c>
    </row>
    <row r="2272" spans="1:3" x14ac:dyDescent="0.25">
      <c r="A2272" s="98">
        <v>8.0399994246164894</v>
      </c>
      <c r="B2272">
        <v>1.63</v>
      </c>
      <c r="C2272">
        <v>1.59</v>
      </c>
    </row>
    <row r="2273" spans="1:3" x14ac:dyDescent="0.25">
      <c r="A2273" s="98">
        <v>8.0435420303653693</v>
      </c>
      <c r="B2273">
        <v>1.6</v>
      </c>
      <c r="C2273">
        <v>1.56</v>
      </c>
    </row>
    <row r="2274" spans="1:3" x14ac:dyDescent="0.25">
      <c r="A2274" s="98">
        <v>8.0470869373005804</v>
      </c>
      <c r="B2274">
        <v>1.63</v>
      </c>
      <c r="C2274">
        <v>1.68</v>
      </c>
    </row>
    <row r="2275" spans="1:3" x14ac:dyDescent="0.25">
      <c r="A2275" s="98">
        <v>8.0506288936458201</v>
      </c>
      <c r="B2275">
        <v>1.58</v>
      </c>
      <c r="C2275">
        <v>1.56</v>
      </c>
    </row>
    <row r="2276" spans="1:3" x14ac:dyDescent="0.25">
      <c r="A2276" s="98">
        <v>8.0541730180051498</v>
      </c>
      <c r="B2276">
        <v>1.6</v>
      </c>
      <c r="C2276">
        <v>1.61</v>
      </c>
    </row>
    <row r="2277" spans="1:3" x14ac:dyDescent="0.25">
      <c r="A2277" s="98">
        <v>8.0577162093034502</v>
      </c>
      <c r="B2277">
        <v>1.6</v>
      </c>
      <c r="C2277">
        <v>1.63</v>
      </c>
    </row>
    <row r="2278" spans="1:3" x14ac:dyDescent="0.25">
      <c r="A2278" s="98">
        <v>8.0612577509217704</v>
      </c>
      <c r="B2278">
        <v>1.58</v>
      </c>
      <c r="C2278">
        <v>1.62</v>
      </c>
    </row>
    <row r="2279" spans="1:3" x14ac:dyDescent="0.25">
      <c r="A2279" s="98">
        <v>8.0648042577284293</v>
      </c>
      <c r="B2279">
        <v>1.6</v>
      </c>
      <c r="C2279">
        <v>1.65</v>
      </c>
    </row>
    <row r="2280" spans="1:3" x14ac:dyDescent="0.25">
      <c r="A2280" s="98">
        <v>8.0683457599690591</v>
      </c>
      <c r="B2280">
        <v>1.58</v>
      </c>
      <c r="C2280">
        <v>1.56</v>
      </c>
    </row>
    <row r="2281" spans="1:3" x14ac:dyDescent="0.25">
      <c r="A2281" s="98">
        <v>8.0718872742354808</v>
      </c>
      <c r="B2281">
        <v>1.52</v>
      </c>
      <c r="C2281">
        <v>1.5</v>
      </c>
    </row>
    <row r="2282" spans="1:3" x14ac:dyDescent="0.25">
      <c r="A2282" s="98">
        <v>8.0754303942289596</v>
      </c>
      <c r="B2282">
        <v>1.58</v>
      </c>
      <c r="C2282">
        <v>1.56</v>
      </c>
    </row>
    <row r="2283" spans="1:3" x14ac:dyDescent="0.25">
      <c r="A2283" s="98">
        <v>8.0789725642678896</v>
      </c>
      <c r="B2283">
        <v>1.66</v>
      </c>
      <c r="C2283">
        <v>1.59</v>
      </c>
    </row>
    <row r="2284" spans="1:3" x14ac:dyDescent="0.25">
      <c r="A2284" s="98">
        <v>8.0825152218783298</v>
      </c>
      <c r="B2284">
        <v>1.63</v>
      </c>
      <c r="C2284">
        <v>1.67</v>
      </c>
    </row>
    <row r="2285" spans="1:3" x14ac:dyDescent="0.25">
      <c r="A2285" s="98">
        <v>8.0860586890136705</v>
      </c>
      <c r="B2285">
        <v>1.65</v>
      </c>
      <c r="C2285">
        <v>1.64</v>
      </c>
    </row>
    <row r="2286" spans="1:3" x14ac:dyDescent="0.25">
      <c r="A2286" s="98">
        <v>8.0896027915234896</v>
      </c>
      <c r="B2286">
        <v>1.61</v>
      </c>
      <c r="C2286">
        <v>1.57</v>
      </c>
    </row>
    <row r="2287" spans="1:3" x14ac:dyDescent="0.25">
      <c r="A2287" s="98">
        <v>8.0931473345502596</v>
      </c>
      <c r="B2287">
        <v>1.6</v>
      </c>
      <c r="C2287">
        <v>1.57</v>
      </c>
    </row>
    <row r="2288" spans="1:3" x14ac:dyDescent="0.25">
      <c r="A2288" s="98">
        <v>8.0966911346658499</v>
      </c>
      <c r="B2288">
        <v>1.54</v>
      </c>
      <c r="C2288">
        <v>1.56</v>
      </c>
    </row>
    <row r="2289" spans="1:3" x14ac:dyDescent="0.25">
      <c r="A2289" s="98">
        <v>8.1002340312578003</v>
      </c>
      <c r="B2289">
        <v>1.65</v>
      </c>
      <c r="C2289">
        <v>1.59</v>
      </c>
    </row>
    <row r="2290" spans="1:3" x14ac:dyDescent="0.25">
      <c r="A2290" s="98">
        <v>8.1037764872941693</v>
      </c>
      <c r="B2290">
        <v>1.56</v>
      </c>
      <c r="C2290">
        <v>1.59</v>
      </c>
    </row>
    <row r="2291" spans="1:3" x14ac:dyDescent="0.25">
      <c r="A2291" s="98">
        <v>8.1073190155349302</v>
      </c>
      <c r="B2291">
        <v>1.64</v>
      </c>
      <c r="C2291">
        <v>1.62</v>
      </c>
    </row>
    <row r="2292" spans="1:3" x14ac:dyDescent="0.25">
      <c r="A2292" s="98">
        <v>8.1108619143510303</v>
      </c>
      <c r="B2292">
        <v>1.6</v>
      </c>
      <c r="C2292">
        <v>1.65</v>
      </c>
    </row>
    <row r="2293" spans="1:3" x14ac:dyDescent="0.25">
      <c r="A2293" s="98">
        <v>8.1144051233872201</v>
      </c>
      <c r="B2293">
        <v>1.68</v>
      </c>
      <c r="C2293">
        <v>1.7</v>
      </c>
    </row>
    <row r="2294" spans="1:3" x14ac:dyDescent="0.25">
      <c r="A2294" s="98">
        <v>8.1179492023421602</v>
      </c>
      <c r="B2294">
        <v>1.64</v>
      </c>
      <c r="C2294">
        <v>1.65</v>
      </c>
    </row>
    <row r="2295" spans="1:3" x14ac:dyDescent="0.25">
      <c r="A2295" s="98">
        <v>8.1214909207765693</v>
      </c>
      <c r="B2295">
        <v>1.59</v>
      </c>
      <c r="C2295">
        <v>1.54</v>
      </c>
    </row>
    <row r="2296" spans="1:3" x14ac:dyDescent="0.25">
      <c r="A2296" s="98">
        <v>8.1250339413517008</v>
      </c>
      <c r="B2296">
        <v>1.6</v>
      </c>
      <c r="C2296">
        <v>1.58</v>
      </c>
    </row>
    <row r="2297" spans="1:3" x14ac:dyDescent="0.25">
      <c r="A2297" s="98">
        <v>8.1285767697128897</v>
      </c>
      <c r="B2297">
        <v>1.66</v>
      </c>
      <c r="C2297">
        <v>1.66</v>
      </c>
    </row>
    <row r="2298" spans="1:3" x14ac:dyDescent="0.25">
      <c r="A2298" s="98">
        <v>8.1321188083290998</v>
      </c>
      <c r="B2298">
        <v>1.6</v>
      </c>
      <c r="C2298">
        <v>1.62</v>
      </c>
    </row>
    <row r="2299" spans="1:3" x14ac:dyDescent="0.25">
      <c r="A2299" s="98">
        <v>8.1356620308149701</v>
      </c>
      <c r="B2299">
        <v>1.6</v>
      </c>
      <c r="C2299">
        <v>1.66</v>
      </c>
    </row>
    <row r="2300" spans="1:3" x14ac:dyDescent="0.25">
      <c r="A2300" s="98">
        <v>8.1392050214442904</v>
      </c>
      <c r="B2300">
        <v>1.55</v>
      </c>
      <c r="C2300">
        <v>1.56</v>
      </c>
    </row>
    <row r="2301" spans="1:3" x14ac:dyDescent="0.25">
      <c r="A2301" s="98">
        <v>8.1427478145780299</v>
      </c>
      <c r="B2301">
        <v>1.6</v>
      </c>
      <c r="C2301">
        <v>1.54</v>
      </c>
    </row>
    <row r="2302" spans="1:3" x14ac:dyDescent="0.25">
      <c r="A2302" s="98">
        <v>8.1462912277215001</v>
      </c>
      <c r="B2302">
        <v>1.6</v>
      </c>
      <c r="C2302">
        <v>1.58</v>
      </c>
    </row>
    <row r="2303" spans="1:3" x14ac:dyDescent="0.25">
      <c r="A2303" s="98">
        <v>8.1498359118567496</v>
      </c>
      <c r="B2303">
        <v>1.64</v>
      </c>
      <c r="C2303">
        <v>1.57</v>
      </c>
    </row>
    <row r="2304" spans="1:3" x14ac:dyDescent="0.25">
      <c r="A2304" s="98">
        <v>8.1533782677297193</v>
      </c>
      <c r="B2304">
        <v>1.68</v>
      </c>
      <c r="C2304">
        <v>1.57</v>
      </c>
    </row>
    <row r="2305" spans="1:3" x14ac:dyDescent="0.25">
      <c r="A2305" s="98">
        <v>8.1569212515045102</v>
      </c>
      <c r="B2305">
        <v>1.6</v>
      </c>
      <c r="C2305">
        <v>1.55</v>
      </c>
    </row>
    <row r="2306" spans="1:3" x14ac:dyDescent="0.25">
      <c r="A2306" s="98">
        <v>8.1604654054398793</v>
      </c>
      <c r="B2306">
        <v>1.57</v>
      </c>
      <c r="C2306">
        <v>1.49</v>
      </c>
    </row>
    <row r="2307" spans="1:3" x14ac:dyDescent="0.25">
      <c r="A2307" s="98">
        <v>8.1640083822497598</v>
      </c>
      <c r="B2307">
        <v>1.62</v>
      </c>
      <c r="C2307">
        <v>1.52</v>
      </c>
    </row>
    <row r="2308" spans="1:3" x14ac:dyDescent="0.25">
      <c r="A2308" s="98">
        <v>8.1675539645442203</v>
      </c>
      <c r="B2308">
        <v>1.64</v>
      </c>
      <c r="C2308">
        <v>1.59</v>
      </c>
    </row>
    <row r="2309" spans="1:3" x14ac:dyDescent="0.25">
      <c r="A2309" s="98">
        <v>8.1710968282266805</v>
      </c>
      <c r="B2309">
        <v>1.55</v>
      </c>
      <c r="C2309">
        <v>1.48</v>
      </c>
    </row>
    <row r="2310" spans="1:3" x14ac:dyDescent="0.25">
      <c r="A2310" s="98">
        <v>8.1746415133332704</v>
      </c>
      <c r="B2310">
        <v>1.65</v>
      </c>
      <c r="C2310">
        <v>1.54</v>
      </c>
    </row>
    <row r="2311" spans="1:3" x14ac:dyDescent="0.25">
      <c r="A2311" s="98">
        <v>8.1781879751384192</v>
      </c>
      <c r="B2311">
        <v>1.56</v>
      </c>
      <c r="C2311">
        <v>1.51</v>
      </c>
    </row>
    <row r="2312" spans="1:3" x14ac:dyDescent="0.25">
      <c r="A2312" s="98">
        <v>8.1817335792272097</v>
      </c>
      <c r="B2312">
        <v>1.59</v>
      </c>
      <c r="C2312">
        <v>1.57</v>
      </c>
    </row>
    <row r="2313" spans="1:3" x14ac:dyDescent="0.25">
      <c r="A2313" s="98">
        <v>8.1852786159405007</v>
      </c>
      <c r="B2313">
        <v>1.54</v>
      </c>
      <c r="C2313">
        <v>1.52</v>
      </c>
    </row>
    <row r="2314" spans="1:3" x14ac:dyDescent="0.25">
      <c r="A2314" s="98">
        <v>8.1888224745072709</v>
      </c>
      <c r="B2314">
        <v>1.58</v>
      </c>
      <c r="C2314">
        <v>1.55</v>
      </c>
    </row>
    <row r="2315" spans="1:3" x14ac:dyDescent="0.25">
      <c r="A2315" s="98">
        <v>8.1923665941258204</v>
      </c>
      <c r="B2315">
        <v>1.56</v>
      </c>
      <c r="C2315">
        <v>1.56</v>
      </c>
    </row>
    <row r="2316" spans="1:3" x14ac:dyDescent="0.25">
      <c r="A2316" s="98">
        <v>8.1959078006446298</v>
      </c>
      <c r="B2316">
        <v>1.54</v>
      </c>
      <c r="C2316">
        <v>1.6</v>
      </c>
    </row>
    <row r="2317" spans="1:3" x14ac:dyDescent="0.25">
      <c r="A2317" s="98">
        <v>8.1994512390814407</v>
      </c>
      <c r="B2317">
        <v>1.61</v>
      </c>
      <c r="C2317">
        <v>1.54</v>
      </c>
    </row>
    <row r="2318" spans="1:3" x14ac:dyDescent="0.25">
      <c r="A2318" s="98">
        <v>8.2029963088863393</v>
      </c>
      <c r="B2318">
        <v>1.57</v>
      </c>
      <c r="C2318">
        <v>1.51</v>
      </c>
    </row>
    <row r="2319" spans="1:3" x14ac:dyDescent="0.25">
      <c r="A2319" s="98">
        <v>8.2065388960694801</v>
      </c>
      <c r="B2319">
        <v>1.54</v>
      </c>
      <c r="C2319">
        <v>1.54</v>
      </c>
    </row>
    <row r="2320" spans="1:3" x14ac:dyDescent="0.25">
      <c r="A2320" s="98">
        <v>8.21008229984729</v>
      </c>
      <c r="B2320">
        <v>1.6</v>
      </c>
      <c r="C2320">
        <v>1.57</v>
      </c>
    </row>
    <row r="2321" spans="1:3" x14ac:dyDescent="0.25">
      <c r="A2321" s="98">
        <v>8.2136249596156397</v>
      </c>
      <c r="B2321">
        <v>1.6</v>
      </c>
      <c r="C2321">
        <v>1.57</v>
      </c>
    </row>
    <row r="2322" spans="1:3" x14ac:dyDescent="0.25">
      <c r="A2322" s="98">
        <v>8.2171682858025505</v>
      </c>
      <c r="B2322">
        <v>1.53</v>
      </c>
      <c r="C2322">
        <v>1.44</v>
      </c>
    </row>
    <row r="2323" spans="1:3" x14ac:dyDescent="0.25">
      <c r="A2323" s="98">
        <v>8.2207123894768692</v>
      </c>
      <c r="B2323">
        <v>1.54</v>
      </c>
      <c r="C2323">
        <v>1.5</v>
      </c>
    </row>
    <row r="2324" spans="1:3" x14ac:dyDescent="0.25">
      <c r="A2324" s="98">
        <v>8.2242543128850194</v>
      </c>
      <c r="B2324">
        <v>1.59</v>
      </c>
      <c r="C2324">
        <v>1.5</v>
      </c>
    </row>
    <row r="2325" spans="1:3" x14ac:dyDescent="0.25">
      <c r="A2325" s="98">
        <v>8.2277972405597009</v>
      </c>
      <c r="B2325">
        <v>1.61</v>
      </c>
      <c r="C2325">
        <v>1.53</v>
      </c>
    </row>
    <row r="2326" spans="1:3" x14ac:dyDescent="0.25">
      <c r="A2326" s="98">
        <v>8.2313388864530399</v>
      </c>
      <c r="B2326">
        <v>1.56</v>
      </c>
      <c r="C2326">
        <v>1.45</v>
      </c>
    </row>
    <row r="2327" spans="1:3" x14ac:dyDescent="0.25">
      <c r="A2327" s="98">
        <v>8.2348828547751403</v>
      </c>
      <c r="B2327">
        <v>1.54</v>
      </c>
      <c r="C2327">
        <v>1.48</v>
      </c>
    </row>
    <row r="2328" spans="1:3" x14ac:dyDescent="0.25">
      <c r="A2328" s="98">
        <v>8.2384243907034396</v>
      </c>
      <c r="B2328">
        <v>1.58</v>
      </c>
      <c r="C2328">
        <v>1.48</v>
      </c>
    </row>
    <row r="2329" spans="1:3" x14ac:dyDescent="0.25">
      <c r="A2329" s="98">
        <v>8.24196719390374</v>
      </c>
      <c r="B2329">
        <v>1.52</v>
      </c>
      <c r="C2329">
        <v>1.5</v>
      </c>
    </row>
    <row r="2330" spans="1:3" x14ac:dyDescent="0.25">
      <c r="A2330" s="98">
        <v>8.2455110713508297</v>
      </c>
      <c r="B2330">
        <v>1.58</v>
      </c>
      <c r="C2330">
        <v>1.52</v>
      </c>
    </row>
    <row r="2331" spans="1:3" x14ac:dyDescent="0.25">
      <c r="A2331" s="98">
        <v>8.2490528838667601</v>
      </c>
      <c r="B2331">
        <v>1.54</v>
      </c>
      <c r="C2331">
        <v>1.44</v>
      </c>
    </row>
    <row r="2332" spans="1:3" x14ac:dyDescent="0.25">
      <c r="A2332" s="98">
        <v>8.2525947244299704</v>
      </c>
      <c r="B2332">
        <v>1.6</v>
      </c>
      <c r="C2332">
        <v>1.53</v>
      </c>
    </row>
    <row r="2333" spans="1:3" x14ac:dyDescent="0.25">
      <c r="A2333" s="98">
        <v>8.2561398972460491</v>
      </c>
      <c r="B2333">
        <v>1.55</v>
      </c>
      <c r="C2333">
        <v>1.54</v>
      </c>
    </row>
    <row r="2334" spans="1:3" x14ac:dyDescent="0.25">
      <c r="A2334" s="98">
        <v>8.2596814418887607</v>
      </c>
      <c r="B2334">
        <v>1.58</v>
      </c>
      <c r="C2334">
        <v>1.52</v>
      </c>
    </row>
    <row r="2335" spans="1:3" x14ac:dyDescent="0.25">
      <c r="A2335" s="98">
        <v>8.2632242336372492</v>
      </c>
      <c r="B2335">
        <v>1.55</v>
      </c>
      <c r="C2335">
        <v>1.45</v>
      </c>
    </row>
    <row r="2336" spans="1:3" x14ac:dyDescent="0.25">
      <c r="A2336" s="98">
        <v>8.2667669924155405</v>
      </c>
      <c r="B2336">
        <v>1.62</v>
      </c>
      <c r="C2336">
        <v>1.53</v>
      </c>
    </row>
    <row r="2337" spans="1:3" x14ac:dyDescent="0.25">
      <c r="A2337" s="98">
        <v>8.2703099382034004</v>
      </c>
      <c r="B2337">
        <v>1.54</v>
      </c>
      <c r="C2337">
        <v>1.47</v>
      </c>
    </row>
    <row r="2338" spans="1:3" x14ac:dyDescent="0.25">
      <c r="A2338" s="98">
        <v>8.2738538331455604</v>
      </c>
      <c r="B2338">
        <v>1.62</v>
      </c>
      <c r="C2338">
        <v>1.56</v>
      </c>
    </row>
    <row r="2339" spans="1:3" x14ac:dyDescent="0.25">
      <c r="A2339" s="98">
        <v>8.2773957457200193</v>
      </c>
      <c r="B2339">
        <v>1.58</v>
      </c>
      <c r="C2339">
        <v>1.53</v>
      </c>
    </row>
    <row r="2340" spans="1:3" x14ac:dyDescent="0.25">
      <c r="A2340" s="98">
        <v>8.2809412368690491</v>
      </c>
      <c r="B2340">
        <v>1.6</v>
      </c>
      <c r="C2340">
        <v>1.47</v>
      </c>
    </row>
    <row r="2341" spans="1:3" x14ac:dyDescent="0.25">
      <c r="A2341" s="98">
        <v>8.2844862692830699</v>
      </c>
      <c r="B2341">
        <v>1.59</v>
      </c>
      <c r="C2341">
        <v>1.53</v>
      </c>
    </row>
    <row r="2342" spans="1:3" x14ac:dyDescent="0.25">
      <c r="A2342" s="98">
        <v>8.2880305446463591</v>
      </c>
      <c r="B2342">
        <v>1.56</v>
      </c>
      <c r="C2342">
        <v>1.45</v>
      </c>
    </row>
    <row r="2343" spans="1:3" x14ac:dyDescent="0.25">
      <c r="A2343" s="98">
        <v>8.2915743781846896</v>
      </c>
      <c r="B2343">
        <v>1.62</v>
      </c>
      <c r="C2343">
        <v>1.52</v>
      </c>
    </row>
    <row r="2344" spans="1:3" x14ac:dyDescent="0.25">
      <c r="A2344" s="98">
        <v>8.2951170542008299</v>
      </c>
      <c r="B2344">
        <v>1.56</v>
      </c>
      <c r="C2344">
        <v>1.45</v>
      </c>
    </row>
    <row r="2345" spans="1:3" x14ac:dyDescent="0.25">
      <c r="A2345" s="98">
        <v>8.2986590642399207</v>
      </c>
      <c r="B2345">
        <v>1.57</v>
      </c>
      <c r="C2345">
        <v>1.48</v>
      </c>
    </row>
    <row r="2346" spans="1:3" x14ac:dyDescent="0.25">
      <c r="A2346" s="98">
        <v>8.3022027563110505</v>
      </c>
      <c r="B2346">
        <v>1.51</v>
      </c>
      <c r="C2346">
        <v>1.45</v>
      </c>
    </row>
    <row r="2347" spans="1:3" x14ac:dyDescent="0.25">
      <c r="A2347" s="98">
        <v>8.3057460001276606</v>
      </c>
      <c r="B2347">
        <v>1.55</v>
      </c>
      <c r="C2347">
        <v>1.54</v>
      </c>
    </row>
    <row r="2348" spans="1:3" x14ac:dyDescent="0.25">
      <c r="A2348" s="98">
        <v>8.3092880010328898</v>
      </c>
      <c r="B2348">
        <v>1.57</v>
      </c>
      <c r="C2348">
        <v>1.49</v>
      </c>
    </row>
    <row r="2349" spans="1:3" x14ac:dyDescent="0.25">
      <c r="A2349" s="98">
        <v>8.3128315692036203</v>
      </c>
      <c r="B2349">
        <v>1.52</v>
      </c>
      <c r="C2349">
        <v>1.53</v>
      </c>
    </row>
    <row r="2350" spans="1:3" x14ac:dyDescent="0.25">
      <c r="A2350" s="98">
        <v>8.3163742249431394</v>
      </c>
      <c r="B2350">
        <v>1.53</v>
      </c>
      <c r="C2350">
        <v>1.45</v>
      </c>
    </row>
    <row r="2351" spans="1:3" x14ac:dyDescent="0.25">
      <c r="A2351" s="98">
        <v>8.3199202024163998</v>
      </c>
      <c r="B2351">
        <v>1.52</v>
      </c>
      <c r="C2351">
        <v>1.46</v>
      </c>
    </row>
    <row r="2352" spans="1:3" x14ac:dyDescent="0.25">
      <c r="A2352" s="98">
        <v>8.3234622604813797</v>
      </c>
      <c r="B2352">
        <v>1.52</v>
      </c>
      <c r="C2352">
        <v>1.56</v>
      </c>
    </row>
    <row r="2353" spans="1:3" x14ac:dyDescent="0.25">
      <c r="A2353" s="98">
        <v>8.3270049332468599</v>
      </c>
      <c r="B2353">
        <v>1.48</v>
      </c>
      <c r="C2353">
        <v>1.49</v>
      </c>
    </row>
    <row r="2354" spans="1:3" x14ac:dyDescent="0.25">
      <c r="A2354" s="98">
        <v>8.3305469667028405</v>
      </c>
      <c r="B2354">
        <v>1.6</v>
      </c>
      <c r="C2354">
        <v>1.51</v>
      </c>
    </row>
    <row r="2355" spans="1:3" x14ac:dyDescent="0.25">
      <c r="A2355" s="98">
        <v>8.33408986232347</v>
      </c>
      <c r="B2355">
        <v>1.52</v>
      </c>
      <c r="C2355">
        <v>1.44</v>
      </c>
    </row>
    <row r="2356" spans="1:3" x14ac:dyDescent="0.25">
      <c r="A2356" s="98">
        <v>8.3376349548333195</v>
      </c>
      <c r="B2356">
        <v>1.57</v>
      </c>
      <c r="C2356">
        <v>1.47</v>
      </c>
    </row>
    <row r="2357" spans="1:3" x14ac:dyDescent="0.25">
      <c r="A2357" s="98">
        <v>8.3411778720551002</v>
      </c>
      <c r="B2357">
        <v>1.49</v>
      </c>
      <c r="C2357">
        <v>1.43</v>
      </c>
    </row>
    <row r="2358" spans="1:3" x14ac:dyDescent="0.25">
      <c r="A2358" s="98">
        <v>8.3447208408845803</v>
      </c>
      <c r="B2358">
        <v>1.55</v>
      </c>
      <c r="C2358">
        <v>1.44</v>
      </c>
    </row>
    <row r="2359" spans="1:3" x14ac:dyDescent="0.25">
      <c r="A2359" s="98">
        <v>8.3482636052314803</v>
      </c>
      <c r="B2359">
        <v>1.5</v>
      </c>
      <c r="C2359">
        <v>1.42</v>
      </c>
    </row>
    <row r="2360" spans="1:3" x14ac:dyDescent="0.25">
      <c r="A2360" s="98">
        <v>8.3518058886461706</v>
      </c>
      <c r="B2360">
        <v>1.57</v>
      </c>
      <c r="C2360">
        <v>1.42</v>
      </c>
    </row>
    <row r="2361" spans="1:3" x14ac:dyDescent="0.25">
      <c r="A2361" s="98">
        <v>8.3553474330736499</v>
      </c>
      <c r="B2361">
        <v>1.51</v>
      </c>
      <c r="C2361">
        <v>1.47</v>
      </c>
    </row>
    <row r="2362" spans="1:3" x14ac:dyDescent="0.25">
      <c r="A2362" s="98">
        <v>8.3588912448011001</v>
      </c>
      <c r="B2362">
        <v>1.53</v>
      </c>
      <c r="C2362">
        <v>1.47</v>
      </c>
    </row>
    <row r="2363" spans="1:3" x14ac:dyDescent="0.25">
      <c r="A2363" s="98">
        <v>8.3624351741649399</v>
      </c>
      <c r="B2363">
        <v>1.47</v>
      </c>
      <c r="C2363">
        <v>1.4</v>
      </c>
    </row>
    <row r="2364" spans="1:3" x14ac:dyDescent="0.25">
      <c r="A2364" s="98">
        <v>8.3659776151180196</v>
      </c>
      <c r="B2364">
        <v>1.44</v>
      </c>
      <c r="C2364">
        <v>1.43</v>
      </c>
    </row>
    <row r="2365" spans="1:3" x14ac:dyDescent="0.25">
      <c r="A2365" s="98">
        <v>8.3695204060441899</v>
      </c>
      <c r="B2365">
        <v>1.54</v>
      </c>
      <c r="C2365">
        <v>1.47</v>
      </c>
    </row>
    <row r="2366" spans="1:3" x14ac:dyDescent="0.25">
      <c r="A2366" s="98">
        <v>8.3730645778499202</v>
      </c>
      <c r="B2366">
        <v>1.54</v>
      </c>
      <c r="C2366">
        <v>1.46</v>
      </c>
    </row>
    <row r="2367" spans="1:3" x14ac:dyDescent="0.25">
      <c r="A2367" s="98">
        <v>8.3766061678031996</v>
      </c>
      <c r="B2367">
        <v>1.56</v>
      </c>
      <c r="C2367">
        <v>1.43</v>
      </c>
    </row>
    <row r="2368" spans="1:3" x14ac:dyDescent="0.25">
      <c r="A2368" s="98">
        <v>8.3801494034959205</v>
      </c>
      <c r="B2368">
        <v>1.51</v>
      </c>
      <c r="C2368">
        <v>1.43</v>
      </c>
    </row>
    <row r="2369" spans="1:3" x14ac:dyDescent="0.25">
      <c r="A2369" s="98">
        <v>8.3836925720616602</v>
      </c>
      <c r="B2369">
        <v>1.53</v>
      </c>
      <c r="C2369">
        <v>1.43</v>
      </c>
    </row>
    <row r="2370" spans="1:3" x14ac:dyDescent="0.25">
      <c r="A2370" s="98">
        <v>8.3872364087126794</v>
      </c>
      <c r="B2370">
        <v>1.56</v>
      </c>
      <c r="C2370">
        <v>1.5</v>
      </c>
    </row>
    <row r="2371" spans="1:3" x14ac:dyDescent="0.25">
      <c r="A2371" s="98">
        <v>8.3907793656377798</v>
      </c>
      <c r="B2371">
        <v>1.56</v>
      </c>
      <c r="C2371">
        <v>1.51</v>
      </c>
    </row>
    <row r="2372" spans="1:3" x14ac:dyDescent="0.25">
      <c r="A2372" s="98">
        <v>8.3943249158009294</v>
      </c>
      <c r="B2372">
        <v>1.52</v>
      </c>
      <c r="C2372">
        <v>1.48</v>
      </c>
    </row>
    <row r="2373" spans="1:3" x14ac:dyDescent="0.25">
      <c r="A2373" s="98">
        <v>8.3978693884776696</v>
      </c>
      <c r="B2373">
        <v>1.56</v>
      </c>
      <c r="C2373">
        <v>1.46</v>
      </c>
    </row>
    <row r="2374" spans="1:3" x14ac:dyDescent="0.25">
      <c r="A2374" s="98">
        <v>8.4014124259904506</v>
      </c>
      <c r="B2374">
        <v>1.55</v>
      </c>
      <c r="C2374">
        <v>1.44</v>
      </c>
    </row>
    <row r="2375" spans="1:3" x14ac:dyDescent="0.25">
      <c r="A2375" s="98">
        <v>8.4049571859891703</v>
      </c>
      <c r="B2375">
        <v>1.5</v>
      </c>
      <c r="C2375">
        <v>1.45</v>
      </c>
    </row>
    <row r="2376" spans="1:3" x14ac:dyDescent="0.25">
      <c r="A2376" s="98">
        <v>8.4085012772403296</v>
      </c>
      <c r="B2376">
        <v>1.52</v>
      </c>
      <c r="C2376">
        <v>1.44</v>
      </c>
    </row>
    <row r="2377" spans="1:3" x14ac:dyDescent="0.25">
      <c r="A2377" s="98">
        <v>8.4120454642010998</v>
      </c>
      <c r="B2377">
        <v>1.55</v>
      </c>
      <c r="C2377">
        <v>1.42</v>
      </c>
    </row>
    <row r="2378" spans="1:3" x14ac:dyDescent="0.25">
      <c r="A2378" s="98">
        <v>8.4155884536824797</v>
      </c>
      <c r="B2378">
        <v>1.53</v>
      </c>
      <c r="C2378">
        <v>1.43</v>
      </c>
    </row>
    <row r="2379" spans="1:3" x14ac:dyDescent="0.25">
      <c r="A2379" s="98">
        <v>8.4191310161352106</v>
      </c>
      <c r="B2379">
        <v>1.47</v>
      </c>
      <c r="C2379">
        <v>1.44</v>
      </c>
    </row>
    <row r="2380" spans="1:3" x14ac:dyDescent="0.25">
      <c r="A2380" s="98">
        <v>8.4226739493288303</v>
      </c>
      <c r="B2380">
        <v>1.5</v>
      </c>
      <c r="C2380">
        <v>1.5</v>
      </c>
    </row>
    <row r="2381" spans="1:3" x14ac:dyDescent="0.25">
      <c r="A2381" s="98">
        <v>8.4262159074125407</v>
      </c>
      <c r="B2381">
        <v>1.56</v>
      </c>
      <c r="C2381">
        <v>1.48</v>
      </c>
    </row>
    <row r="2382" spans="1:3" x14ac:dyDescent="0.25">
      <c r="A2382" s="98">
        <v>8.4297608542276699</v>
      </c>
      <c r="B2382">
        <v>1.5</v>
      </c>
      <c r="C2382">
        <v>1.51</v>
      </c>
    </row>
    <row r="2383" spans="1:3" x14ac:dyDescent="0.25">
      <c r="A2383" s="98">
        <v>8.4333046189116097</v>
      </c>
      <c r="B2383">
        <v>1.52</v>
      </c>
      <c r="C2383">
        <v>1.48</v>
      </c>
    </row>
    <row r="2384" spans="1:3" x14ac:dyDescent="0.25">
      <c r="A2384" s="98">
        <v>8.4368476964036603</v>
      </c>
      <c r="B2384">
        <v>1.49</v>
      </c>
      <c r="C2384">
        <v>1.51</v>
      </c>
    </row>
    <row r="2385" spans="1:3" x14ac:dyDescent="0.25">
      <c r="A2385" s="98">
        <v>8.4403905087378206</v>
      </c>
      <c r="B2385">
        <v>1.49</v>
      </c>
      <c r="C2385">
        <v>1.5</v>
      </c>
    </row>
    <row r="2386" spans="1:3" x14ac:dyDescent="0.25">
      <c r="A2386" s="98">
        <v>8.4439325893477104</v>
      </c>
      <c r="B2386">
        <v>1.49</v>
      </c>
      <c r="C2386">
        <v>1.4</v>
      </c>
    </row>
    <row r="2387" spans="1:3" x14ac:dyDescent="0.25">
      <c r="A2387" s="98">
        <v>8.44747650392077</v>
      </c>
      <c r="B2387">
        <v>1.53</v>
      </c>
      <c r="C2387">
        <v>1.52</v>
      </c>
    </row>
    <row r="2388" spans="1:3" x14ac:dyDescent="0.25">
      <c r="A2388" s="98">
        <v>8.4510210658885807</v>
      </c>
      <c r="B2388">
        <v>1.52</v>
      </c>
      <c r="C2388">
        <v>1.42</v>
      </c>
    </row>
    <row r="2389" spans="1:3" x14ac:dyDescent="0.25">
      <c r="A2389" s="98">
        <v>8.4545635396462906</v>
      </c>
      <c r="B2389">
        <v>1.57</v>
      </c>
      <c r="C2389">
        <v>1.51</v>
      </c>
    </row>
    <row r="2390" spans="1:3" x14ac:dyDescent="0.25">
      <c r="A2390" s="98">
        <v>8.4581046407090206</v>
      </c>
      <c r="B2390">
        <v>1.55</v>
      </c>
      <c r="C2390">
        <v>1.46</v>
      </c>
    </row>
    <row r="2391" spans="1:3" x14ac:dyDescent="0.25">
      <c r="A2391" s="98">
        <v>8.4616484402120093</v>
      </c>
      <c r="B2391">
        <v>1.49</v>
      </c>
      <c r="C2391">
        <v>1.42</v>
      </c>
    </row>
    <row r="2392" spans="1:3" x14ac:dyDescent="0.25">
      <c r="A2392" s="98">
        <v>8.4651912646161094</v>
      </c>
      <c r="B2392">
        <v>1.46</v>
      </c>
      <c r="C2392">
        <v>1.44</v>
      </c>
    </row>
    <row r="2393" spans="1:3" x14ac:dyDescent="0.25">
      <c r="A2393" s="98">
        <v>8.4687345119206903</v>
      </c>
      <c r="B2393">
        <v>1.48</v>
      </c>
      <c r="C2393">
        <v>1.46</v>
      </c>
    </row>
    <row r="2394" spans="1:3" x14ac:dyDescent="0.25">
      <c r="A2394" s="98">
        <v>8.4722775798759997</v>
      </c>
      <c r="B2394">
        <v>1.57</v>
      </c>
      <c r="C2394">
        <v>1.47</v>
      </c>
    </row>
    <row r="2395" spans="1:3" x14ac:dyDescent="0.25">
      <c r="A2395" s="98">
        <v>8.4758205474802697</v>
      </c>
      <c r="B2395">
        <v>1.49</v>
      </c>
      <c r="C2395">
        <v>1.46</v>
      </c>
    </row>
    <row r="2396" spans="1:3" x14ac:dyDescent="0.25">
      <c r="A2396" s="98">
        <v>8.4793648109888498</v>
      </c>
      <c r="B2396">
        <v>1.48</v>
      </c>
      <c r="C2396">
        <v>1.45</v>
      </c>
    </row>
    <row r="2397" spans="1:3" x14ac:dyDescent="0.25">
      <c r="A2397" s="98">
        <v>8.4829074990087001</v>
      </c>
      <c r="B2397">
        <v>1.48</v>
      </c>
      <c r="C2397">
        <v>1.36</v>
      </c>
    </row>
    <row r="2398" spans="1:3" x14ac:dyDescent="0.25">
      <c r="A2398" s="98">
        <v>8.4864505914957409</v>
      </c>
      <c r="B2398">
        <v>1.42</v>
      </c>
      <c r="C2398">
        <v>1.42</v>
      </c>
    </row>
    <row r="2399" spans="1:3" x14ac:dyDescent="0.25">
      <c r="A2399" s="98">
        <v>8.4899949715921093</v>
      </c>
      <c r="B2399">
        <v>1.45</v>
      </c>
      <c r="C2399">
        <v>1.42</v>
      </c>
    </row>
    <row r="2400" spans="1:3" x14ac:dyDescent="0.25">
      <c r="A2400" s="98">
        <v>8.4935389888120998</v>
      </c>
      <c r="B2400">
        <v>1.45</v>
      </c>
      <c r="C2400">
        <v>1.4</v>
      </c>
    </row>
    <row r="2401" spans="1:3" x14ac:dyDescent="0.25">
      <c r="A2401" s="98">
        <v>8.4970843643612302</v>
      </c>
      <c r="B2401">
        <v>1.43</v>
      </c>
      <c r="C2401">
        <v>1.42</v>
      </c>
    </row>
    <row r="2402" spans="1:3" x14ac:dyDescent="0.25">
      <c r="A2402" s="98">
        <v>8.50062596582152</v>
      </c>
      <c r="B2402">
        <v>1.41</v>
      </c>
      <c r="C2402">
        <v>1.43</v>
      </c>
    </row>
    <row r="2403" spans="1:3" x14ac:dyDescent="0.25">
      <c r="A2403" s="98">
        <v>8.5041701217933898</v>
      </c>
      <c r="B2403">
        <v>1.46</v>
      </c>
      <c r="C2403">
        <v>1.38</v>
      </c>
    </row>
    <row r="2404" spans="1:3" x14ac:dyDescent="0.25">
      <c r="A2404" s="98">
        <v>8.5077140292856406</v>
      </c>
      <c r="B2404">
        <v>1.49</v>
      </c>
      <c r="C2404">
        <v>1.43</v>
      </c>
    </row>
    <row r="2405" spans="1:3" x14ac:dyDescent="0.25">
      <c r="A2405" s="98">
        <v>8.5112563299856792</v>
      </c>
      <c r="B2405">
        <v>1.44</v>
      </c>
      <c r="C2405">
        <v>1.41</v>
      </c>
    </row>
    <row r="2406" spans="1:3" x14ac:dyDescent="0.25">
      <c r="A2406" s="98">
        <v>8.5147993612951698</v>
      </c>
      <c r="B2406">
        <v>1.5</v>
      </c>
      <c r="C2406">
        <v>1.39</v>
      </c>
    </row>
    <row r="2407" spans="1:3" x14ac:dyDescent="0.25">
      <c r="A2407" s="98">
        <v>8.5183444268559896</v>
      </c>
      <c r="B2407">
        <v>1.47</v>
      </c>
      <c r="C2407">
        <v>1.38</v>
      </c>
    </row>
    <row r="2408" spans="1:3" x14ac:dyDescent="0.25">
      <c r="A2408" s="98">
        <v>8.5218861417748304</v>
      </c>
      <c r="B2408">
        <v>1.5</v>
      </c>
      <c r="C2408">
        <v>1.37</v>
      </c>
    </row>
    <row r="2409" spans="1:3" x14ac:dyDescent="0.25">
      <c r="A2409" s="98">
        <v>8.5254276900986792</v>
      </c>
      <c r="B2409">
        <v>1.51</v>
      </c>
      <c r="C2409">
        <v>1.44</v>
      </c>
    </row>
    <row r="2410" spans="1:3" x14ac:dyDescent="0.25">
      <c r="A2410" s="98">
        <v>8.5289703276477393</v>
      </c>
      <c r="B2410">
        <v>1.43</v>
      </c>
      <c r="C2410">
        <v>1.39</v>
      </c>
    </row>
    <row r="2411" spans="1:3" x14ac:dyDescent="0.25">
      <c r="A2411" s="98">
        <v>8.5325146012008197</v>
      </c>
      <c r="B2411">
        <v>1.42</v>
      </c>
      <c r="C2411">
        <v>1.36</v>
      </c>
    </row>
    <row r="2412" spans="1:3" x14ac:dyDescent="0.25">
      <c r="A2412" s="98">
        <v>8.5360573003744609</v>
      </c>
      <c r="B2412">
        <v>1.43</v>
      </c>
      <c r="C2412">
        <v>1.39</v>
      </c>
    </row>
    <row r="2413" spans="1:3" x14ac:dyDescent="0.25">
      <c r="A2413" s="98">
        <v>8.5395991719045004</v>
      </c>
      <c r="B2413">
        <v>1.4</v>
      </c>
      <c r="C2413">
        <v>1.35</v>
      </c>
    </row>
    <row r="2414" spans="1:3" x14ac:dyDescent="0.25">
      <c r="A2414" s="98">
        <v>8.5431434380456199</v>
      </c>
      <c r="B2414">
        <v>1.4</v>
      </c>
      <c r="C2414">
        <v>1.41</v>
      </c>
    </row>
    <row r="2415" spans="1:3" x14ac:dyDescent="0.25">
      <c r="A2415" s="98">
        <v>8.5466862885543602</v>
      </c>
      <c r="B2415">
        <v>1.44</v>
      </c>
      <c r="C2415">
        <v>1.35</v>
      </c>
    </row>
    <row r="2416" spans="1:3" x14ac:dyDescent="0.25">
      <c r="A2416" s="98">
        <v>8.55022796906254</v>
      </c>
      <c r="B2416">
        <v>1.46</v>
      </c>
      <c r="C2416">
        <v>1.45</v>
      </c>
    </row>
    <row r="2417" spans="1:3" x14ac:dyDescent="0.25">
      <c r="A2417" s="98">
        <v>8.5537715497778493</v>
      </c>
      <c r="B2417">
        <v>1.4</v>
      </c>
      <c r="C2417">
        <v>1.42</v>
      </c>
    </row>
    <row r="2418" spans="1:3" x14ac:dyDescent="0.25">
      <c r="A2418" s="98">
        <v>8.5573141153377499</v>
      </c>
      <c r="B2418">
        <v>1.33</v>
      </c>
      <c r="C2418">
        <v>1.41</v>
      </c>
    </row>
    <row r="2419" spans="1:3" x14ac:dyDescent="0.25">
      <c r="A2419" s="98">
        <v>8.5608589715151808</v>
      </c>
      <c r="B2419">
        <v>1.3</v>
      </c>
      <c r="C2419">
        <v>1.34</v>
      </c>
    </row>
    <row r="2420" spans="1:3" x14ac:dyDescent="0.25">
      <c r="A2420" s="98">
        <v>8.5644040655151503</v>
      </c>
      <c r="B2420">
        <v>1.37</v>
      </c>
      <c r="C2420">
        <v>1.38</v>
      </c>
    </row>
    <row r="2421" spans="1:3" x14ac:dyDescent="0.25">
      <c r="A2421" s="98">
        <v>8.5679467079815996</v>
      </c>
      <c r="B2421">
        <v>1.44</v>
      </c>
      <c r="C2421">
        <v>1.35</v>
      </c>
    </row>
    <row r="2422" spans="1:3" x14ac:dyDescent="0.25">
      <c r="A2422" s="98">
        <v>8.5714909113612396</v>
      </c>
      <c r="B2422">
        <v>1.48</v>
      </c>
      <c r="C2422">
        <v>1.39</v>
      </c>
    </row>
    <row r="2423" spans="1:3" x14ac:dyDescent="0.25">
      <c r="A2423" s="98">
        <v>8.5750353936464698</v>
      </c>
      <c r="B2423">
        <v>1.43</v>
      </c>
      <c r="C2423">
        <v>1.44</v>
      </c>
    </row>
    <row r="2424" spans="1:3" x14ac:dyDescent="0.25">
      <c r="A2424" s="98">
        <v>8.57857976986854</v>
      </c>
      <c r="B2424">
        <v>1.49</v>
      </c>
      <c r="C2424">
        <v>1.37</v>
      </c>
    </row>
    <row r="2425" spans="1:3" x14ac:dyDescent="0.25">
      <c r="A2425" s="98">
        <v>8.5821216739603692</v>
      </c>
      <c r="B2425">
        <v>1.35</v>
      </c>
      <c r="C2425">
        <v>1.35</v>
      </c>
    </row>
    <row r="2426" spans="1:3" x14ac:dyDescent="0.25">
      <c r="A2426" s="98">
        <v>8.5856641027110498</v>
      </c>
      <c r="B2426">
        <v>1.31</v>
      </c>
      <c r="C2426">
        <v>1.31</v>
      </c>
    </row>
    <row r="2427" spans="1:3" x14ac:dyDescent="0.25">
      <c r="A2427" s="98">
        <v>8.5892084520889593</v>
      </c>
      <c r="B2427">
        <v>1.38</v>
      </c>
      <c r="C2427">
        <v>1.41</v>
      </c>
    </row>
    <row r="2428" spans="1:3" x14ac:dyDescent="0.25">
      <c r="A2428" s="98">
        <v>8.5927526635704208</v>
      </c>
      <c r="B2428">
        <v>1.33</v>
      </c>
      <c r="C2428">
        <v>1.36</v>
      </c>
    </row>
    <row r="2429" spans="1:3" x14ac:dyDescent="0.25">
      <c r="A2429" s="98">
        <v>8.5962946555183901</v>
      </c>
      <c r="B2429">
        <v>1.36</v>
      </c>
      <c r="C2429">
        <v>1.37</v>
      </c>
    </row>
    <row r="2430" spans="1:3" x14ac:dyDescent="0.25">
      <c r="A2430" s="98">
        <v>8.5998373994120794</v>
      </c>
      <c r="B2430">
        <v>1.46</v>
      </c>
      <c r="C2430">
        <v>1.43</v>
      </c>
    </row>
    <row r="2431" spans="1:3" x14ac:dyDescent="0.25">
      <c r="A2431" s="98">
        <v>8.6033810634524706</v>
      </c>
      <c r="B2431">
        <v>1.58</v>
      </c>
      <c r="C2431">
        <v>1.42</v>
      </c>
    </row>
    <row r="2432" spans="1:3" x14ac:dyDescent="0.25">
      <c r="A2432" s="98">
        <v>8.6069256714427897</v>
      </c>
      <c r="B2432">
        <v>1.39</v>
      </c>
      <c r="C2432">
        <v>1.31</v>
      </c>
    </row>
    <row r="2433" spans="1:3" x14ac:dyDescent="0.25">
      <c r="A2433" s="98">
        <v>8.6104672772023392</v>
      </c>
      <c r="B2433">
        <v>1.37</v>
      </c>
      <c r="C2433">
        <v>1.34</v>
      </c>
    </row>
    <row r="2434" spans="1:3" x14ac:dyDescent="0.25">
      <c r="A2434" s="98">
        <v>8.6140098969141601</v>
      </c>
      <c r="B2434">
        <v>1.48</v>
      </c>
      <c r="C2434">
        <v>1.45</v>
      </c>
    </row>
    <row r="2435" spans="1:3" x14ac:dyDescent="0.25">
      <c r="A2435" s="98">
        <v>8.6175528373486401</v>
      </c>
      <c r="B2435">
        <v>1.33</v>
      </c>
      <c r="C2435">
        <v>1.38</v>
      </c>
    </row>
    <row r="2436" spans="1:3" x14ac:dyDescent="0.25">
      <c r="A2436" s="98">
        <v>8.6210955822964497</v>
      </c>
      <c r="B2436">
        <v>1.36</v>
      </c>
      <c r="C2436">
        <v>1.35</v>
      </c>
    </row>
    <row r="2437" spans="1:3" x14ac:dyDescent="0.25">
      <c r="A2437" s="98">
        <v>8.6246372458835392</v>
      </c>
      <c r="B2437">
        <v>1.44</v>
      </c>
      <c r="C2437">
        <v>1.36</v>
      </c>
    </row>
    <row r="2438" spans="1:3" x14ac:dyDescent="0.25">
      <c r="A2438" s="98">
        <v>8.6281797249504795</v>
      </c>
      <c r="B2438">
        <v>1.46</v>
      </c>
      <c r="C2438">
        <v>1.39</v>
      </c>
    </row>
    <row r="2439" spans="1:3" x14ac:dyDescent="0.25">
      <c r="A2439" s="98">
        <v>8.6317237693292093</v>
      </c>
      <c r="B2439">
        <v>1.34</v>
      </c>
      <c r="C2439">
        <v>1.34</v>
      </c>
    </row>
    <row r="2440" spans="1:3" x14ac:dyDescent="0.25">
      <c r="A2440" s="98">
        <v>8.6352655742289794</v>
      </c>
      <c r="B2440">
        <v>1.37</v>
      </c>
      <c r="C2440">
        <v>1.35</v>
      </c>
    </row>
    <row r="2441" spans="1:3" x14ac:dyDescent="0.25">
      <c r="A2441" s="98">
        <v>8.6388086641165902</v>
      </c>
      <c r="B2441">
        <v>1.5</v>
      </c>
      <c r="C2441">
        <v>1.36</v>
      </c>
    </row>
    <row r="2442" spans="1:3" x14ac:dyDescent="0.25">
      <c r="A2442" s="98">
        <v>8.6423539269411993</v>
      </c>
      <c r="B2442">
        <v>1.44</v>
      </c>
      <c r="C2442">
        <v>1.33</v>
      </c>
    </row>
    <row r="2443" spans="1:3" x14ac:dyDescent="0.25">
      <c r="A2443" s="98">
        <v>8.6458961527767002</v>
      </c>
      <c r="B2443">
        <v>1.33</v>
      </c>
      <c r="C2443">
        <v>1.32</v>
      </c>
    </row>
    <row r="2444" spans="1:3" x14ac:dyDescent="0.25">
      <c r="A2444" s="98">
        <v>8.6494410882724608</v>
      </c>
      <c r="B2444">
        <v>1.4</v>
      </c>
      <c r="C2444">
        <v>1.36</v>
      </c>
    </row>
    <row r="2445" spans="1:3" x14ac:dyDescent="0.25">
      <c r="A2445" s="98">
        <v>8.6529832655356902</v>
      </c>
      <c r="B2445">
        <v>1.33</v>
      </c>
      <c r="C2445">
        <v>1.43</v>
      </c>
    </row>
    <row r="2446" spans="1:3" x14ac:dyDescent="0.25">
      <c r="A2446" s="98">
        <v>8.65652609179417</v>
      </c>
      <c r="B2446">
        <v>1.35</v>
      </c>
      <c r="C2446">
        <v>1.37</v>
      </c>
    </row>
    <row r="2447" spans="1:3" x14ac:dyDescent="0.25">
      <c r="A2447" s="98">
        <v>8.6600683411183095</v>
      </c>
      <c r="B2447">
        <v>1.41</v>
      </c>
      <c r="C2447">
        <v>1.36</v>
      </c>
    </row>
    <row r="2448" spans="1:3" x14ac:dyDescent="0.25">
      <c r="A2448" s="98">
        <v>8.6636123494252004</v>
      </c>
      <c r="B2448">
        <v>1.39</v>
      </c>
      <c r="C2448">
        <v>1.38</v>
      </c>
    </row>
    <row r="2449" spans="1:3" x14ac:dyDescent="0.25">
      <c r="A2449" s="98">
        <v>8.66715769155158</v>
      </c>
      <c r="B2449">
        <v>1.37</v>
      </c>
      <c r="C2449">
        <v>1.33</v>
      </c>
    </row>
    <row r="2450" spans="1:3" x14ac:dyDescent="0.25">
      <c r="A2450" s="98">
        <v>8.6707007886248597</v>
      </c>
      <c r="B2450">
        <v>1.39</v>
      </c>
      <c r="C2450">
        <v>1.4</v>
      </c>
    </row>
    <row r="2451" spans="1:3" x14ac:dyDescent="0.25">
      <c r="A2451" s="98">
        <v>8.67424353445017</v>
      </c>
      <c r="B2451">
        <v>1.34</v>
      </c>
      <c r="C2451">
        <v>1.35</v>
      </c>
    </row>
    <row r="2452" spans="1:3" x14ac:dyDescent="0.25">
      <c r="A2452" s="98">
        <v>8.6777911450355099</v>
      </c>
      <c r="B2452">
        <v>1.33</v>
      </c>
      <c r="C2452">
        <v>1.38</v>
      </c>
    </row>
    <row r="2453" spans="1:3" x14ac:dyDescent="0.25">
      <c r="A2453" s="98">
        <v>8.6813343609317499</v>
      </c>
      <c r="B2453">
        <v>1.4</v>
      </c>
      <c r="C2453">
        <v>1.39</v>
      </c>
    </row>
    <row r="2454" spans="1:3" x14ac:dyDescent="0.25">
      <c r="A2454" s="98">
        <v>8.6848759618567097</v>
      </c>
      <c r="B2454">
        <v>1.44</v>
      </c>
      <c r="C2454">
        <v>1.39</v>
      </c>
    </row>
    <row r="2455" spans="1:3" x14ac:dyDescent="0.25">
      <c r="A2455" s="98">
        <v>8.6884203266711104</v>
      </c>
      <c r="B2455">
        <v>1.34</v>
      </c>
      <c r="C2455">
        <v>1.4</v>
      </c>
    </row>
    <row r="2456" spans="1:3" x14ac:dyDescent="0.25">
      <c r="A2456" s="98">
        <v>8.6919645335332092</v>
      </c>
      <c r="B2456">
        <v>1.39</v>
      </c>
      <c r="C2456">
        <v>1.39</v>
      </c>
    </row>
    <row r="2457" spans="1:3" x14ac:dyDescent="0.25">
      <c r="A2457" s="98">
        <v>8.6955065737940593</v>
      </c>
      <c r="B2457">
        <v>1.45</v>
      </c>
      <c r="C2457">
        <v>1.37</v>
      </c>
    </row>
    <row r="2458" spans="1:3" x14ac:dyDescent="0.25">
      <c r="A2458" s="98">
        <v>8.6990489582662196</v>
      </c>
      <c r="B2458">
        <v>1.41</v>
      </c>
      <c r="C2458">
        <v>1.3</v>
      </c>
    </row>
    <row r="2459" spans="1:3" x14ac:dyDescent="0.25">
      <c r="A2459" s="98">
        <v>8.7025907068672002</v>
      </c>
      <c r="B2459">
        <v>1.39</v>
      </c>
      <c r="C2459">
        <v>1.35</v>
      </c>
    </row>
    <row r="2460" spans="1:3" x14ac:dyDescent="0.25">
      <c r="A2460" s="98">
        <v>8.7061368013697606</v>
      </c>
      <c r="B2460">
        <v>1.38</v>
      </c>
      <c r="C2460">
        <v>1.33</v>
      </c>
    </row>
    <row r="2461" spans="1:3" x14ac:dyDescent="0.25">
      <c r="A2461" s="98">
        <v>8.7096828659706595</v>
      </c>
      <c r="B2461">
        <v>1.37</v>
      </c>
      <c r="C2461">
        <v>1.34</v>
      </c>
    </row>
    <row r="2462" spans="1:3" x14ac:dyDescent="0.25">
      <c r="A2462" s="98">
        <v>8.7132262047959603</v>
      </c>
      <c r="B2462">
        <v>1.34</v>
      </c>
      <c r="C2462">
        <v>1.32</v>
      </c>
    </row>
    <row r="2463" spans="1:3" x14ac:dyDescent="0.25">
      <c r="A2463" s="98">
        <v>8.7167700738928904</v>
      </c>
      <c r="B2463">
        <v>1.37</v>
      </c>
      <c r="C2463">
        <v>1.37</v>
      </c>
    </row>
    <row r="2464" spans="1:3" x14ac:dyDescent="0.25">
      <c r="A2464" s="98">
        <v>8.7203110735780598</v>
      </c>
      <c r="B2464">
        <v>1.36</v>
      </c>
      <c r="C2464">
        <v>1.39</v>
      </c>
    </row>
    <row r="2465" spans="1:3" x14ac:dyDescent="0.25">
      <c r="A2465" s="98">
        <v>8.7238538799020908</v>
      </c>
      <c r="B2465">
        <v>1.42</v>
      </c>
      <c r="C2465">
        <v>1.39</v>
      </c>
    </row>
    <row r="2466" spans="1:3" x14ac:dyDescent="0.25">
      <c r="A2466" s="98">
        <v>8.7273965648313307</v>
      </c>
      <c r="B2466">
        <v>1.28</v>
      </c>
      <c r="C2466">
        <v>1.3</v>
      </c>
    </row>
    <row r="2467" spans="1:3" x14ac:dyDescent="0.25">
      <c r="A2467" s="98">
        <v>8.7309395828677498</v>
      </c>
      <c r="B2467">
        <v>1.32</v>
      </c>
      <c r="C2467">
        <v>1.25</v>
      </c>
    </row>
    <row r="2468" spans="1:3" x14ac:dyDescent="0.25">
      <c r="A2468" s="98">
        <v>8.7344832267860504</v>
      </c>
      <c r="B2468">
        <v>1.4</v>
      </c>
      <c r="C2468">
        <v>1.39</v>
      </c>
    </row>
    <row r="2469" spans="1:3" x14ac:dyDescent="0.25">
      <c r="A2469" s="98">
        <v>8.7380282738970294</v>
      </c>
      <c r="B2469">
        <v>1.4</v>
      </c>
      <c r="C2469">
        <v>1.29</v>
      </c>
    </row>
    <row r="2470" spans="1:3" x14ac:dyDescent="0.25">
      <c r="A2470" s="98">
        <v>8.7415695019783701</v>
      </c>
      <c r="B2470">
        <v>1.36</v>
      </c>
      <c r="C2470">
        <v>1.33</v>
      </c>
    </row>
    <row r="2471" spans="1:3" x14ac:dyDescent="0.25">
      <c r="A2471" s="98">
        <v>8.7451134040178999</v>
      </c>
      <c r="B2471">
        <v>1.31</v>
      </c>
      <c r="C2471">
        <v>1.33</v>
      </c>
    </row>
    <row r="2472" spans="1:3" x14ac:dyDescent="0.25">
      <c r="A2472" s="98">
        <v>8.7486576154220899</v>
      </c>
      <c r="B2472">
        <v>1.24</v>
      </c>
      <c r="C2472">
        <v>1.29</v>
      </c>
    </row>
    <row r="2473" spans="1:3" x14ac:dyDescent="0.25">
      <c r="A2473" s="98">
        <v>8.7521997056570306</v>
      </c>
      <c r="B2473">
        <v>1.34</v>
      </c>
      <c r="C2473">
        <v>1.28</v>
      </c>
    </row>
    <row r="2474" spans="1:3" x14ac:dyDescent="0.25">
      <c r="A2474" s="98">
        <v>8.75574279743212</v>
      </c>
      <c r="B2474">
        <v>1.24</v>
      </c>
      <c r="C2474">
        <v>1.24</v>
      </c>
    </row>
    <row r="2475" spans="1:3" x14ac:dyDescent="0.25">
      <c r="A2475" s="98">
        <v>8.7592854022869293</v>
      </c>
      <c r="B2475">
        <v>1.27</v>
      </c>
      <c r="C2475">
        <v>1.17</v>
      </c>
    </row>
    <row r="2476" spans="1:3" x14ac:dyDescent="0.25">
      <c r="A2476" s="98">
        <v>8.7628290907762594</v>
      </c>
      <c r="B2476">
        <v>1.42</v>
      </c>
      <c r="C2476">
        <v>1.25</v>
      </c>
    </row>
    <row r="2477" spans="1:3" x14ac:dyDescent="0.25">
      <c r="A2477" s="98">
        <v>8.7663742023982305</v>
      </c>
      <c r="B2477">
        <v>1.36</v>
      </c>
      <c r="C2477">
        <v>1.24</v>
      </c>
    </row>
    <row r="2478" spans="1:3" x14ac:dyDescent="0.25">
      <c r="A2478" s="98">
        <v>8.7699178116078702</v>
      </c>
      <c r="B2478">
        <v>1.37</v>
      </c>
      <c r="C2478">
        <v>1.31</v>
      </c>
    </row>
    <row r="2479" spans="1:3" x14ac:dyDescent="0.25">
      <c r="A2479" s="98">
        <v>8.7734595448054602</v>
      </c>
      <c r="B2479">
        <v>1.38</v>
      </c>
      <c r="C2479">
        <v>1.27</v>
      </c>
    </row>
    <row r="2480" spans="1:3" x14ac:dyDescent="0.25">
      <c r="A2480" s="98">
        <v>8.7770022718884295</v>
      </c>
      <c r="B2480">
        <v>1.27</v>
      </c>
      <c r="C2480">
        <v>1.17</v>
      </c>
    </row>
    <row r="2481" spans="1:3" x14ac:dyDescent="0.25">
      <c r="A2481" s="98">
        <v>8.78054514799957</v>
      </c>
      <c r="B2481">
        <v>1.3</v>
      </c>
      <c r="C2481">
        <v>1.23</v>
      </c>
    </row>
    <row r="2482" spans="1:3" x14ac:dyDescent="0.25">
      <c r="A2482" s="98">
        <v>8.7840878217584493</v>
      </c>
      <c r="B2482">
        <v>1.3</v>
      </c>
      <c r="C2482">
        <v>1.28</v>
      </c>
    </row>
    <row r="2483" spans="1:3" x14ac:dyDescent="0.25">
      <c r="A2483" s="98">
        <v>8.7876295027578308</v>
      </c>
      <c r="B2483">
        <v>1.27</v>
      </c>
      <c r="C2483">
        <v>1.21</v>
      </c>
    </row>
    <row r="2484" spans="1:3" x14ac:dyDescent="0.25">
      <c r="A2484" s="98">
        <v>8.7911724555326796</v>
      </c>
      <c r="B2484">
        <v>1.31</v>
      </c>
      <c r="C2484">
        <v>1.3</v>
      </c>
    </row>
    <row r="2485" spans="1:3" x14ac:dyDescent="0.25">
      <c r="A2485" s="98">
        <v>8.7947186220630407</v>
      </c>
      <c r="B2485">
        <v>1.27</v>
      </c>
      <c r="C2485">
        <v>1.21</v>
      </c>
    </row>
    <row r="2486" spans="1:3" x14ac:dyDescent="0.25">
      <c r="A2486" s="98">
        <v>8.7982611249607992</v>
      </c>
      <c r="B2486">
        <v>1.27</v>
      </c>
      <c r="C2486">
        <v>1.19</v>
      </c>
    </row>
    <row r="2487" spans="1:3" x14ac:dyDescent="0.25">
      <c r="A2487" s="98">
        <v>8.8018043000278592</v>
      </c>
      <c r="B2487">
        <v>1.1100000000000001</v>
      </c>
      <c r="C2487">
        <v>1.03</v>
      </c>
    </row>
    <row r="2488" spans="1:3" x14ac:dyDescent="0.25">
      <c r="A2488" s="98">
        <v>8.8053485625154408</v>
      </c>
      <c r="B2488">
        <v>1.27</v>
      </c>
      <c r="C2488">
        <v>1.1599999999999999</v>
      </c>
    </row>
    <row r="2489" spans="1:3" x14ac:dyDescent="0.25">
      <c r="A2489" s="98">
        <v>8.8088915235521608</v>
      </c>
      <c r="B2489">
        <v>1.36</v>
      </c>
      <c r="C2489">
        <v>1.23</v>
      </c>
    </row>
    <row r="2490" spans="1:3" x14ac:dyDescent="0.25">
      <c r="A2490" s="98">
        <v>8.8124240267000804</v>
      </c>
      <c r="B2490">
        <v>0.78</v>
      </c>
      <c r="C2490">
        <v>0</v>
      </c>
    </row>
    <row r="2491" spans="1:3" x14ac:dyDescent="0.25">
      <c r="A2491" s="98">
        <v>8.8159605645415908</v>
      </c>
      <c r="B2491">
        <v>0.96</v>
      </c>
      <c r="C2491">
        <v>0.97</v>
      </c>
    </row>
    <row r="2492" spans="1:3" x14ac:dyDescent="0.25">
      <c r="A2492" s="98">
        <v>8.8195036026449092</v>
      </c>
      <c r="B2492">
        <v>0.93</v>
      </c>
      <c r="C2492">
        <v>0.83</v>
      </c>
    </row>
    <row r="2493" spans="1:3" x14ac:dyDescent="0.25">
      <c r="A2493" s="98">
        <v>8.8230461456378304</v>
      </c>
      <c r="B2493">
        <v>0.96</v>
      </c>
      <c r="C2493">
        <v>0.82</v>
      </c>
    </row>
    <row r="2494" spans="1:3" x14ac:dyDescent="0.25">
      <c r="A2494" s="98">
        <v>8.8265916803699902</v>
      </c>
      <c r="B2494">
        <v>1.07</v>
      </c>
      <c r="C2494">
        <v>0.94</v>
      </c>
    </row>
    <row r="2495" spans="1:3" x14ac:dyDescent="0.25">
      <c r="A2495" s="98">
        <v>8.8301358387094897</v>
      </c>
      <c r="B2495">
        <v>1.1499999999999999</v>
      </c>
      <c r="C2495">
        <v>0.97</v>
      </c>
    </row>
    <row r="2496" spans="1:3" x14ac:dyDescent="0.25">
      <c r="A2496" s="98">
        <v>8.83367906471093</v>
      </c>
      <c r="B2496">
        <v>1.21</v>
      </c>
      <c r="C2496">
        <v>1.03</v>
      </c>
    </row>
    <row r="2497" spans="1:3" x14ac:dyDescent="0.25">
      <c r="A2497" s="98">
        <v>8.8372243662178498</v>
      </c>
      <c r="B2497">
        <v>1.1000000000000001</v>
      </c>
      <c r="C2497">
        <v>1.0900000000000001</v>
      </c>
    </row>
    <row r="2498" spans="1:3" x14ac:dyDescent="0.25">
      <c r="A2498" s="98">
        <v>8.8407694030967008</v>
      </c>
      <c r="B2498">
        <v>0</v>
      </c>
      <c r="C2498">
        <v>0</v>
      </c>
    </row>
    <row r="2499" spans="1:3" x14ac:dyDescent="0.25">
      <c r="A2499" s="98">
        <v>8.8443128558938096</v>
      </c>
      <c r="B2499">
        <v>0.98</v>
      </c>
      <c r="C2499">
        <v>0.99</v>
      </c>
    </row>
    <row r="2500" spans="1:3" x14ac:dyDescent="0.25">
      <c r="A2500" s="98">
        <v>8.8478546061449492</v>
      </c>
      <c r="B2500">
        <v>0.95</v>
      </c>
      <c r="C2500">
        <v>0.92</v>
      </c>
    </row>
    <row r="2501" spans="1:3" x14ac:dyDescent="0.25">
      <c r="A2501" s="98">
        <v>8.8513948976662409</v>
      </c>
      <c r="B2501">
        <v>1.03</v>
      </c>
      <c r="C2501">
        <v>1.05</v>
      </c>
    </row>
    <row r="2502" spans="1:3" x14ac:dyDescent="0.25">
      <c r="A2502" s="98">
        <v>8.8549344551066493</v>
      </c>
      <c r="B2502">
        <v>0.93</v>
      </c>
      <c r="C2502">
        <v>1.08</v>
      </c>
    </row>
    <row r="2503" spans="1:3" x14ac:dyDescent="0.25">
      <c r="A2503" s="98">
        <v>8.8584745428959497</v>
      </c>
      <c r="B2503">
        <v>0.93</v>
      </c>
      <c r="C2503">
        <v>1.0900000000000001</v>
      </c>
    </row>
    <row r="2504" spans="1:3" x14ac:dyDescent="0.25">
      <c r="A2504" s="98">
        <v>8.86201318308159</v>
      </c>
      <c r="B2504">
        <v>0.98</v>
      </c>
      <c r="C2504">
        <v>1.1399999999999999</v>
      </c>
    </row>
    <row r="2505" spans="1:3" x14ac:dyDescent="0.25">
      <c r="A2505" s="98">
        <v>8.8655533861893101</v>
      </c>
      <c r="B2505">
        <v>1.02</v>
      </c>
      <c r="C2505">
        <v>1.17</v>
      </c>
    </row>
    <row r="2506" spans="1:3" x14ac:dyDescent="0.25">
      <c r="A2506" s="98">
        <v>8.8690931694319897</v>
      </c>
      <c r="B2506">
        <v>1.05</v>
      </c>
      <c r="C2506">
        <v>1.18</v>
      </c>
    </row>
    <row r="2507" spans="1:3" x14ac:dyDescent="0.25">
      <c r="A2507" s="98">
        <v>8.8726325804712598</v>
      </c>
      <c r="B2507">
        <v>1.07</v>
      </c>
      <c r="C2507">
        <v>1.1499999999999999</v>
      </c>
    </row>
    <row r="2508" spans="1:3" x14ac:dyDescent="0.25">
      <c r="A2508" s="98">
        <v>8.8761731516100699</v>
      </c>
      <c r="B2508">
        <v>1.0900000000000001</v>
      </c>
      <c r="C2508">
        <v>1.18</v>
      </c>
    </row>
    <row r="2509" spans="1:3" x14ac:dyDescent="0.25">
      <c r="A2509" s="98">
        <v>8.8797123716164492</v>
      </c>
      <c r="B2509">
        <v>1.19</v>
      </c>
      <c r="C2509">
        <v>1.19</v>
      </c>
    </row>
    <row r="2510" spans="1:3" x14ac:dyDescent="0.25">
      <c r="A2510" s="98">
        <v>8.8832525696522602</v>
      </c>
      <c r="B2510">
        <v>1.25</v>
      </c>
      <c r="C2510">
        <v>1.02</v>
      </c>
    </row>
    <row r="2511" spans="1:3" x14ac:dyDescent="0.25">
      <c r="A2511" s="98">
        <v>8.8867920805789797</v>
      </c>
      <c r="B2511">
        <v>1.35</v>
      </c>
      <c r="C2511">
        <v>1.21</v>
      </c>
    </row>
    <row r="2512" spans="1:3" x14ac:dyDescent="0.25">
      <c r="A2512" s="98">
        <v>8.8903317494138498</v>
      </c>
      <c r="B2512">
        <v>1.3</v>
      </c>
      <c r="C2512">
        <v>1.22</v>
      </c>
    </row>
    <row r="2513" spans="1:3" x14ac:dyDescent="0.25">
      <c r="A2513" s="98">
        <v>8.8938728794897006</v>
      </c>
      <c r="B2513">
        <v>1.31</v>
      </c>
      <c r="C2513">
        <v>1.19</v>
      </c>
    </row>
    <row r="2514" spans="1:3" x14ac:dyDescent="0.25">
      <c r="A2514" s="98">
        <v>8.8974146647033798</v>
      </c>
      <c r="B2514">
        <v>1.1599999999999999</v>
      </c>
      <c r="C2514">
        <v>1.0900000000000001</v>
      </c>
    </row>
    <row r="2515" spans="1:3" x14ac:dyDescent="0.25">
      <c r="A2515" s="98">
        <v>8.9009554790346694</v>
      </c>
      <c r="B2515">
        <v>1.18</v>
      </c>
      <c r="C2515">
        <v>1.05</v>
      </c>
    </row>
    <row r="2516" spans="1:3" x14ac:dyDescent="0.25">
      <c r="A2516" s="98">
        <v>8.9044969113502201</v>
      </c>
      <c r="B2516">
        <v>1.23</v>
      </c>
      <c r="C2516">
        <v>1.07</v>
      </c>
    </row>
    <row r="2517" spans="1:3" x14ac:dyDescent="0.25">
      <c r="A2517" s="98">
        <v>8.9080364609426894</v>
      </c>
      <c r="B2517">
        <v>1.23</v>
      </c>
      <c r="C2517">
        <v>1.1100000000000001</v>
      </c>
    </row>
    <row r="2518" spans="1:3" x14ac:dyDescent="0.25">
      <c r="A2518" s="98">
        <v>8.9115770232015095</v>
      </c>
      <c r="B2518">
        <v>1.23</v>
      </c>
      <c r="C2518">
        <v>1.19</v>
      </c>
    </row>
    <row r="2519" spans="1:3" x14ac:dyDescent="0.25">
      <c r="A2519" s="98">
        <v>8.91511859398749</v>
      </c>
      <c r="B2519">
        <v>1.25</v>
      </c>
      <c r="C2519">
        <v>1.19</v>
      </c>
    </row>
    <row r="2520" spans="1:3" x14ac:dyDescent="0.25">
      <c r="A2520" s="98">
        <v>8.9186578034692303</v>
      </c>
      <c r="B2520">
        <v>1.22</v>
      </c>
      <c r="C2520">
        <v>1.1299999999999999</v>
      </c>
    </row>
    <row r="2521" spans="1:3" x14ac:dyDescent="0.25">
      <c r="A2521" s="98">
        <v>8.9221993171285696</v>
      </c>
      <c r="B2521">
        <v>1.29</v>
      </c>
      <c r="C2521">
        <v>1.1399999999999999</v>
      </c>
    </row>
    <row r="2522" spans="1:3" x14ac:dyDescent="0.25">
      <c r="A2522" s="98">
        <v>8.9257389003314298</v>
      </c>
      <c r="B2522">
        <v>1.28</v>
      </c>
      <c r="C2522">
        <v>1.1499999999999999</v>
      </c>
    </row>
    <row r="2523" spans="1:3" x14ac:dyDescent="0.25">
      <c r="A2523" s="98">
        <v>8.92927951803361</v>
      </c>
      <c r="B2523">
        <v>1.27</v>
      </c>
      <c r="C2523">
        <v>1.21</v>
      </c>
    </row>
    <row r="2524" spans="1:3" x14ac:dyDescent="0.25">
      <c r="A2524" s="98">
        <v>8.9328214653884892</v>
      </c>
      <c r="B2524">
        <v>1.27</v>
      </c>
      <c r="C2524">
        <v>1.18</v>
      </c>
    </row>
    <row r="2525" spans="1:3" x14ac:dyDescent="0.25">
      <c r="A2525" s="98">
        <v>8.9363634488979908</v>
      </c>
      <c r="B2525">
        <v>1.26</v>
      </c>
      <c r="C2525">
        <v>1.1499999999999999</v>
      </c>
    </row>
    <row r="2526" spans="1:3" x14ac:dyDescent="0.25">
      <c r="A2526" s="98">
        <v>8.9399041715540193</v>
      </c>
      <c r="B2526">
        <v>1.25</v>
      </c>
      <c r="C2526">
        <v>1.19</v>
      </c>
    </row>
    <row r="2527" spans="1:3" x14ac:dyDescent="0.25">
      <c r="A2527" s="98">
        <v>8.9434437888750296</v>
      </c>
      <c r="B2527">
        <v>1.2</v>
      </c>
      <c r="C2527">
        <v>1</v>
      </c>
    </row>
    <row r="2528" spans="1:3" x14ac:dyDescent="0.25">
      <c r="A2528" s="98">
        <v>8.9469833808750998</v>
      </c>
      <c r="B2528">
        <v>1.3</v>
      </c>
      <c r="C2528">
        <v>1.18</v>
      </c>
    </row>
    <row r="2529" spans="1:3" x14ac:dyDescent="0.25">
      <c r="A2529" s="98">
        <v>8.9505229739955094</v>
      </c>
      <c r="B2529">
        <v>1.1599999999999999</v>
      </c>
      <c r="C2529">
        <v>1.1599999999999999</v>
      </c>
    </row>
    <row r="2530" spans="1:3" x14ac:dyDescent="0.25">
      <c r="A2530" s="98">
        <v>8.9540634442093197</v>
      </c>
      <c r="B2530">
        <v>1.19</v>
      </c>
      <c r="C2530">
        <v>1.1499999999999999</v>
      </c>
    </row>
    <row r="2531" spans="1:3" x14ac:dyDescent="0.25">
      <c r="A2531" s="98">
        <v>8.9576029971573004</v>
      </c>
      <c r="B2531">
        <v>1.1299999999999999</v>
      </c>
      <c r="C2531">
        <v>1.07</v>
      </c>
    </row>
    <row r="2532" spans="1:3" x14ac:dyDescent="0.25">
      <c r="A2532" s="98">
        <v>8.9611450147573599</v>
      </c>
      <c r="B2532">
        <v>1.18</v>
      </c>
      <c r="C2532">
        <v>1.0900000000000001</v>
      </c>
    </row>
    <row r="2533" spans="1:3" x14ac:dyDescent="0.25">
      <c r="A2533" s="98">
        <v>8.9646857103098299</v>
      </c>
      <c r="B2533">
        <v>1.2</v>
      </c>
      <c r="C2533">
        <v>1.2</v>
      </c>
    </row>
    <row r="2534" spans="1:3" x14ac:dyDescent="0.25">
      <c r="A2534" s="98">
        <v>8.9682251920688998</v>
      </c>
      <c r="B2534">
        <v>1.22</v>
      </c>
      <c r="C2534">
        <v>1.0900000000000001</v>
      </c>
    </row>
    <row r="2535" spans="1:3" x14ac:dyDescent="0.25">
      <c r="A2535" s="98">
        <v>8.9717658555893909</v>
      </c>
      <c r="B2535">
        <v>1.1599999999999999</v>
      </c>
      <c r="C2535">
        <v>1.07</v>
      </c>
    </row>
    <row r="2536" spans="1:3" x14ac:dyDescent="0.25">
      <c r="A2536" s="98">
        <v>8.9753058944532107</v>
      </c>
      <c r="B2536">
        <v>1.23</v>
      </c>
      <c r="C2536">
        <v>1.0900000000000001</v>
      </c>
    </row>
    <row r="2537" spans="1:3" x14ac:dyDescent="0.25">
      <c r="A2537" s="98">
        <v>8.9788451481527698</v>
      </c>
      <c r="B2537">
        <v>1.26</v>
      </c>
      <c r="C2537">
        <v>1.1399999999999999</v>
      </c>
    </row>
    <row r="2538" spans="1:3" x14ac:dyDescent="0.25">
      <c r="A2538" s="98">
        <v>8.98238532237432</v>
      </c>
      <c r="B2538">
        <v>1.1499999999999999</v>
      </c>
      <c r="C2538">
        <v>1.1100000000000001</v>
      </c>
    </row>
    <row r="2539" spans="1:3" x14ac:dyDescent="0.25">
      <c r="A2539" s="98">
        <v>8.98592475029605</v>
      </c>
      <c r="B2539">
        <v>1.19</v>
      </c>
      <c r="C2539">
        <v>1.1100000000000001</v>
      </c>
    </row>
    <row r="2540" spans="1:3" x14ac:dyDescent="0.25">
      <c r="A2540" s="98">
        <v>8.9894659108751291</v>
      </c>
      <c r="B2540">
        <v>1.25</v>
      </c>
      <c r="C2540">
        <v>1.17</v>
      </c>
    </row>
    <row r="2541" spans="1:3" x14ac:dyDescent="0.25">
      <c r="A2541" s="98">
        <v>8.9930052455321494</v>
      </c>
      <c r="B2541">
        <v>1.0900000000000001</v>
      </c>
      <c r="C2541">
        <v>1.1399999999999999</v>
      </c>
    </row>
    <row r="2542" spans="1:3" x14ac:dyDescent="0.25">
      <c r="A2542" s="98">
        <v>8.9965469937081597</v>
      </c>
      <c r="B2542">
        <v>1.1599999999999999</v>
      </c>
      <c r="C2542">
        <v>1.1299999999999999</v>
      </c>
    </row>
    <row r="2543" spans="1:3" x14ac:dyDescent="0.25">
      <c r="A2543" s="98">
        <v>9.0000873561258601</v>
      </c>
      <c r="B2543">
        <v>1.17</v>
      </c>
      <c r="C2543">
        <v>1.1200000000000001</v>
      </c>
    </row>
    <row r="2544" spans="1:3" x14ac:dyDescent="0.25">
      <c r="A2544" s="98">
        <v>9.00362866698039</v>
      </c>
      <c r="B2544">
        <v>1.22</v>
      </c>
      <c r="C2544">
        <v>1.25</v>
      </c>
    </row>
    <row r="2545" spans="1:3" x14ac:dyDescent="0.25">
      <c r="A2545" s="98">
        <v>9.0071678864348801</v>
      </c>
      <c r="B2545">
        <v>1.21</v>
      </c>
      <c r="C2545">
        <v>1.1599999999999999</v>
      </c>
    </row>
    <row r="2546" spans="1:3" x14ac:dyDescent="0.25">
      <c r="A2546" s="98">
        <v>9.0107076184948198</v>
      </c>
      <c r="B2546">
        <v>1.17</v>
      </c>
      <c r="C2546">
        <v>1.1499999999999999</v>
      </c>
    </row>
    <row r="2547" spans="1:3" x14ac:dyDescent="0.25">
      <c r="A2547" s="98">
        <v>9.0142469097122007</v>
      </c>
      <c r="B2547">
        <v>1.1100000000000001</v>
      </c>
      <c r="C2547">
        <v>1.1599999999999999</v>
      </c>
    </row>
    <row r="2548" spans="1:3" x14ac:dyDescent="0.25">
      <c r="A2548" s="98">
        <v>9.0177922804763995</v>
      </c>
      <c r="B2548">
        <v>1.18</v>
      </c>
      <c r="C2548">
        <v>1.1399999999999999</v>
      </c>
    </row>
    <row r="2549" spans="1:3" x14ac:dyDescent="0.25">
      <c r="A2549" s="98">
        <v>9.0213315457933394</v>
      </c>
      <c r="B2549">
        <v>1.17</v>
      </c>
      <c r="C2549">
        <v>1.1499999999999999</v>
      </c>
    </row>
    <row r="2550" spans="1:3" x14ac:dyDescent="0.25">
      <c r="A2550" s="98">
        <v>9.02487364320843</v>
      </c>
      <c r="B2550">
        <v>1.18</v>
      </c>
      <c r="C2550">
        <v>1.1399999999999999</v>
      </c>
    </row>
    <row r="2551" spans="1:3" x14ac:dyDescent="0.25">
      <c r="A2551" s="98">
        <v>9.0284131910513903</v>
      </c>
      <c r="B2551">
        <v>1.2</v>
      </c>
      <c r="C2551">
        <v>1.1499999999999999</v>
      </c>
    </row>
    <row r="2552" spans="1:3" x14ac:dyDescent="0.25">
      <c r="A2552" s="98">
        <v>9.0319536327211907</v>
      </c>
      <c r="B2552">
        <v>1.21</v>
      </c>
      <c r="C2552">
        <v>1.18</v>
      </c>
    </row>
    <row r="2553" spans="1:3" x14ac:dyDescent="0.25">
      <c r="A2553" s="98">
        <v>9.0354939073876004</v>
      </c>
      <c r="B2553">
        <v>1.21</v>
      </c>
      <c r="C2553">
        <v>1.1200000000000001</v>
      </c>
    </row>
    <row r="2554" spans="1:3" x14ac:dyDescent="0.25">
      <c r="A2554" s="98">
        <v>9.0390343660060992</v>
      </c>
      <c r="B2554">
        <v>1.19</v>
      </c>
      <c r="C2554">
        <v>1.1499999999999999</v>
      </c>
    </row>
    <row r="2555" spans="1:3" x14ac:dyDescent="0.25">
      <c r="A2555" s="98">
        <v>9.0425727690259592</v>
      </c>
      <c r="B2555">
        <v>1.19</v>
      </c>
      <c r="C2555">
        <v>1.1599999999999999</v>
      </c>
    </row>
    <row r="2556" spans="1:3" x14ac:dyDescent="0.25">
      <c r="A2556" s="98">
        <v>9.0461158087573601</v>
      </c>
      <c r="B2556">
        <v>1.23</v>
      </c>
      <c r="C2556">
        <v>1.1499999999999999</v>
      </c>
    </row>
    <row r="2557" spans="1:3" x14ac:dyDescent="0.25">
      <c r="A2557" s="98">
        <v>9.0496578053854098</v>
      </c>
      <c r="B2557">
        <v>1.27</v>
      </c>
      <c r="C2557">
        <v>1.21</v>
      </c>
    </row>
    <row r="2558" spans="1:3" x14ac:dyDescent="0.25">
      <c r="A2558" s="98">
        <v>9.0531973777269794</v>
      </c>
      <c r="B2558">
        <v>1.17</v>
      </c>
      <c r="C2558">
        <v>1.08</v>
      </c>
    </row>
    <row r="2559" spans="1:3" x14ac:dyDescent="0.25">
      <c r="A2559" s="98">
        <v>9.0567367108883605</v>
      </c>
      <c r="B2559">
        <v>1.1599999999999999</v>
      </c>
      <c r="C2559">
        <v>1.19</v>
      </c>
    </row>
    <row r="2560" spans="1:3" x14ac:dyDescent="0.25">
      <c r="A2560" s="98">
        <v>9.0602760235965203</v>
      </c>
      <c r="B2560">
        <v>1.18</v>
      </c>
      <c r="C2560">
        <v>1.1599999999999999</v>
      </c>
    </row>
    <row r="2561" spans="1:3" x14ac:dyDescent="0.25">
      <c r="A2561" s="98">
        <v>9.0638161661448304</v>
      </c>
      <c r="B2561">
        <v>1.1599999999999999</v>
      </c>
      <c r="C2561">
        <v>1.1499999999999999</v>
      </c>
    </row>
    <row r="2562" spans="1:3" x14ac:dyDescent="0.25">
      <c r="A2562" s="98">
        <v>9.0673569978111299</v>
      </c>
      <c r="B2562">
        <v>1.1399999999999999</v>
      </c>
      <c r="C2562">
        <v>1.02</v>
      </c>
    </row>
    <row r="2563" spans="1:3" x14ac:dyDescent="0.25">
      <c r="A2563" s="98">
        <v>9.0708957266641903</v>
      </c>
      <c r="B2563">
        <v>1.1599999999999999</v>
      </c>
      <c r="C2563">
        <v>1.1599999999999999</v>
      </c>
    </row>
    <row r="2564" spans="1:3" x14ac:dyDescent="0.25">
      <c r="A2564" s="98">
        <v>9.0744366298505508</v>
      </c>
      <c r="B2564">
        <v>1.1399999999999999</v>
      </c>
      <c r="C2564">
        <v>1.08</v>
      </c>
    </row>
    <row r="2565" spans="1:3" x14ac:dyDescent="0.25">
      <c r="A2565" s="98">
        <v>9.0779768872923299</v>
      </c>
      <c r="B2565">
        <v>1.1599999999999999</v>
      </c>
      <c r="C2565">
        <v>1.1599999999999999</v>
      </c>
    </row>
    <row r="2566" spans="1:3" x14ac:dyDescent="0.25">
      <c r="A2566" s="98">
        <v>9.08151593471014</v>
      </c>
      <c r="B2566">
        <v>1.2</v>
      </c>
      <c r="C2566">
        <v>1.22</v>
      </c>
    </row>
    <row r="2567" spans="1:3" x14ac:dyDescent="0.25">
      <c r="A2567" s="98">
        <v>9.0850578758010094</v>
      </c>
      <c r="B2567">
        <v>1.1599999999999999</v>
      </c>
      <c r="C2567">
        <v>1.21</v>
      </c>
    </row>
    <row r="2568" spans="1:3" x14ac:dyDescent="0.25">
      <c r="A2568" s="98">
        <v>9.0885970686927902</v>
      </c>
      <c r="B2568">
        <v>1.1399999999999999</v>
      </c>
      <c r="C2568">
        <v>1.1399999999999999</v>
      </c>
    </row>
    <row r="2569" spans="1:3" x14ac:dyDescent="0.25">
      <c r="A2569" s="98">
        <v>9.0921384928568596</v>
      </c>
      <c r="B2569">
        <v>1.22</v>
      </c>
      <c r="C2569">
        <v>1.17</v>
      </c>
    </row>
    <row r="2570" spans="1:3" x14ac:dyDescent="0.25">
      <c r="A2570" s="98">
        <v>9.0956789730709993</v>
      </c>
      <c r="B2570">
        <v>1.1000000000000001</v>
      </c>
      <c r="C2570">
        <v>1.06</v>
      </c>
    </row>
    <row r="2571" spans="1:3" x14ac:dyDescent="0.25">
      <c r="A2571" s="98">
        <v>9.0992184901071909</v>
      </c>
      <c r="B2571">
        <v>1.1399999999999999</v>
      </c>
      <c r="C2571">
        <v>1.0900000000000001</v>
      </c>
    </row>
    <row r="2572" spans="1:3" x14ac:dyDescent="0.25">
      <c r="A2572" s="98">
        <v>9.1027593741372694</v>
      </c>
      <c r="B2572">
        <v>1.1100000000000001</v>
      </c>
      <c r="C2572">
        <v>1.1000000000000001</v>
      </c>
    </row>
    <row r="2573" spans="1:3" x14ac:dyDescent="0.25">
      <c r="A2573" s="98">
        <v>9.1062987940178903</v>
      </c>
      <c r="B2573">
        <v>1.1100000000000001</v>
      </c>
      <c r="C2573">
        <v>1.06</v>
      </c>
    </row>
    <row r="2574" spans="1:3" x14ac:dyDescent="0.25">
      <c r="A2574" s="98">
        <v>9.1098396132831194</v>
      </c>
      <c r="B2574">
        <v>1.1000000000000001</v>
      </c>
      <c r="C2574">
        <v>1.08</v>
      </c>
    </row>
    <row r="2575" spans="1:3" x14ac:dyDescent="0.25">
      <c r="A2575" s="98">
        <v>9.1133811438414707</v>
      </c>
      <c r="B2575">
        <v>1.1599999999999999</v>
      </c>
      <c r="C2575">
        <v>1.1499999999999999</v>
      </c>
    </row>
    <row r="2576" spans="1:3" x14ac:dyDescent="0.25">
      <c r="A2576" s="98">
        <v>9.1169219613958195</v>
      </c>
      <c r="B2576">
        <v>1.08</v>
      </c>
      <c r="C2576">
        <v>1.02</v>
      </c>
    </row>
    <row r="2577" spans="1:3" x14ac:dyDescent="0.25">
      <c r="A2577" s="98">
        <v>9.1204649418095691</v>
      </c>
      <c r="B2577">
        <v>1.0900000000000001</v>
      </c>
      <c r="C2577">
        <v>1.07</v>
      </c>
    </row>
    <row r="2578" spans="1:3" x14ac:dyDescent="0.25">
      <c r="A2578" s="98">
        <v>9.1240044691110107</v>
      </c>
      <c r="B2578">
        <v>1.1100000000000001</v>
      </c>
      <c r="C2578">
        <v>1.08</v>
      </c>
    </row>
    <row r="2579" spans="1:3" x14ac:dyDescent="0.25">
      <c r="A2579" s="98">
        <v>9.1275430553875498</v>
      </c>
      <c r="B2579">
        <v>1.1499999999999999</v>
      </c>
      <c r="C2579">
        <v>1.1000000000000001</v>
      </c>
    </row>
    <row r="2580" spans="1:3" x14ac:dyDescent="0.25">
      <c r="A2580" s="98">
        <v>9.1310835485546598</v>
      </c>
      <c r="B2580">
        <v>1.1100000000000001</v>
      </c>
      <c r="C2580">
        <v>1.1100000000000001</v>
      </c>
    </row>
    <row r="2581" spans="1:3" x14ac:dyDescent="0.25">
      <c r="A2581" s="98">
        <v>9.1346262738329305</v>
      </c>
      <c r="B2581">
        <v>1.05</v>
      </c>
      <c r="C2581">
        <v>1.04</v>
      </c>
    </row>
    <row r="2582" spans="1:3" x14ac:dyDescent="0.25">
      <c r="A2582" s="98">
        <v>9.1381659887951798</v>
      </c>
      <c r="B2582">
        <v>1.1599999999999999</v>
      </c>
      <c r="C2582">
        <v>1.1200000000000001</v>
      </c>
    </row>
    <row r="2583" spans="1:3" x14ac:dyDescent="0.25">
      <c r="A2583" s="98">
        <v>9.1417052806803394</v>
      </c>
      <c r="B2583">
        <v>1.1000000000000001</v>
      </c>
      <c r="C2583">
        <v>1.08</v>
      </c>
    </row>
    <row r="2584" spans="1:3" x14ac:dyDescent="0.25">
      <c r="A2584" s="98">
        <v>9.14524616320376</v>
      </c>
      <c r="B2584">
        <v>1.1100000000000001</v>
      </c>
      <c r="C2584">
        <v>1.1000000000000001</v>
      </c>
    </row>
    <row r="2585" spans="1:3" x14ac:dyDescent="0.25">
      <c r="A2585" s="98">
        <v>9.1487858947173297</v>
      </c>
      <c r="B2585">
        <v>1.07</v>
      </c>
      <c r="C2585">
        <v>1.07</v>
      </c>
    </row>
    <row r="2586" spans="1:3" x14ac:dyDescent="0.25">
      <c r="A2586" s="98">
        <v>9.1523289412591105</v>
      </c>
      <c r="B2586">
        <v>1.08</v>
      </c>
      <c r="C2586">
        <v>1.1499999999999999</v>
      </c>
    </row>
    <row r="2587" spans="1:3" x14ac:dyDescent="0.25">
      <c r="A2587" s="98">
        <v>9.1558704719057697</v>
      </c>
      <c r="B2587">
        <v>1.04</v>
      </c>
      <c r="C2587">
        <v>1.1000000000000001</v>
      </c>
    </row>
    <row r="2588" spans="1:3" x14ac:dyDescent="0.25">
      <c r="A2588" s="98">
        <v>9.1594100420232092</v>
      </c>
      <c r="B2588">
        <v>1.07</v>
      </c>
      <c r="C2588">
        <v>1.1000000000000001</v>
      </c>
    </row>
    <row r="2589" spans="1:3" x14ac:dyDescent="0.25">
      <c r="A2589" s="98">
        <v>9.1629501220142409</v>
      </c>
      <c r="B2589">
        <v>1.1399999999999999</v>
      </c>
      <c r="C2589">
        <v>1.07</v>
      </c>
    </row>
    <row r="2590" spans="1:3" x14ac:dyDescent="0.25">
      <c r="A2590" s="98">
        <v>9.1664910823879406</v>
      </c>
      <c r="B2590">
        <v>1.1399999999999999</v>
      </c>
      <c r="C2590">
        <v>1.08</v>
      </c>
    </row>
    <row r="2591" spans="1:3" x14ac:dyDescent="0.25">
      <c r="A2591" s="98">
        <v>9.1700324197830891</v>
      </c>
      <c r="B2591">
        <v>1.1200000000000001</v>
      </c>
      <c r="C2591">
        <v>1.1100000000000001</v>
      </c>
    </row>
    <row r="2592" spans="1:3" x14ac:dyDescent="0.25">
      <c r="A2592" s="98">
        <v>9.1735714229886103</v>
      </c>
      <c r="B2592">
        <v>1.1100000000000001</v>
      </c>
      <c r="C2592">
        <v>1.07</v>
      </c>
    </row>
    <row r="2593" spans="1:3" x14ac:dyDescent="0.25">
      <c r="A2593" s="98">
        <v>9.1771145193941006</v>
      </c>
      <c r="B2593">
        <v>1.02</v>
      </c>
      <c r="C2593">
        <v>1.06</v>
      </c>
    </row>
    <row r="2594" spans="1:3" x14ac:dyDescent="0.25">
      <c r="A2594" s="98">
        <v>9.1806536588569401</v>
      </c>
      <c r="B2594">
        <v>1.1100000000000001</v>
      </c>
      <c r="C2594">
        <v>1.06</v>
      </c>
    </row>
    <row r="2595" spans="1:3" x14ac:dyDescent="0.25">
      <c r="A2595" s="98">
        <v>9.1841966277195297</v>
      </c>
      <c r="B2595">
        <v>1.02</v>
      </c>
      <c r="C2595">
        <v>1.0900000000000001</v>
      </c>
    </row>
    <row r="2596" spans="1:3" x14ac:dyDescent="0.25">
      <c r="A2596" s="98">
        <v>9.1877395654994007</v>
      </c>
      <c r="B2596">
        <v>1.07</v>
      </c>
      <c r="C2596">
        <v>1.1100000000000001</v>
      </c>
    </row>
    <row r="2597" spans="1:3" x14ac:dyDescent="0.25">
      <c r="A2597" s="98">
        <v>9.19127877643262</v>
      </c>
      <c r="B2597">
        <v>1.1299999999999999</v>
      </c>
      <c r="C2597">
        <v>1.1000000000000001</v>
      </c>
    </row>
    <row r="2598" spans="1:3" x14ac:dyDescent="0.25">
      <c r="A2598" s="98">
        <v>9.19482054788757</v>
      </c>
      <c r="B2598">
        <v>1.1299999999999999</v>
      </c>
      <c r="C2598">
        <v>1.1499999999999999</v>
      </c>
    </row>
    <row r="2599" spans="1:3" x14ac:dyDescent="0.25">
      <c r="A2599" s="98">
        <v>9.1983630794949001</v>
      </c>
      <c r="B2599">
        <v>1.1200000000000001</v>
      </c>
      <c r="C2599">
        <v>1.04</v>
      </c>
    </row>
    <row r="2600" spans="1:3" x14ac:dyDescent="0.25">
      <c r="A2600" s="98">
        <v>9.2019051037011295</v>
      </c>
      <c r="B2600">
        <v>1.1200000000000001</v>
      </c>
      <c r="C2600">
        <v>1.07</v>
      </c>
    </row>
    <row r="2601" spans="1:3" x14ac:dyDescent="0.25">
      <c r="A2601" s="98">
        <v>9.2054434812951893</v>
      </c>
      <c r="B2601">
        <v>1.0900000000000001</v>
      </c>
      <c r="C2601">
        <v>1.04</v>
      </c>
    </row>
    <row r="2602" spans="1:3" x14ac:dyDescent="0.25">
      <c r="A2602" s="98">
        <v>9.2089846782662192</v>
      </c>
      <c r="B2602">
        <v>1.06</v>
      </c>
      <c r="C2602">
        <v>1.04</v>
      </c>
    </row>
    <row r="2603" spans="1:3" x14ac:dyDescent="0.25">
      <c r="A2603" s="98">
        <v>9.2125251599594407</v>
      </c>
      <c r="B2603">
        <v>1.1200000000000001</v>
      </c>
      <c r="C2603">
        <v>1.0900000000000001</v>
      </c>
    </row>
    <row r="2604" spans="1:3" x14ac:dyDescent="0.25">
      <c r="A2604" s="98">
        <v>9.2160657524896905</v>
      </c>
      <c r="B2604">
        <v>1.0900000000000001</v>
      </c>
      <c r="C2604">
        <v>1.07</v>
      </c>
    </row>
    <row r="2605" spans="1:3" x14ac:dyDescent="0.25">
      <c r="A2605" s="98">
        <v>9.2196041711833701</v>
      </c>
      <c r="B2605">
        <v>1.06</v>
      </c>
      <c r="C2605">
        <v>1.04</v>
      </c>
    </row>
    <row r="2606" spans="1:3" x14ac:dyDescent="0.25">
      <c r="A2606" s="98">
        <v>9.2231434976723392</v>
      </c>
      <c r="B2606">
        <v>1.05</v>
      </c>
      <c r="C2606">
        <v>1.1100000000000001</v>
      </c>
    </row>
    <row r="2607" spans="1:3" x14ac:dyDescent="0.25">
      <c r="A2607" s="98">
        <v>9.2266860564770496</v>
      </c>
      <c r="B2607">
        <v>1</v>
      </c>
      <c r="C2607">
        <v>1.06</v>
      </c>
    </row>
    <row r="2608" spans="1:3" x14ac:dyDescent="0.25">
      <c r="A2608" s="98">
        <v>9.2302255253880094</v>
      </c>
      <c r="B2608">
        <v>1.03</v>
      </c>
      <c r="C2608">
        <v>1.01</v>
      </c>
    </row>
    <row r="2609" spans="1:3" x14ac:dyDescent="0.25">
      <c r="A2609" s="98">
        <v>9.2337658175991599</v>
      </c>
      <c r="B2609">
        <v>1.03</v>
      </c>
      <c r="C2609">
        <v>1.05</v>
      </c>
    </row>
    <row r="2610" spans="1:3" x14ac:dyDescent="0.25">
      <c r="A2610" s="98">
        <v>9.23729818693465</v>
      </c>
      <c r="B2610">
        <v>1.06</v>
      </c>
      <c r="C2610">
        <v>1.05</v>
      </c>
    </row>
    <row r="2611" spans="1:3" x14ac:dyDescent="0.25">
      <c r="A2611" s="98">
        <v>9.2408314310731701</v>
      </c>
      <c r="B2611">
        <v>1.03</v>
      </c>
      <c r="C2611">
        <v>1.1100000000000001</v>
      </c>
    </row>
    <row r="2612" spans="1:3" x14ac:dyDescent="0.25">
      <c r="A2612" s="98">
        <v>9.2443641047124494</v>
      </c>
      <c r="B2612">
        <v>1.01</v>
      </c>
      <c r="C2612">
        <v>1.02</v>
      </c>
    </row>
    <row r="2613" spans="1:3" x14ac:dyDescent="0.25">
      <c r="A2613" s="98">
        <v>9.2478965732675995</v>
      </c>
      <c r="B2613">
        <v>1.0900000000000001</v>
      </c>
      <c r="C2613">
        <v>1.1200000000000001</v>
      </c>
    </row>
    <row r="2614" spans="1:3" x14ac:dyDescent="0.25">
      <c r="A2614" s="98">
        <v>9.2514290880549801</v>
      </c>
      <c r="B2614">
        <v>1.19</v>
      </c>
      <c r="C2614">
        <v>1.1100000000000001</v>
      </c>
    </row>
    <row r="2615" spans="1:3" x14ac:dyDescent="0.25">
      <c r="A2615" s="98">
        <v>9.2549637593604803</v>
      </c>
      <c r="B2615">
        <v>1.1100000000000001</v>
      </c>
      <c r="C2615">
        <v>1.1000000000000001</v>
      </c>
    </row>
    <row r="2616" spans="1:3" x14ac:dyDescent="0.25">
      <c r="A2616" s="98">
        <v>9.2584971423226303</v>
      </c>
      <c r="B2616">
        <v>1.05</v>
      </c>
      <c r="C2616">
        <v>1.05</v>
      </c>
    </row>
    <row r="2617" spans="1:3" x14ac:dyDescent="0.25">
      <c r="A2617" s="98">
        <v>9.2620295978420302</v>
      </c>
      <c r="B2617">
        <v>1.06</v>
      </c>
      <c r="C2617">
        <v>1.05</v>
      </c>
    </row>
    <row r="2618" spans="1:3" x14ac:dyDescent="0.25">
      <c r="A2618" s="98">
        <v>9.2655625238131503</v>
      </c>
      <c r="B2618">
        <v>1.05</v>
      </c>
      <c r="C2618">
        <v>1.04</v>
      </c>
    </row>
    <row r="2619" spans="1:3" x14ac:dyDescent="0.25">
      <c r="A2619" s="98">
        <v>9.2690941126644599</v>
      </c>
      <c r="B2619">
        <v>1.05</v>
      </c>
      <c r="C2619">
        <v>1.04</v>
      </c>
    </row>
    <row r="2620" spans="1:3" x14ac:dyDescent="0.25">
      <c r="A2620" s="98">
        <v>9.2726275955692401</v>
      </c>
      <c r="B2620">
        <v>1.04</v>
      </c>
      <c r="C2620">
        <v>1.02</v>
      </c>
    </row>
    <row r="2621" spans="1:3" x14ac:dyDescent="0.25">
      <c r="A2621" s="98">
        <v>9.2761609559699298</v>
      </c>
      <c r="B2621">
        <v>1.04</v>
      </c>
      <c r="C2621">
        <v>1.05</v>
      </c>
    </row>
    <row r="2622" spans="1:3" x14ac:dyDescent="0.25">
      <c r="A2622" s="98">
        <v>9.2796930764118795</v>
      </c>
      <c r="B2622">
        <v>1.07</v>
      </c>
      <c r="C2622">
        <v>1.08</v>
      </c>
    </row>
    <row r="2623" spans="1:3" x14ac:dyDescent="0.25">
      <c r="A2623" s="98">
        <v>9.2832251582763803</v>
      </c>
      <c r="B2623">
        <v>1.07</v>
      </c>
      <c r="C2623">
        <v>1.05</v>
      </c>
    </row>
    <row r="2624" spans="1:3" x14ac:dyDescent="0.25">
      <c r="A2624" s="98">
        <v>9.28676277378643</v>
      </c>
      <c r="B2624">
        <v>1.1000000000000001</v>
      </c>
      <c r="C2624">
        <v>1.07</v>
      </c>
    </row>
    <row r="2625" spans="1:3" x14ac:dyDescent="0.25">
      <c r="A2625" s="98">
        <v>9.2903043313324396</v>
      </c>
      <c r="B2625">
        <v>1.1399999999999999</v>
      </c>
      <c r="C2625">
        <v>1.0900000000000001</v>
      </c>
    </row>
    <row r="2626" spans="1:3" x14ac:dyDescent="0.25">
      <c r="A2626" s="98">
        <v>9.2938460801817708</v>
      </c>
      <c r="B2626">
        <v>1.1000000000000001</v>
      </c>
      <c r="C2626">
        <v>1.06</v>
      </c>
    </row>
    <row r="2627" spans="1:3" x14ac:dyDescent="0.25">
      <c r="A2627" s="98">
        <v>9.2973856893844005</v>
      </c>
      <c r="B2627">
        <v>1.1000000000000001</v>
      </c>
      <c r="C2627">
        <v>1.04</v>
      </c>
    </row>
    <row r="2628" spans="1:3" x14ac:dyDescent="0.25">
      <c r="A2628" s="98">
        <v>9.3009249025638407</v>
      </c>
      <c r="B2628">
        <v>1.07</v>
      </c>
      <c r="C2628">
        <v>1.05</v>
      </c>
    </row>
    <row r="2629" spans="1:3" x14ac:dyDescent="0.25">
      <c r="A2629" s="98">
        <v>9.3044669013332406</v>
      </c>
      <c r="B2629">
        <v>1.05</v>
      </c>
      <c r="C2629">
        <v>1.06</v>
      </c>
    </row>
    <row r="2630" spans="1:3" x14ac:dyDescent="0.25">
      <c r="A2630" s="98">
        <v>9.3080060122079296</v>
      </c>
      <c r="B2630">
        <v>1.02</v>
      </c>
      <c r="C2630">
        <v>1.05</v>
      </c>
    </row>
    <row r="2631" spans="1:3" x14ac:dyDescent="0.25">
      <c r="A2631" s="98">
        <v>9.3115463276538506</v>
      </c>
      <c r="B2631">
        <v>1.02</v>
      </c>
      <c r="C2631">
        <v>1.06</v>
      </c>
    </row>
    <row r="2632" spans="1:3" x14ac:dyDescent="0.25">
      <c r="A2632" s="98">
        <v>9.3150880412481403</v>
      </c>
      <c r="B2632">
        <v>1.03</v>
      </c>
      <c r="C2632">
        <v>1.07</v>
      </c>
    </row>
    <row r="2633" spans="1:3" x14ac:dyDescent="0.25">
      <c r="A2633" s="98">
        <v>9.3186299216802393</v>
      </c>
      <c r="B2633">
        <v>1.01</v>
      </c>
      <c r="C2633">
        <v>1.03</v>
      </c>
    </row>
    <row r="2634" spans="1:3" x14ac:dyDescent="0.25">
      <c r="A2634" s="98">
        <v>9.3221690552488496</v>
      </c>
      <c r="B2634">
        <v>1.03</v>
      </c>
      <c r="C2634">
        <v>1.06</v>
      </c>
    </row>
    <row r="2635" spans="1:3" x14ac:dyDescent="0.25">
      <c r="A2635" s="98">
        <v>9.3257104851195098</v>
      </c>
      <c r="B2635">
        <v>1.04</v>
      </c>
      <c r="C2635">
        <v>0.99</v>
      </c>
    </row>
    <row r="2636" spans="1:3" x14ac:dyDescent="0.25">
      <c r="A2636" s="98">
        <v>9.3292498235459593</v>
      </c>
      <c r="B2636">
        <v>1.06</v>
      </c>
      <c r="C2636">
        <v>1.02</v>
      </c>
    </row>
    <row r="2637" spans="1:3" x14ac:dyDescent="0.25">
      <c r="A2637" s="98">
        <v>9.3327926558863208</v>
      </c>
      <c r="B2637">
        <v>1.01</v>
      </c>
      <c r="C2637">
        <v>1</v>
      </c>
    </row>
    <row r="2638" spans="1:3" x14ac:dyDescent="0.25">
      <c r="A2638" s="98">
        <v>9.3363335364229094</v>
      </c>
      <c r="B2638">
        <v>0.99</v>
      </c>
      <c r="C2638">
        <v>1</v>
      </c>
    </row>
    <row r="2639" spans="1:3" x14ac:dyDescent="0.25">
      <c r="A2639" s="98">
        <v>9.3398729415513806</v>
      </c>
      <c r="B2639">
        <v>1.03</v>
      </c>
      <c r="C2639">
        <v>1.01</v>
      </c>
    </row>
    <row r="2640" spans="1:3" x14ac:dyDescent="0.25">
      <c r="A2640" s="98">
        <v>9.3434132669590095</v>
      </c>
      <c r="B2640">
        <v>1.03</v>
      </c>
      <c r="C2640">
        <v>1.01</v>
      </c>
    </row>
    <row r="2641" spans="1:3" x14ac:dyDescent="0.25">
      <c r="A2641" s="98">
        <v>9.3469549274775705</v>
      </c>
      <c r="B2641">
        <v>1</v>
      </c>
      <c r="C2641">
        <v>1.04</v>
      </c>
    </row>
    <row r="2642" spans="1:3" x14ac:dyDescent="0.25">
      <c r="A2642" s="98">
        <v>9.3504959241162808</v>
      </c>
      <c r="B2642">
        <v>0.99</v>
      </c>
      <c r="C2642">
        <v>0.98</v>
      </c>
    </row>
    <row r="2643" spans="1:3" x14ac:dyDescent="0.25">
      <c r="A2643" s="98">
        <v>9.3540355534023707</v>
      </c>
      <c r="B2643">
        <v>0.98</v>
      </c>
      <c r="C2643">
        <v>1.01</v>
      </c>
    </row>
    <row r="2644" spans="1:3" x14ac:dyDescent="0.25">
      <c r="A2644" s="98">
        <v>9.3575786794777205</v>
      </c>
      <c r="B2644">
        <v>1.07</v>
      </c>
      <c r="C2644">
        <v>1.04</v>
      </c>
    </row>
    <row r="2645" spans="1:3" x14ac:dyDescent="0.25">
      <c r="A2645" s="98">
        <v>9.3611194164775</v>
      </c>
      <c r="B2645">
        <v>1.03</v>
      </c>
      <c r="C2645">
        <v>1.07</v>
      </c>
    </row>
    <row r="2646" spans="1:3" x14ac:dyDescent="0.25">
      <c r="A2646" s="98">
        <v>9.3646619972917708</v>
      </c>
      <c r="B2646">
        <v>1.02</v>
      </c>
      <c r="C2646">
        <v>1.03</v>
      </c>
    </row>
    <row r="2647" spans="1:3" x14ac:dyDescent="0.25">
      <c r="A2647" s="98">
        <v>9.3682036046297394</v>
      </c>
      <c r="B2647">
        <v>1.04</v>
      </c>
      <c r="C2647">
        <v>1.01</v>
      </c>
    </row>
    <row r="2648" spans="1:3" x14ac:dyDescent="0.25">
      <c r="A2648" s="98">
        <v>9.3717442390819397</v>
      </c>
      <c r="B2648">
        <v>0.98</v>
      </c>
      <c r="C2648">
        <v>1.01</v>
      </c>
    </row>
    <row r="2649" spans="1:3" x14ac:dyDescent="0.25">
      <c r="A2649" s="98">
        <v>9.3752849985162392</v>
      </c>
      <c r="B2649">
        <v>0.99</v>
      </c>
      <c r="C2649">
        <v>0.95</v>
      </c>
    </row>
    <row r="2650" spans="1:3" x14ac:dyDescent="0.25">
      <c r="A2650" s="98">
        <v>9.3788252314704401</v>
      </c>
      <c r="B2650">
        <v>1.03</v>
      </c>
      <c r="C2650">
        <v>0.96</v>
      </c>
    </row>
    <row r="2651" spans="1:3" x14ac:dyDescent="0.25">
      <c r="A2651" s="98">
        <v>9.3823660232016302</v>
      </c>
      <c r="B2651">
        <v>0.97</v>
      </c>
      <c r="C2651">
        <v>1.01</v>
      </c>
    </row>
    <row r="2652" spans="1:3" x14ac:dyDescent="0.25">
      <c r="A2652" s="98">
        <v>9.3859057321371804</v>
      </c>
      <c r="B2652">
        <v>1</v>
      </c>
      <c r="C2652">
        <v>0.93</v>
      </c>
    </row>
    <row r="2653" spans="1:3" x14ac:dyDescent="0.25">
      <c r="A2653" s="98">
        <v>9.3894477916481307</v>
      </c>
      <c r="B2653">
        <v>0.94</v>
      </c>
      <c r="C2653">
        <v>0.96</v>
      </c>
    </row>
    <row r="2654" spans="1:3" x14ac:dyDescent="0.25">
      <c r="A2654" s="98">
        <v>9.3929882187920501</v>
      </c>
      <c r="B2654">
        <v>0.99</v>
      </c>
      <c r="C2654">
        <v>0.97</v>
      </c>
    </row>
    <row r="2655" spans="1:3" x14ac:dyDescent="0.25">
      <c r="A2655" s="98">
        <v>9.3965302468560292</v>
      </c>
      <c r="B2655">
        <v>0.99</v>
      </c>
      <c r="C2655">
        <v>1.02</v>
      </c>
    </row>
    <row r="2656" spans="1:3" x14ac:dyDescent="0.25">
      <c r="A2656" s="98">
        <v>9.4000697534614108</v>
      </c>
      <c r="B2656">
        <v>1</v>
      </c>
      <c r="C2656">
        <v>1.04</v>
      </c>
    </row>
    <row r="2657" spans="1:3" x14ac:dyDescent="0.25">
      <c r="A2657" s="98">
        <v>9.4036117308504004</v>
      </c>
      <c r="B2657">
        <v>1.0900000000000001</v>
      </c>
      <c r="C2657">
        <v>1.02</v>
      </c>
    </row>
    <row r="2658" spans="1:3" x14ac:dyDescent="0.25">
      <c r="A2658" s="98">
        <v>9.4071510897080106</v>
      </c>
      <c r="B2658">
        <v>1.07</v>
      </c>
      <c r="C2658">
        <v>1.02</v>
      </c>
    </row>
    <row r="2659" spans="1:3" x14ac:dyDescent="0.25">
      <c r="A2659" s="98">
        <v>9.4106927735330803</v>
      </c>
      <c r="B2659">
        <v>1.01</v>
      </c>
      <c r="C2659">
        <v>1.01</v>
      </c>
    </row>
    <row r="2660" spans="1:3" x14ac:dyDescent="0.25">
      <c r="A2660" s="98">
        <v>9.4142331765923206</v>
      </c>
      <c r="B2660">
        <v>0.98</v>
      </c>
      <c r="C2660">
        <v>0.98</v>
      </c>
    </row>
    <row r="2661" spans="1:3" x14ac:dyDescent="0.25">
      <c r="A2661" s="98">
        <v>9.4177728181746208</v>
      </c>
      <c r="B2661">
        <v>0.95</v>
      </c>
      <c r="C2661">
        <v>0.95</v>
      </c>
    </row>
    <row r="2662" spans="1:3" x14ac:dyDescent="0.25">
      <c r="A2662" s="98">
        <v>9.4213136284770798</v>
      </c>
      <c r="B2662">
        <v>1.02</v>
      </c>
      <c r="C2662">
        <v>0.99</v>
      </c>
    </row>
    <row r="2663" spans="1:3" x14ac:dyDescent="0.25">
      <c r="A2663" s="98">
        <v>9.4248542390708501</v>
      </c>
      <c r="B2663">
        <v>0.99</v>
      </c>
      <c r="C2663">
        <v>0.96</v>
      </c>
    </row>
    <row r="2664" spans="1:3" x14ac:dyDescent="0.25">
      <c r="A2664" s="98">
        <v>9.4283941162129192</v>
      </c>
      <c r="B2664">
        <v>0.97</v>
      </c>
      <c r="C2664">
        <v>0.96</v>
      </c>
    </row>
    <row r="2665" spans="1:3" x14ac:dyDescent="0.25">
      <c r="A2665" s="98">
        <v>9.4319357871622902</v>
      </c>
      <c r="B2665">
        <v>1.08</v>
      </c>
      <c r="C2665">
        <v>1.01</v>
      </c>
    </row>
    <row r="2666" spans="1:3" x14ac:dyDescent="0.25">
      <c r="A2666" s="98">
        <v>9.4354766562360304</v>
      </c>
      <c r="B2666">
        <v>1.1100000000000001</v>
      </c>
      <c r="C2666">
        <v>1.02</v>
      </c>
    </row>
    <row r="2667" spans="1:3" x14ac:dyDescent="0.25">
      <c r="A2667" s="98">
        <v>9.4390187047035603</v>
      </c>
      <c r="B2667">
        <v>1.03</v>
      </c>
      <c r="C2667">
        <v>0.96</v>
      </c>
    </row>
    <row r="2668" spans="1:3" x14ac:dyDescent="0.25">
      <c r="A2668" s="98">
        <v>9.4425592290251306</v>
      </c>
      <c r="B2668">
        <v>0.95</v>
      </c>
      <c r="C2668">
        <v>1</v>
      </c>
    </row>
    <row r="2669" spans="1:3" x14ac:dyDescent="0.25">
      <c r="A2669" s="98">
        <v>9.4461012957107098</v>
      </c>
      <c r="B2669">
        <v>0.98</v>
      </c>
      <c r="C2669">
        <v>1</v>
      </c>
    </row>
    <row r="2670" spans="1:3" x14ac:dyDescent="0.25">
      <c r="A2670" s="98">
        <v>9.4496433345531905</v>
      </c>
      <c r="B2670">
        <v>0.97</v>
      </c>
      <c r="C2670">
        <v>1.05</v>
      </c>
    </row>
    <row r="2671" spans="1:3" x14ac:dyDescent="0.25">
      <c r="A2671" s="98">
        <v>9.45318347307267</v>
      </c>
      <c r="B2671">
        <v>0.91</v>
      </c>
      <c r="C2671">
        <v>0.98</v>
      </c>
    </row>
    <row r="2672" spans="1:3" x14ac:dyDescent="0.25">
      <c r="A2672" s="98">
        <v>9.4567241774223394</v>
      </c>
      <c r="B2672">
        <v>0.87</v>
      </c>
      <c r="C2672">
        <v>0.94</v>
      </c>
    </row>
    <row r="2673" spans="1:3" x14ac:dyDescent="0.25">
      <c r="A2673" s="98">
        <v>9.4602670147021595</v>
      </c>
      <c r="B2673">
        <v>0.82</v>
      </c>
      <c r="C2673">
        <v>0.97</v>
      </c>
    </row>
    <row r="2674" spans="1:3" x14ac:dyDescent="0.25">
      <c r="A2674" s="98">
        <v>9.4638061748500206</v>
      </c>
      <c r="B2674">
        <v>0.88</v>
      </c>
      <c r="C2674">
        <v>1.02</v>
      </c>
    </row>
    <row r="2675" spans="1:3" x14ac:dyDescent="0.25">
      <c r="A2675" s="98">
        <v>9.4673488828484604</v>
      </c>
      <c r="B2675">
        <v>0.82</v>
      </c>
      <c r="C2675">
        <v>0.95</v>
      </c>
    </row>
    <row r="2676" spans="1:3" x14ac:dyDescent="0.25">
      <c r="A2676" s="98">
        <v>9.4708893560645695</v>
      </c>
      <c r="B2676">
        <v>0.84</v>
      </c>
      <c r="C2676">
        <v>1.01</v>
      </c>
    </row>
    <row r="2677" spans="1:3" x14ac:dyDescent="0.25">
      <c r="A2677" s="98">
        <v>9.4744287121902993</v>
      </c>
      <c r="B2677">
        <v>0.89</v>
      </c>
      <c r="C2677">
        <v>0.98</v>
      </c>
    </row>
    <row r="2678" spans="1:3" x14ac:dyDescent="0.25">
      <c r="A2678" s="98">
        <v>9.4779691671000492</v>
      </c>
      <c r="B2678">
        <v>0.9</v>
      </c>
      <c r="C2678">
        <v>0.98</v>
      </c>
    </row>
    <row r="2679" spans="1:3" x14ac:dyDescent="0.25">
      <c r="A2679" s="98">
        <v>9.4815094191718892</v>
      </c>
      <c r="B2679">
        <v>0.85</v>
      </c>
      <c r="C2679">
        <v>0.98</v>
      </c>
    </row>
    <row r="2680" spans="1:3" x14ac:dyDescent="0.25">
      <c r="A2680" s="98">
        <v>9.4850497830797096</v>
      </c>
      <c r="B2680">
        <v>0.78</v>
      </c>
      <c r="C2680">
        <v>0.93</v>
      </c>
    </row>
    <row r="2681" spans="1:3" x14ac:dyDescent="0.25">
      <c r="A2681" s="98">
        <v>9.4885887900712298</v>
      </c>
      <c r="B2681">
        <v>0.92</v>
      </c>
      <c r="C2681">
        <v>0.98</v>
      </c>
    </row>
    <row r="2682" spans="1:3" x14ac:dyDescent="0.25">
      <c r="A2682" s="98">
        <v>9.4921281044350696</v>
      </c>
      <c r="B2682">
        <v>0.9</v>
      </c>
      <c r="C2682">
        <v>0.95</v>
      </c>
    </row>
    <row r="2683" spans="1:3" x14ac:dyDescent="0.25">
      <c r="A2683" s="98">
        <v>9.4956681052733298</v>
      </c>
      <c r="B2683">
        <v>0.91</v>
      </c>
      <c r="C2683">
        <v>0.98</v>
      </c>
    </row>
    <row r="2684" spans="1:3" x14ac:dyDescent="0.25">
      <c r="A2684" s="98">
        <v>9.4992092129036205</v>
      </c>
      <c r="B2684">
        <v>0.89</v>
      </c>
      <c r="C2684">
        <v>1.01</v>
      </c>
    </row>
    <row r="2685" spans="1:3" x14ac:dyDescent="0.25">
      <c r="A2685" s="98">
        <v>9.5027495019579291</v>
      </c>
      <c r="B2685">
        <v>0.86</v>
      </c>
      <c r="C2685">
        <v>1.04</v>
      </c>
    </row>
    <row r="2686" spans="1:3" x14ac:dyDescent="0.25">
      <c r="A2686" s="98">
        <v>9.5062885224322393</v>
      </c>
      <c r="B2686">
        <v>0.81</v>
      </c>
      <c r="C2686">
        <v>0.95</v>
      </c>
    </row>
    <row r="2687" spans="1:3" x14ac:dyDescent="0.25">
      <c r="A2687" s="98">
        <v>9.5098333957184202</v>
      </c>
      <c r="B2687">
        <v>0.85</v>
      </c>
      <c r="C2687">
        <v>1</v>
      </c>
    </row>
    <row r="2688" spans="1:3" x14ac:dyDescent="0.25">
      <c r="A2688" s="98">
        <v>9.5133724981435996</v>
      </c>
      <c r="B2688">
        <v>0.87</v>
      </c>
      <c r="C2688">
        <v>1</v>
      </c>
    </row>
    <row r="2689" spans="1:3" x14ac:dyDescent="0.25">
      <c r="A2689" s="98">
        <v>9.51691335318265</v>
      </c>
      <c r="B2689">
        <v>0.88</v>
      </c>
      <c r="C2689">
        <v>0.93</v>
      </c>
    </row>
    <row r="2690" spans="1:3" x14ac:dyDescent="0.25">
      <c r="A2690" s="98">
        <v>9.5204561474422604</v>
      </c>
      <c r="B2690">
        <v>0.88</v>
      </c>
      <c r="C2690">
        <v>0.93</v>
      </c>
    </row>
    <row r="2691" spans="1:3" x14ac:dyDescent="0.25">
      <c r="A2691" s="98">
        <v>9.5239981369784505</v>
      </c>
      <c r="B2691">
        <v>0.93</v>
      </c>
      <c r="C2691">
        <v>0.97</v>
      </c>
    </row>
    <row r="2692" spans="1:3" x14ac:dyDescent="0.25">
      <c r="A2692" s="98">
        <v>9.52753879999673</v>
      </c>
      <c r="B2692">
        <v>0.99</v>
      </c>
      <c r="C2692">
        <v>1.01</v>
      </c>
    </row>
    <row r="2693" spans="1:3" x14ac:dyDescent="0.25">
      <c r="A2693" s="98">
        <v>9.5310778875814499</v>
      </c>
      <c r="B2693">
        <v>0.9</v>
      </c>
      <c r="C2693">
        <v>0.94</v>
      </c>
    </row>
    <row r="2694" spans="1:3" x14ac:dyDescent="0.25">
      <c r="A2694" s="98">
        <v>9.5346174532947696</v>
      </c>
      <c r="B2694">
        <v>0.9</v>
      </c>
      <c r="C2694">
        <v>0.95</v>
      </c>
    </row>
    <row r="2695" spans="1:3" x14ac:dyDescent="0.25">
      <c r="A2695" s="98">
        <v>9.5381590380326404</v>
      </c>
      <c r="B2695">
        <v>0.82</v>
      </c>
      <c r="C2695">
        <v>0.93</v>
      </c>
    </row>
    <row r="2696" spans="1:3" x14ac:dyDescent="0.25">
      <c r="A2696" s="98">
        <v>9.5416980818852206</v>
      </c>
      <c r="B2696">
        <v>0.85</v>
      </c>
      <c r="C2696">
        <v>1</v>
      </c>
    </row>
    <row r="2697" spans="1:3" x14ac:dyDescent="0.25">
      <c r="A2697" s="98">
        <v>9.5452384199864309</v>
      </c>
      <c r="B2697">
        <v>0.82</v>
      </c>
      <c r="C2697">
        <v>1</v>
      </c>
    </row>
    <row r="2698" spans="1:3" x14ac:dyDescent="0.25">
      <c r="A2698" s="98">
        <v>9.5487777493783703</v>
      </c>
      <c r="B2698">
        <v>0.88</v>
      </c>
      <c r="C2698">
        <v>0.97</v>
      </c>
    </row>
    <row r="2699" spans="1:3" x14ac:dyDescent="0.25">
      <c r="A2699" s="98">
        <v>9.5523185108105295</v>
      </c>
      <c r="B2699">
        <v>0.94</v>
      </c>
      <c r="C2699">
        <v>0.97</v>
      </c>
    </row>
    <row r="2700" spans="1:3" x14ac:dyDescent="0.25">
      <c r="A2700" s="98">
        <v>9.5558601768314801</v>
      </c>
      <c r="B2700">
        <v>0.98</v>
      </c>
      <c r="C2700">
        <v>0.97</v>
      </c>
    </row>
    <row r="2701" spans="1:3" x14ac:dyDescent="0.25">
      <c r="A2701" s="98">
        <v>9.5594019959977299</v>
      </c>
      <c r="B2701">
        <v>0.91</v>
      </c>
      <c r="C2701">
        <v>0.97</v>
      </c>
    </row>
    <row r="2702" spans="1:3" x14ac:dyDescent="0.25">
      <c r="A2702" s="98">
        <v>9.5629410173771507</v>
      </c>
      <c r="B2702">
        <v>0.83</v>
      </c>
      <c r="C2702">
        <v>0.97</v>
      </c>
    </row>
    <row r="2703" spans="1:3" x14ac:dyDescent="0.25">
      <c r="A2703" s="98">
        <v>9.5664815412737703</v>
      </c>
      <c r="B2703">
        <v>0.84</v>
      </c>
      <c r="C2703">
        <v>0.9</v>
      </c>
    </row>
    <row r="2704" spans="1:3" x14ac:dyDescent="0.25">
      <c r="A2704" s="98">
        <v>9.5700218479059291</v>
      </c>
      <c r="B2704">
        <v>0.84</v>
      </c>
      <c r="C2704">
        <v>0.95</v>
      </c>
    </row>
    <row r="2705" spans="1:3" x14ac:dyDescent="0.25">
      <c r="A2705" s="98">
        <v>9.5735615281650297</v>
      </c>
      <c r="B2705">
        <v>0.9</v>
      </c>
      <c r="C2705">
        <v>0.95</v>
      </c>
    </row>
    <row r="2706" spans="1:3" x14ac:dyDescent="0.25">
      <c r="A2706" s="98">
        <v>9.5771010674591395</v>
      </c>
      <c r="B2706">
        <v>0.91</v>
      </c>
      <c r="C2706">
        <v>0.92</v>
      </c>
    </row>
    <row r="2707" spans="1:3" x14ac:dyDescent="0.25">
      <c r="A2707" s="98">
        <v>9.5806410241844393</v>
      </c>
      <c r="B2707">
        <v>1</v>
      </c>
      <c r="C2707">
        <v>0.97</v>
      </c>
    </row>
    <row r="2708" spans="1:3" x14ac:dyDescent="0.25">
      <c r="A2708" s="98">
        <v>9.5841828990424105</v>
      </c>
      <c r="B2708">
        <v>0.95</v>
      </c>
      <c r="C2708">
        <v>0.99</v>
      </c>
    </row>
    <row r="2709" spans="1:3" x14ac:dyDescent="0.25">
      <c r="A2709" s="98">
        <v>9.5877218694708901</v>
      </c>
      <c r="B2709">
        <v>0.95</v>
      </c>
      <c r="C2709">
        <v>0.92</v>
      </c>
    </row>
    <row r="2710" spans="1:3" x14ac:dyDescent="0.25">
      <c r="A2710" s="98">
        <v>9.5912629443407003</v>
      </c>
      <c r="B2710">
        <v>0.86</v>
      </c>
      <c r="C2710">
        <v>0.89</v>
      </c>
    </row>
    <row r="2711" spans="1:3" x14ac:dyDescent="0.25">
      <c r="A2711" s="98">
        <v>9.5948037572591396</v>
      </c>
      <c r="B2711">
        <v>0.84</v>
      </c>
      <c r="C2711">
        <v>0.93</v>
      </c>
    </row>
    <row r="2712" spans="1:3" x14ac:dyDescent="0.25">
      <c r="A2712" s="98">
        <v>9.5983432947927003</v>
      </c>
      <c r="B2712">
        <v>0.86</v>
      </c>
      <c r="C2712">
        <v>0.89</v>
      </c>
    </row>
    <row r="2713" spans="1:3" x14ac:dyDescent="0.25">
      <c r="A2713" s="98">
        <v>9.6018829861007298</v>
      </c>
      <c r="B2713">
        <v>0.79</v>
      </c>
      <c r="C2713">
        <v>0.86</v>
      </c>
    </row>
    <row r="2714" spans="1:3" x14ac:dyDescent="0.25">
      <c r="A2714" s="98">
        <v>9.6054239052865196</v>
      </c>
      <c r="B2714">
        <v>0.85</v>
      </c>
      <c r="C2714">
        <v>0.9</v>
      </c>
    </row>
    <row r="2715" spans="1:3" x14ac:dyDescent="0.25">
      <c r="A2715" s="98">
        <v>9.6089630783487205</v>
      </c>
      <c r="B2715">
        <v>1</v>
      </c>
      <c r="C2715">
        <v>0.92</v>
      </c>
    </row>
    <row r="2716" spans="1:3" x14ac:dyDescent="0.25">
      <c r="A2716" s="98">
        <v>9.6125049982468198</v>
      </c>
      <c r="B2716">
        <v>0.93</v>
      </c>
      <c r="C2716">
        <v>0.87</v>
      </c>
    </row>
    <row r="2717" spans="1:3" x14ac:dyDescent="0.25">
      <c r="A2717" s="98">
        <v>9.6160451369153108</v>
      </c>
      <c r="B2717">
        <v>0.89</v>
      </c>
      <c r="C2717">
        <v>0.9</v>
      </c>
    </row>
    <row r="2718" spans="1:3" x14ac:dyDescent="0.25">
      <c r="A2718" s="98">
        <v>9.6195871863376201</v>
      </c>
      <c r="B2718">
        <v>0.86</v>
      </c>
      <c r="C2718">
        <v>0.9</v>
      </c>
    </row>
    <row r="2719" spans="1:3" x14ac:dyDescent="0.25">
      <c r="A2719" s="98">
        <v>9.6231300341917407</v>
      </c>
      <c r="B2719">
        <v>0.86</v>
      </c>
      <c r="C2719">
        <v>0.91</v>
      </c>
    </row>
    <row r="2720" spans="1:3" x14ac:dyDescent="0.25">
      <c r="A2720" s="98">
        <v>9.6266686013230505</v>
      </c>
      <c r="B2720">
        <v>0.84</v>
      </c>
      <c r="C2720">
        <v>0.92</v>
      </c>
    </row>
    <row r="2721" spans="1:3" x14ac:dyDescent="0.25">
      <c r="A2721" s="98">
        <v>9.6302090043326203</v>
      </c>
      <c r="B2721">
        <v>0.87</v>
      </c>
      <c r="C2721">
        <v>0.94</v>
      </c>
    </row>
    <row r="2722" spans="1:3" x14ac:dyDescent="0.25">
      <c r="A2722" s="98">
        <v>9.6337478911103993</v>
      </c>
      <c r="B2722">
        <v>0.87</v>
      </c>
      <c r="C2722">
        <v>0.92</v>
      </c>
    </row>
    <row r="2723" spans="1:3" x14ac:dyDescent="0.25">
      <c r="A2723" s="98">
        <v>9.6372885049769099</v>
      </c>
      <c r="B2723">
        <v>0.79</v>
      </c>
      <c r="C2723">
        <v>0.9</v>
      </c>
    </row>
    <row r="2724" spans="1:3" x14ac:dyDescent="0.25">
      <c r="A2724" s="98">
        <v>9.6408290633779892</v>
      </c>
      <c r="B2724">
        <v>0.86</v>
      </c>
      <c r="C2724">
        <v>0.93</v>
      </c>
    </row>
    <row r="2725" spans="1:3" x14ac:dyDescent="0.25">
      <c r="A2725" s="98">
        <v>9.6443674266835</v>
      </c>
      <c r="B2725">
        <v>0.79</v>
      </c>
      <c r="C2725">
        <v>0.9</v>
      </c>
    </row>
    <row r="2726" spans="1:3" x14ac:dyDescent="0.25">
      <c r="A2726" s="98">
        <v>9.6479079562922294</v>
      </c>
      <c r="B2726">
        <v>0.81</v>
      </c>
      <c r="C2726">
        <v>0.9</v>
      </c>
    </row>
    <row r="2727" spans="1:3" x14ac:dyDescent="0.25">
      <c r="A2727" s="98">
        <v>9.6514488154153</v>
      </c>
      <c r="B2727">
        <v>0.88</v>
      </c>
      <c r="C2727">
        <v>0.93</v>
      </c>
    </row>
    <row r="2728" spans="1:3" x14ac:dyDescent="0.25">
      <c r="A2728" s="98">
        <v>9.6549895077391898</v>
      </c>
      <c r="B2728">
        <v>0.88</v>
      </c>
      <c r="C2728">
        <v>0.93</v>
      </c>
    </row>
    <row r="2729" spans="1:3" x14ac:dyDescent="0.25">
      <c r="A2729" s="98">
        <v>9.6585299265881304</v>
      </c>
      <c r="B2729">
        <v>0.83</v>
      </c>
      <c r="C2729">
        <v>0.89</v>
      </c>
    </row>
    <row r="2730" spans="1:3" x14ac:dyDescent="0.25">
      <c r="A2730" s="98">
        <v>9.6620689119398602</v>
      </c>
      <c r="B2730">
        <v>0.87</v>
      </c>
      <c r="C2730">
        <v>0.94</v>
      </c>
    </row>
    <row r="2731" spans="1:3" x14ac:dyDescent="0.25">
      <c r="A2731" s="98">
        <v>9.6656095051986206</v>
      </c>
      <c r="B2731">
        <v>0.86</v>
      </c>
      <c r="C2731">
        <v>0.87</v>
      </c>
    </row>
    <row r="2732" spans="1:3" x14ac:dyDescent="0.25">
      <c r="A2732" s="98">
        <v>9.6691496046163401</v>
      </c>
      <c r="B2732">
        <v>0.89</v>
      </c>
      <c r="C2732">
        <v>0.92</v>
      </c>
    </row>
    <row r="2733" spans="1:3" x14ac:dyDescent="0.25">
      <c r="A2733" s="98">
        <v>9.67268885635667</v>
      </c>
      <c r="B2733">
        <v>0.82</v>
      </c>
      <c r="C2733">
        <v>0.85</v>
      </c>
    </row>
    <row r="2734" spans="1:3" x14ac:dyDescent="0.25">
      <c r="A2734" s="98">
        <v>9.6762298602086503</v>
      </c>
      <c r="B2734">
        <v>0.89</v>
      </c>
      <c r="C2734">
        <v>0.88</v>
      </c>
    </row>
    <row r="2735" spans="1:3" x14ac:dyDescent="0.25">
      <c r="A2735" s="98">
        <v>9.6797712097841195</v>
      </c>
      <c r="B2735">
        <v>0.88</v>
      </c>
      <c r="C2735">
        <v>0.88</v>
      </c>
    </row>
    <row r="2736" spans="1:3" x14ac:dyDescent="0.25">
      <c r="A2736" s="98">
        <v>9.6833087077184903</v>
      </c>
      <c r="B2736">
        <v>0.87</v>
      </c>
      <c r="C2736">
        <v>0.87</v>
      </c>
    </row>
    <row r="2737" spans="1:3" x14ac:dyDescent="0.25">
      <c r="A2737" s="98">
        <v>9.6868501898425503</v>
      </c>
      <c r="B2737">
        <v>0.9</v>
      </c>
      <c r="C2737">
        <v>0.89</v>
      </c>
    </row>
    <row r="2738" spans="1:3" x14ac:dyDescent="0.25">
      <c r="A2738" s="98">
        <v>9.6903881118860493</v>
      </c>
      <c r="B2738">
        <v>0.9</v>
      </c>
      <c r="C2738">
        <v>0.91</v>
      </c>
    </row>
    <row r="2739" spans="1:3" x14ac:dyDescent="0.25">
      <c r="A2739" s="98">
        <v>9.6939277004036608</v>
      </c>
      <c r="B2739">
        <v>0.84</v>
      </c>
      <c r="C2739">
        <v>0.92</v>
      </c>
    </row>
    <row r="2740" spans="1:3" x14ac:dyDescent="0.25">
      <c r="A2740" s="98">
        <v>9.6974698850898804</v>
      </c>
      <c r="B2740">
        <v>0.78</v>
      </c>
      <c r="C2740">
        <v>0.93</v>
      </c>
    </row>
    <row r="2741" spans="1:3" x14ac:dyDescent="0.25">
      <c r="A2741" s="98">
        <v>9.7010103698681895</v>
      </c>
      <c r="B2741">
        <v>0.8</v>
      </c>
      <c r="C2741">
        <v>0.91</v>
      </c>
    </row>
    <row r="2742" spans="1:3" x14ac:dyDescent="0.25">
      <c r="A2742" s="98">
        <v>9.7045508642770599</v>
      </c>
      <c r="B2742">
        <v>0.85</v>
      </c>
      <c r="C2742">
        <v>0.97</v>
      </c>
    </row>
    <row r="2743" spans="1:3" x14ac:dyDescent="0.25">
      <c r="A2743" s="98">
        <v>9.7080918472287792</v>
      </c>
      <c r="B2743">
        <v>0.86</v>
      </c>
      <c r="C2743">
        <v>0.92</v>
      </c>
    </row>
    <row r="2744" spans="1:3" x14ac:dyDescent="0.25">
      <c r="A2744" s="98">
        <v>9.7116324612663796</v>
      </c>
      <c r="B2744">
        <v>0.84</v>
      </c>
      <c r="C2744">
        <v>0.9</v>
      </c>
    </row>
    <row r="2745" spans="1:3" x14ac:dyDescent="0.25">
      <c r="A2745" s="98">
        <v>9.7151710575156702</v>
      </c>
      <c r="B2745">
        <v>0.82</v>
      </c>
      <c r="C2745">
        <v>0.84</v>
      </c>
    </row>
    <row r="2746" spans="1:3" x14ac:dyDescent="0.25">
      <c r="A2746" s="98">
        <v>9.7187114546530697</v>
      </c>
      <c r="B2746">
        <v>0.91</v>
      </c>
      <c r="C2746">
        <v>0.95</v>
      </c>
    </row>
    <row r="2747" spans="1:3" x14ac:dyDescent="0.25">
      <c r="A2747" s="98">
        <v>9.7222518655160997</v>
      </c>
      <c r="B2747">
        <v>0.9</v>
      </c>
      <c r="C2747">
        <v>0.88</v>
      </c>
    </row>
    <row r="2748" spans="1:3" x14ac:dyDescent="0.25">
      <c r="A2748" s="98">
        <v>9.7257909157541</v>
      </c>
      <c r="B2748">
        <v>0.92</v>
      </c>
      <c r="C2748">
        <v>0.87</v>
      </c>
    </row>
    <row r="2749" spans="1:3" x14ac:dyDescent="0.25">
      <c r="A2749" s="98">
        <v>9.7293327771899794</v>
      </c>
      <c r="B2749">
        <v>0.89</v>
      </c>
      <c r="C2749">
        <v>0.92</v>
      </c>
    </row>
    <row r="2750" spans="1:3" x14ac:dyDescent="0.25">
      <c r="A2750" s="98">
        <v>9.7328722324305108</v>
      </c>
      <c r="B2750">
        <v>0.81</v>
      </c>
      <c r="C2750">
        <v>0.86</v>
      </c>
    </row>
    <row r="2751" spans="1:3" x14ac:dyDescent="0.25">
      <c r="A2751" s="98">
        <v>9.7364124584418708</v>
      </c>
      <c r="B2751">
        <v>0.88</v>
      </c>
      <c r="C2751">
        <v>0.85</v>
      </c>
    </row>
    <row r="2752" spans="1:3" x14ac:dyDescent="0.25">
      <c r="A2752" s="98">
        <v>9.73995190336748</v>
      </c>
      <c r="B2752">
        <v>0.78</v>
      </c>
      <c r="C2752">
        <v>0.82</v>
      </c>
    </row>
    <row r="2753" spans="1:3" x14ac:dyDescent="0.25">
      <c r="A2753" s="98">
        <v>9.7434914717574905</v>
      </c>
      <c r="B2753">
        <v>0.82</v>
      </c>
      <c r="C2753">
        <v>0.87</v>
      </c>
    </row>
    <row r="2754" spans="1:3" x14ac:dyDescent="0.25">
      <c r="A2754" s="98">
        <v>9.7470307482282301</v>
      </c>
      <c r="B2754">
        <v>0.82</v>
      </c>
      <c r="C2754">
        <v>0.85</v>
      </c>
    </row>
    <row r="2755" spans="1:3" x14ac:dyDescent="0.25">
      <c r="A2755" s="98">
        <v>9.7505723632816892</v>
      </c>
      <c r="B2755">
        <v>0.83</v>
      </c>
      <c r="C2755">
        <v>0.88</v>
      </c>
    </row>
    <row r="2756" spans="1:3" x14ac:dyDescent="0.25">
      <c r="A2756" s="98">
        <v>9.7541118245985707</v>
      </c>
      <c r="B2756">
        <v>0.89</v>
      </c>
      <c r="C2756">
        <v>0.9</v>
      </c>
    </row>
    <row r="2757" spans="1:3" x14ac:dyDescent="0.25">
      <c r="A2757" s="98">
        <v>9.7576523793240302</v>
      </c>
      <c r="B2757">
        <v>0.95</v>
      </c>
      <c r="C2757">
        <v>0.9</v>
      </c>
    </row>
    <row r="2758" spans="1:3" x14ac:dyDescent="0.25">
      <c r="A2758" s="98">
        <v>9.7611936684118294</v>
      </c>
      <c r="B2758">
        <v>0.93</v>
      </c>
      <c r="C2758">
        <v>0.9</v>
      </c>
    </row>
    <row r="2759" spans="1:3" x14ac:dyDescent="0.25">
      <c r="A2759" s="98">
        <v>9.7647344679799293</v>
      </c>
      <c r="B2759">
        <v>0.88</v>
      </c>
      <c r="C2759">
        <v>0.87</v>
      </c>
    </row>
    <row r="2760" spans="1:3" x14ac:dyDescent="0.25">
      <c r="A2760" s="98">
        <v>9.7682751721364394</v>
      </c>
      <c r="B2760">
        <v>0.77</v>
      </c>
      <c r="C2760">
        <v>0.82</v>
      </c>
    </row>
    <row r="2761" spans="1:3" x14ac:dyDescent="0.25">
      <c r="A2761" s="98">
        <v>9.7718171590732208</v>
      </c>
      <c r="B2761">
        <v>0.8</v>
      </c>
      <c r="C2761">
        <v>0.9</v>
      </c>
    </row>
    <row r="2762" spans="1:3" x14ac:dyDescent="0.25">
      <c r="A2762" s="98">
        <v>9.7753555339961107</v>
      </c>
      <c r="B2762">
        <v>0.79</v>
      </c>
      <c r="C2762">
        <v>0.83</v>
      </c>
    </row>
    <row r="2763" spans="1:3" x14ac:dyDescent="0.25">
      <c r="A2763" s="98">
        <v>9.7788958074207599</v>
      </c>
      <c r="B2763">
        <v>0.86</v>
      </c>
      <c r="C2763">
        <v>0.87</v>
      </c>
    </row>
    <row r="2764" spans="1:3" x14ac:dyDescent="0.25">
      <c r="A2764" s="98">
        <v>9.7824361701751101</v>
      </c>
      <c r="B2764">
        <v>0.92</v>
      </c>
      <c r="C2764">
        <v>0.83</v>
      </c>
    </row>
    <row r="2765" spans="1:3" x14ac:dyDescent="0.25">
      <c r="A2765" s="98">
        <v>9.7859780181171701</v>
      </c>
      <c r="B2765">
        <v>0.88</v>
      </c>
      <c r="C2765">
        <v>0.84</v>
      </c>
    </row>
    <row r="2766" spans="1:3" x14ac:dyDescent="0.25">
      <c r="A2766" s="98">
        <v>9.7895210082387401</v>
      </c>
      <c r="B2766">
        <v>0.74</v>
      </c>
      <c r="C2766">
        <v>0.84</v>
      </c>
    </row>
    <row r="2767" spans="1:3" x14ac:dyDescent="0.25">
      <c r="A2767" s="98">
        <v>9.7930602816906198</v>
      </c>
      <c r="B2767">
        <v>0.74</v>
      </c>
      <c r="C2767">
        <v>0.87</v>
      </c>
    </row>
    <row r="2768" spans="1:3" x14ac:dyDescent="0.25">
      <c r="A2768" s="98">
        <v>9.7966007602766698</v>
      </c>
      <c r="B2768">
        <v>0.74</v>
      </c>
      <c r="C2768">
        <v>0.82</v>
      </c>
    </row>
    <row r="2769" spans="1:3" x14ac:dyDescent="0.25">
      <c r="A2769" s="98">
        <v>9.8001399089119996</v>
      </c>
      <c r="B2769">
        <v>0.76</v>
      </c>
      <c r="C2769">
        <v>0.85</v>
      </c>
    </row>
    <row r="2770" spans="1:3" x14ac:dyDescent="0.25">
      <c r="A2770" s="98">
        <v>9.8036808956276396</v>
      </c>
      <c r="B2770">
        <v>0.76</v>
      </c>
      <c r="C2770">
        <v>0.81</v>
      </c>
    </row>
    <row r="2771" spans="1:3" x14ac:dyDescent="0.25">
      <c r="A2771" s="98">
        <v>9.8072215256922703</v>
      </c>
      <c r="B2771">
        <v>0.82</v>
      </c>
      <c r="C2771">
        <v>0.86</v>
      </c>
    </row>
    <row r="2772" spans="1:3" x14ac:dyDescent="0.25">
      <c r="A2772" s="98">
        <v>9.8107610652402499</v>
      </c>
      <c r="B2772">
        <v>0.91</v>
      </c>
      <c r="C2772">
        <v>0.84</v>
      </c>
    </row>
    <row r="2773" spans="1:3" x14ac:dyDescent="0.25">
      <c r="A2773" s="98">
        <v>9.8143015528497806</v>
      </c>
      <c r="B2773">
        <v>1.02</v>
      </c>
      <c r="C2773">
        <v>0.82</v>
      </c>
    </row>
    <row r="2774" spans="1:3" x14ac:dyDescent="0.25">
      <c r="A2774" s="98">
        <v>9.8178434310356693</v>
      </c>
      <c r="B2774">
        <v>1.03</v>
      </c>
      <c r="C2774">
        <v>0.83</v>
      </c>
    </row>
    <row r="2775" spans="1:3" x14ac:dyDescent="0.25">
      <c r="A2775" s="98">
        <v>9.8213818587031607</v>
      </c>
      <c r="B2775">
        <v>0.87</v>
      </c>
      <c r="C2775">
        <v>0.78</v>
      </c>
    </row>
    <row r="2776" spans="1:3" x14ac:dyDescent="0.25">
      <c r="A2776" s="98">
        <v>9.8249247407471696</v>
      </c>
      <c r="B2776">
        <v>0.89</v>
      </c>
      <c r="C2776">
        <v>0.8</v>
      </c>
    </row>
    <row r="2777" spans="1:3" x14ac:dyDescent="0.25">
      <c r="A2777" s="98">
        <v>9.8284649214314097</v>
      </c>
      <c r="B2777">
        <v>0.85</v>
      </c>
      <c r="C2777">
        <v>0.86</v>
      </c>
    </row>
    <row r="2778" spans="1:3" x14ac:dyDescent="0.25">
      <c r="A2778" s="98">
        <v>9.8320061394406597</v>
      </c>
      <c r="B2778">
        <v>0.75</v>
      </c>
      <c r="C2778">
        <v>0.8</v>
      </c>
    </row>
    <row r="2779" spans="1:3" x14ac:dyDescent="0.25">
      <c r="A2779" s="98">
        <v>9.8355454379872</v>
      </c>
      <c r="B2779">
        <v>0.82</v>
      </c>
      <c r="C2779">
        <v>0.83</v>
      </c>
    </row>
    <row r="2780" spans="1:3" x14ac:dyDescent="0.25">
      <c r="A2780" s="98">
        <v>9.8390873370733498</v>
      </c>
      <c r="B2780">
        <v>0.75</v>
      </c>
      <c r="C2780">
        <v>0.8</v>
      </c>
    </row>
    <row r="2781" spans="1:3" x14ac:dyDescent="0.25">
      <c r="A2781" s="98">
        <v>9.8426268396830103</v>
      </c>
      <c r="B2781">
        <v>0.81</v>
      </c>
      <c r="C2781">
        <v>0.85</v>
      </c>
    </row>
    <row r="2782" spans="1:3" x14ac:dyDescent="0.25">
      <c r="A2782" s="98">
        <v>9.8461659748576302</v>
      </c>
      <c r="B2782">
        <v>0.74</v>
      </c>
      <c r="C2782">
        <v>0.84</v>
      </c>
    </row>
    <row r="2783" spans="1:3" x14ac:dyDescent="0.25">
      <c r="A2783" s="98">
        <v>9.8497069130175596</v>
      </c>
      <c r="B2783">
        <v>0.75</v>
      </c>
      <c r="C2783">
        <v>0.85</v>
      </c>
    </row>
    <row r="2784" spans="1:3" x14ac:dyDescent="0.25">
      <c r="A2784" s="98">
        <v>9.8532464094680705</v>
      </c>
      <c r="B2784">
        <v>0.83</v>
      </c>
      <c r="C2784">
        <v>0.84</v>
      </c>
    </row>
    <row r="2785" spans="1:3" x14ac:dyDescent="0.25">
      <c r="A2785" s="98">
        <v>9.8567866940520403</v>
      </c>
      <c r="B2785">
        <v>0.92</v>
      </c>
      <c r="C2785">
        <v>0.85</v>
      </c>
    </row>
    <row r="2786" spans="1:3" x14ac:dyDescent="0.25">
      <c r="A2786" s="98">
        <v>9.8603285583301794</v>
      </c>
      <c r="B2786">
        <v>0.9</v>
      </c>
      <c r="C2786">
        <v>0.85</v>
      </c>
    </row>
    <row r="2787" spans="1:3" x14ac:dyDescent="0.25">
      <c r="A2787" s="98">
        <v>9.86386781145025</v>
      </c>
      <c r="B2787">
        <v>0.88</v>
      </c>
      <c r="C2787">
        <v>0.82</v>
      </c>
    </row>
    <row r="2788" spans="1:3" x14ac:dyDescent="0.25">
      <c r="A2788" s="98">
        <v>9.8674070341553897</v>
      </c>
      <c r="B2788">
        <v>0.91</v>
      </c>
      <c r="C2788">
        <v>0.85</v>
      </c>
    </row>
    <row r="2789" spans="1:3" x14ac:dyDescent="0.25">
      <c r="A2789" s="98">
        <v>9.87094867307278</v>
      </c>
      <c r="B2789">
        <v>0.88</v>
      </c>
      <c r="C2789">
        <v>0.84</v>
      </c>
    </row>
    <row r="2790" spans="1:3" x14ac:dyDescent="0.25">
      <c r="A2790" s="98">
        <v>9.8744904354600997</v>
      </c>
      <c r="B2790">
        <v>0.88</v>
      </c>
      <c r="C2790">
        <v>0.82</v>
      </c>
    </row>
    <row r="2791" spans="1:3" x14ac:dyDescent="0.25">
      <c r="A2791" s="98">
        <v>9.8780331674990798</v>
      </c>
      <c r="B2791">
        <v>0.92</v>
      </c>
      <c r="C2791">
        <v>0.86</v>
      </c>
    </row>
    <row r="2792" spans="1:3" x14ac:dyDescent="0.25">
      <c r="A2792" s="98">
        <v>9.8815723340710004</v>
      </c>
      <c r="B2792">
        <v>0.87</v>
      </c>
      <c r="C2792">
        <v>0.87</v>
      </c>
    </row>
    <row r="2793" spans="1:3" x14ac:dyDescent="0.25">
      <c r="A2793" s="98">
        <v>9.8851140056274502</v>
      </c>
      <c r="B2793">
        <v>0.89</v>
      </c>
      <c r="C2793">
        <v>0.85</v>
      </c>
    </row>
    <row r="2794" spans="1:3" x14ac:dyDescent="0.25">
      <c r="A2794" s="98">
        <v>9.8886544604875404</v>
      </c>
      <c r="B2794">
        <v>0.73</v>
      </c>
      <c r="C2794">
        <v>0.83</v>
      </c>
    </row>
    <row r="2795" spans="1:3" x14ac:dyDescent="0.25">
      <c r="A2795" s="98">
        <v>9.8921945605233805</v>
      </c>
      <c r="B2795">
        <v>0.83</v>
      </c>
      <c r="C2795">
        <v>0.85</v>
      </c>
    </row>
    <row r="2796" spans="1:3" x14ac:dyDescent="0.25">
      <c r="A2796" s="98">
        <v>9.8957352066757505</v>
      </c>
      <c r="B2796">
        <v>0.8</v>
      </c>
      <c r="C2796">
        <v>0.8</v>
      </c>
    </row>
    <row r="2797" spans="1:3" x14ac:dyDescent="0.25">
      <c r="A2797" s="98">
        <v>9.8992771152379309</v>
      </c>
      <c r="B2797">
        <v>0.81</v>
      </c>
      <c r="C2797">
        <v>0.79</v>
      </c>
    </row>
    <row r="2798" spans="1:3" x14ac:dyDescent="0.25">
      <c r="A2798" s="98">
        <v>9.9028166716738895</v>
      </c>
      <c r="B2798">
        <v>0.76</v>
      </c>
      <c r="C2798">
        <v>0.78</v>
      </c>
    </row>
    <row r="2799" spans="1:3" x14ac:dyDescent="0.25">
      <c r="A2799" s="98">
        <v>9.9063559324984105</v>
      </c>
      <c r="B2799">
        <v>0.75</v>
      </c>
      <c r="C2799">
        <v>0.78</v>
      </c>
    </row>
    <row r="2800" spans="1:3" x14ac:dyDescent="0.25">
      <c r="A2800" s="98">
        <v>9.9098974030823594</v>
      </c>
      <c r="B2800">
        <v>0.78</v>
      </c>
      <c r="C2800">
        <v>0.82</v>
      </c>
    </row>
    <row r="2801" spans="1:3" x14ac:dyDescent="0.25">
      <c r="A2801" s="98">
        <v>9.9134387058405906</v>
      </c>
      <c r="B2801">
        <v>0.75</v>
      </c>
      <c r="C2801">
        <v>0.77</v>
      </c>
    </row>
    <row r="2802" spans="1:3" x14ac:dyDescent="0.25">
      <c r="A2802" s="98">
        <v>9.9169792306809494</v>
      </c>
      <c r="B2802">
        <v>0.75</v>
      </c>
      <c r="C2802">
        <v>0.77</v>
      </c>
    </row>
    <row r="2803" spans="1:3" x14ac:dyDescent="0.25">
      <c r="A2803" s="98">
        <v>9.9205196339775004</v>
      </c>
      <c r="B2803">
        <v>0.82</v>
      </c>
      <c r="C2803">
        <v>0.77</v>
      </c>
    </row>
    <row r="2804" spans="1:3" x14ac:dyDescent="0.25">
      <c r="A2804" s="98">
        <v>9.9240589936353505</v>
      </c>
      <c r="B2804">
        <v>0.75</v>
      </c>
      <c r="C2804">
        <v>0.79</v>
      </c>
    </row>
    <row r="2805" spans="1:3" x14ac:dyDescent="0.25">
      <c r="A2805" s="98">
        <v>9.9276007288749497</v>
      </c>
      <c r="B2805">
        <v>0.73</v>
      </c>
      <c r="C2805">
        <v>0.81</v>
      </c>
    </row>
    <row r="2806" spans="1:3" x14ac:dyDescent="0.25">
      <c r="A2806" s="98">
        <v>9.9311423143027007</v>
      </c>
      <c r="B2806">
        <v>0.67</v>
      </c>
      <c r="C2806">
        <v>0.8</v>
      </c>
    </row>
    <row r="2807" spans="1:3" x14ac:dyDescent="0.25">
      <c r="A2807" s="98">
        <v>9.9346818984493002</v>
      </c>
      <c r="B2807">
        <v>0.65</v>
      </c>
      <c r="C2807">
        <v>0.77</v>
      </c>
    </row>
    <row r="2808" spans="1:3" x14ac:dyDescent="0.25">
      <c r="A2808" s="98">
        <v>9.9382222101920092</v>
      </c>
      <c r="B2808">
        <v>0.73</v>
      </c>
      <c r="C2808">
        <v>0.87</v>
      </c>
    </row>
    <row r="2809" spans="1:3" x14ac:dyDescent="0.25">
      <c r="A2809" s="98">
        <v>9.9417637967125092</v>
      </c>
      <c r="B2809">
        <v>0.23</v>
      </c>
      <c r="C2809">
        <v>0.05</v>
      </c>
    </row>
    <row r="2810" spans="1:3" x14ac:dyDescent="0.25">
      <c r="A2810" s="98">
        <v>9.9453055369798697</v>
      </c>
      <c r="B2810">
        <v>0.67</v>
      </c>
      <c r="C2810">
        <v>0.64</v>
      </c>
    </row>
    <row r="2811" spans="1:3" x14ac:dyDescent="0.25">
      <c r="A2811" s="98">
        <v>9.94884948969991</v>
      </c>
      <c r="B2811">
        <v>0.7</v>
      </c>
      <c r="C2811">
        <v>0.66</v>
      </c>
    </row>
    <row r="2812" spans="1:3" x14ac:dyDescent="0.25">
      <c r="A2812" s="98">
        <v>9.9523911816819908</v>
      </c>
      <c r="B2812">
        <v>0.83</v>
      </c>
      <c r="C2812">
        <v>0.72</v>
      </c>
    </row>
    <row r="2813" spans="1:3" x14ac:dyDescent="0.25">
      <c r="A2813" s="98">
        <v>9.9559328099809292</v>
      </c>
      <c r="B2813">
        <v>0.85</v>
      </c>
      <c r="C2813">
        <v>0.77</v>
      </c>
    </row>
    <row r="2814" spans="1:3" x14ac:dyDescent="0.25">
      <c r="A2814" s="98">
        <v>9.9594767151993704</v>
      </c>
      <c r="B2814">
        <v>0.85</v>
      </c>
      <c r="C2814">
        <v>0.72</v>
      </c>
    </row>
    <row r="2815" spans="1:3" x14ac:dyDescent="0.25">
      <c r="A2815" s="98">
        <v>9.9630197496822497</v>
      </c>
      <c r="B2815">
        <v>0.88</v>
      </c>
      <c r="C2815">
        <v>0.8</v>
      </c>
    </row>
    <row r="2816" spans="1:3" x14ac:dyDescent="0.25">
      <c r="A2816" s="98">
        <v>9.9665639269683002</v>
      </c>
      <c r="B2816">
        <v>0.92</v>
      </c>
      <c r="C2816">
        <v>0.79</v>
      </c>
    </row>
    <row r="2817" spans="1:3" x14ac:dyDescent="0.25">
      <c r="A2817" s="98">
        <v>9.9701056828487804</v>
      </c>
      <c r="B2817">
        <v>0.84</v>
      </c>
      <c r="C2817">
        <v>0.77</v>
      </c>
    </row>
    <row r="2818" spans="1:3" x14ac:dyDescent="0.25">
      <c r="A2818" s="98">
        <v>9.9736483088853092</v>
      </c>
      <c r="B2818">
        <v>0.84</v>
      </c>
      <c r="C2818">
        <v>0.75</v>
      </c>
    </row>
    <row r="2819" spans="1:3" x14ac:dyDescent="0.25">
      <c r="A2819" s="98">
        <v>9.97719281561948</v>
      </c>
      <c r="B2819">
        <v>0.71</v>
      </c>
      <c r="C2819">
        <v>0.75</v>
      </c>
    </row>
    <row r="2820" spans="1:3" x14ac:dyDescent="0.25">
      <c r="A2820" s="98">
        <v>9.9807357306833602</v>
      </c>
      <c r="B2820">
        <v>0.71</v>
      </c>
      <c r="C2820">
        <v>0.78</v>
      </c>
    </row>
    <row r="2821" spans="1:3" x14ac:dyDescent="0.25">
      <c r="A2821" s="98">
        <v>9.9842792671366905</v>
      </c>
      <c r="B2821">
        <v>0.71</v>
      </c>
      <c r="C2821">
        <v>0.75</v>
      </c>
    </row>
    <row r="2822" spans="1:3" x14ac:dyDescent="0.25">
      <c r="A2822" s="98">
        <v>9.9878230747580492</v>
      </c>
      <c r="B2822">
        <v>0.88</v>
      </c>
      <c r="C2822">
        <v>0.81</v>
      </c>
    </row>
    <row r="2823" spans="1:3" x14ac:dyDescent="0.25">
      <c r="A2823" s="98">
        <v>9.9913653473776805</v>
      </c>
      <c r="B2823">
        <v>0.82</v>
      </c>
      <c r="C2823">
        <v>0.75</v>
      </c>
    </row>
    <row r="2824" spans="1:3" x14ac:dyDescent="0.25">
      <c r="A2824" s="98">
        <v>9.9949083203960303</v>
      </c>
      <c r="B2824">
        <v>0.76</v>
      </c>
      <c r="C2824">
        <v>0.77</v>
      </c>
    </row>
    <row r="2825" spans="1:3" x14ac:dyDescent="0.25">
      <c r="A2825" s="98">
        <v>9.9984513009587896</v>
      </c>
      <c r="B2825">
        <v>0.72</v>
      </c>
      <c r="C2825">
        <v>0.76</v>
      </c>
    </row>
    <row r="2826" spans="1:3" x14ac:dyDescent="0.25">
      <c r="A2826" s="98">
        <v>10.0019964049315</v>
      </c>
      <c r="B2826">
        <v>0.7</v>
      </c>
      <c r="C2826">
        <v>0.75</v>
      </c>
    </row>
    <row r="2827" spans="1:3" x14ac:dyDescent="0.25">
      <c r="A2827" s="98">
        <v>10.005539338925299</v>
      </c>
      <c r="B2827">
        <v>0.7</v>
      </c>
      <c r="C2827">
        <v>0.75</v>
      </c>
    </row>
    <row r="2828" spans="1:3" x14ac:dyDescent="0.25">
      <c r="A2828" s="98">
        <v>10.0090824178854</v>
      </c>
      <c r="B2828">
        <v>0.75</v>
      </c>
      <c r="C2828">
        <v>0.8</v>
      </c>
    </row>
    <row r="2829" spans="1:3" x14ac:dyDescent="0.25">
      <c r="A2829" s="98">
        <v>10.012625080573301</v>
      </c>
      <c r="B2829">
        <v>0.78</v>
      </c>
      <c r="C2829">
        <v>0.81</v>
      </c>
    </row>
    <row r="2830" spans="1:3" x14ac:dyDescent="0.25">
      <c r="A2830" s="98">
        <v>10.016168420138101</v>
      </c>
      <c r="B2830">
        <v>0.8</v>
      </c>
      <c r="C2830">
        <v>0.77</v>
      </c>
    </row>
    <row r="2831" spans="1:3" x14ac:dyDescent="0.25">
      <c r="A2831" s="98">
        <v>10.0197127455362</v>
      </c>
      <c r="B2831">
        <v>0.74</v>
      </c>
      <c r="C2831">
        <v>0.69</v>
      </c>
    </row>
    <row r="2832" spans="1:3" x14ac:dyDescent="0.25">
      <c r="A2832" s="98">
        <v>10.023255580591901</v>
      </c>
      <c r="B2832">
        <v>0.84</v>
      </c>
      <c r="C2832">
        <v>0.68</v>
      </c>
    </row>
    <row r="2833" spans="1:3" x14ac:dyDescent="0.25">
      <c r="A2833" s="98">
        <v>10.0267983874071</v>
      </c>
      <c r="B2833">
        <v>0.86</v>
      </c>
      <c r="C2833">
        <v>0.75</v>
      </c>
    </row>
    <row r="2834" spans="1:3" x14ac:dyDescent="0.25">
      <c r="A2834" s="98">
        <v>10.030341320998099</v>
      </c>
      <c r="B2834">
        <v>0.88</v>
      </c>
      <c r="C2834">
        <v>0.79</v>
      </c>
    </row>
    <row r="2835" spans="1:3" x14ac:dyDescent="0.25">
      <c r="A2835" s="98">
        <v>10.0338829466479</v>
      </c>
      <c r="B2835">
        <v>0.86</v>
      </c>
      <c r="C2835">
        <v>0.71</v>
      </c>
    </row>
    <row r="2836" spans="1:3" x14ac:dyDescent="0.25">
      <c r="A2836" s="98">
        <v>10.037426135258499</v>
      </c>
      <c r="B2836">
        <v>0.8</v>
      </c>
      <c r="C2836">
        <v>0.7</v>
      </c>
    </row>
    <row r="2837" spans="1:3" x14ac:dyDescent="0.25">
      <c r="A2837" s="98">
        <v>10.0409682139588</v>
      </c>
      <c r="B2837">
        <v>0.83</v>
      </c>
      <c r="C2837">
        <v>0.8</v>
      </c>
    </row>
    <row r="2838" spans="1:3" x14ac:dyDescent="0.25">
      <c r="A2838" s="98">
        <v>10.0445116394151</v>
      </c>
      <c r="B2838">
        <v>0.7</v>
      </c>
      <c r="C2838">
        <v>0.75</v>
      </c>
    </row>
    <row r="2839" spans="1:3" x14ac:dyDescent="0.25">
      <c r="A2839" s="98">
        <v>10.0480542759597</v>
      </c>
      <c r="B2839">
        <v>0.77</v>
      </c>
      <c r="C2839">
        <v>0.77</v>
      </c>
    </row>
    <row r="2840" spans="1:3" x14ac:dyDescent="0.25">
      <c r="A2840" s="98">
        <v>10.051596133361199</v>
      </c>
      <c r="B2840">
        <v>0.72</v>
      </c>
      <c r="C2840">
        <v>0.77</v>
      </c>
    </row>
    <row r="2841" spans="1:3" x14ac:dyDescent="0.25">
      <c r="A2841" s="98">
        <v>10.055138755959399</v>
      </c>
      <c r="B2841">
        <v>0.66</v>
      </c>
      <c r="C2841">
        <v>0.8</v>
      </c>
    </row>
    <row r="2842" spans="1:3" x14ac:dyDescent="0.25">
      <c r="A2842" s="98">
        <v>10.058683570866201</v>
      </c>
      <c r="B2842">
        <v>0.64</v>
      </c>
      <c r="C2842">
        <v>0.82</v>
      </c>
    </row>
    <row r="2843" spans="1:3" x14ac:dyDescent="0.25">
      <c r="A2843" s="98">
        <v>10.062226464671101</v>
      </c>
      <c r="B2843">
        <v>0.68</v>
      </c>
      <c r="C2843">
        <v>0.74</v>
      </c>
    </row>
    <row r="2844" spans="1:3" x14ac:dyDescent="0.25">
      <c r="A2844" s="98">
        <v>10.065768010163699</v>
      </c>
      <c r="B2844">
        <v>0.69</v>
      </c>
      <c r="C2844">
        <v>0.76</v>
      </c>
    </row>
    <row r="2845" spans="1:3" x14ac:dyDescent="0.25">
      <c r="A2845" s="98">
        <v>10.069311121906299</v>
      </c>
      <c r="B2845">
        <v>0.7</v>
      </c>
      <c r="C2845">
        <v>0.78</v>
      </c>
    </row>
    <row r="2846" spans="1:3" x14ac:dyDescent="0.25">
      <c r="A2846" s="98">
        <v>10.0728538007758</v>
      </c>
      <c r="B2846">
        <v>0.76</v>
      </c>
      <c r="C2846">
        <v>0.8</v>
      </c>
    </row>
    <row r="2847" spans="1:3" x14ac:dyDescent="0.25">
      <c r="A2847" s="98">
        <v>10.0763971172273</v>
      </c>
      <c r="B2847">
        <v>0.81</v>
      </c>
      <c r="C2847">
        <v>0.82</v>
      </c>
    </row>
    <row r="2848" spans="1:3" x14ac:dyDescent="0.25">
      <c r="A2848" s="98">
        <v>10.0799403837764</v>
      </c>
      <c r="B2848">
        <v>0.81</v>
      </c>
      <c r="C2848">
        <v>0.74</v>
      </c>
    </row>
    <row r="2849" spans="1:3" x14ac:dyDescent="0.25">
      <c r="A2849" s="98">
        <v>10.0834839682281</v>
      </c>
      <c r="B2849">
        <v>0.83</v>
      </c>
      <c r="C2849">
        <v>0.77</v>
      </c>
    </row>
    <row r="2850" spans="1:3" x14ac:dyDescent="0.25">
      <c r="A2850" s="98">
        <v>10.0870265332637</v>
      </c>
      <c r="B2850">
        <v>0.89</v>
      </c>
      <c r="C2850">
        <v>0.8</v>
      </c>
    </row>
    <row r="2851" spans="1:3" x14ac:dyDescent="0.25">
      <c r="A2851" s="98">
        <v>10.0905709221572</v>
      </c>
      <c r="B2851">
        <v>0.83</v>
      </c>
      <c r="C2851">
        <v>0.75</v>
      </c>
    </row>
    <row r="2852" spans="1:3" x14ac:dyDescent="0.25">
      <c r="A2852" s="98">
        <v>10.0941150010459</v>
      </c>
      <c r="B2852">
        <v>0.78</v>
      </c>
      <c r="C2852">
        <v>0.7</v>
      </c>
    </row>
    <row r="2853" spans="1:3" x14ac:dyDescent="0.25">
      <c r="A2853" s="98">
        <v>10.097660507785999</v>
      </c>
      <c r="B2853">
        <v>0.81</v>
      </c>
      <c r="C2853">
        <v>0.74</v>
      </c>
    </row>
    <row r="2854" spans="1:3" x14ac:dyDescent="0.25">
      <c r="A2854" s="98">
        <v>10.1012030734673</v>
      </c>
      <c r="B2854">
        <v>0.78</v>
      </c>
      <c r="C2854">
        <v>0.76</v>
      </c>
    </row>
    <row r="2855" spans="1:3" x14ac:dyDescent="0.25">
      <c r="A2855" s="98">
        <v>10.104747853096899</v>
      </c>
      <c r="B2855">
        <v>0.79</v>
      </c>
      <c r="C2855">
        <v>0.77</v>
      </c>
    </row>
    <row r="2856" spans="1:3" x14ac:dyDescent="0.25">
      <c r="A2856" s="98">
        <v>10.1082892991381</v>
      </c>
      <c r="B2856">
        <v>0.68</v>
      </c>
      <c r="C2856">
        <v>0.74</v>
      </c>
    </row>
    <row r="2857" spans="1:3" x14ac:dyDescent="0.25">
      <c r="A2857" s="98">
        <v>10.1118333229256</v>
      </c>
      <c r="B2857">
        <v>0.56999999999999995</v>
      </c>
      <c r="C2857">
        <v>0.76</v>
      </c>
    </row>
    <row r="2858" spans="1:3" x14ac:dyDescent="0.25">
      <c r="A2858" s="98">
        <v>10.115375734402001</v>
      </c>
      <c r="B2858">
        <v>0.57999999999999996</v>
      </c>
      <c r="C2858">
        <v>0.75</v>
      </c>
    </row>
    <row r="2859" spans="1:3" x14ac:dyDescent="0.25">
      <c r="A2859">
        <v>10.1189190067571</v>
      </c>
      <c r="B2859">
        <v>0.59</v>
      </c>
      <c r="C2859">
        <v>0.72</v>
      </c>
    </row>
    <row r="2860" spans="1:3" x14ac:dyDescent="0.25">
      <c r="A2860">
        <v>10.122463138865101</v>
      </c>
      <c r="B2860">
        <v>0.63</v>
      </c>
      <c r="C2860">
        <v>0.79</v>
      </c>
    </row>
    <row r="2861" spans="1:3" x14ac:dyDescent="0.25">
      <c r="A2861">
        <v>10.1260058375972</v>
      </c>
      <c r="B2861">
        <v>0.7</v>
      </c>
      <c r="C2861">
        <v>0.78</v>
      </c>
    </row>
    <row r="2862" spans="1:3" x14ac:dyDescent="0.25">
      <c r="A2862">
        <v>10.129548988115999</v>
      </c>
      <c r="B2862">
        <v>0.75</v>
      </c>
      <c r="C2862">
        <v>0.73</v>
      </c>
    </row>
    <row r="2863" spans="1:3" x14ac:dyDescent="0.25">
      <c r="A2863">
        <v>10.133091301338499</v>
      </c>
      <c r="B2863">
        <v>0.75</v>
      </c>
      <c r="C2863">
        <v>0.8</v>
      </c>
    </row>
    <row r="2864" spans="1:3" x14ac:dyDescent="0.25">
      <c r="A2864">
        <v>10.1366343634768</v>
      </c>
      <c r="B2864">
        <v>0.74</v>
      </c>
      <c r="C2864">
        <v>0.73</v>
      </c>
    </row>
    <row r="2865" spans="1:3" x14ac:dyDescent="0.25">
      <c r="A2865">
        <v>10.140176327719701</v>
      </c>
      <c r="B2865">
        <v>0.79</v>
      </c>
      <c r="C2865">
        <v>0.77</v>
      </c>
    </row>
    <row r="2866" spans="1:3" x14ac:dyDescent="0.25">
      <c r="A2866">
        <v>10.143722546757299</v>
      </c>
      <c r="B2866">
        <v>0.8</v>
      </c>
      <c r="C2866">
        <v>0.76</v>
      </c>
    </row>
    <row r="2867" spans="1:3" x14ac:dyDescent="0.25">
      <c r="A2867">
        <v>10.147265621368501</v>
      </c>
      <c r="B2867">
        <v>0.83</v>
      </c>
      <c r="C2867">
        <v>0.72</v>
      </c>
    </row>
    <row r="2868" spans="1:3" x14ac:dyDescent="0.25">
      <c r="A2868">
        <v>10.150808381680999</v>
      </c>
      <c r="B2868">
        <v>0.74</v>
      </c>
      <c r="C2868">
        <v>0.71</v>
      </c>
    </row>
    <row r="2869" spans="1:3" x14ac:dyDescent="0.25">
      <c r="A2869">
        <v>10.154351470785</v>
      </c>
      <c r="B2869">
        <v>0.74</v>
      </c>
      <c r="C2869">
        <v>0.75</v>
      </c>
    </row>
    <row r="2870" spans="1:3" x14ac:dyDescent="0.25">
      <c r="A2870">
        <v>10.1578942498509</v>
      </c>
      <c r="B2870">
        <v>0.73</v>
      </c>
      <c r="C2870">
        <v>0.74</v>
      </c>
    </row>
    <row r="2871" spans="1:3" x14ac:dyDescent="0.25">
      <c r="A2871">
        <v>10.1614380939249</v>
      </c>
      <c r="B2871">
        <v>0.62</v>
      </c>
      <c r="C2871">
        <v>0.73</v>
      </c>
    </row>
    <row r="2872" spans="1:3" x14ac:dyDescent="0.25">
      <c r="A2872">
        <v>10.1649800106662</v>
      </c>
      <c r="B2872">
        <v>0.53</v>
      </c>
      <c r="C2872">
        <v>0.69</v>
      </c>
    </row>
    <row r="2873" spans="1:3" x14ac:dyDescent="0.25">
      <c r="A2873">
        <v>10.168525044620001</v>
      </c>
      <c r="B2873">
        <v>0.54</v>
      </c>
      <c r="C2873">
        <v>0.71</v>
      </c>
    </row>
    <row r="2874" spans="1:3" x14ac:dyDescent="0.25">
      <c r="A2874">
        <v>10.172067664050299</v>
      </c>
      <c r="B2874">
        <v>0.51</v>
      </c>
      <c r="C2874">
        <v>0.69</v>
      </c>
    </row>
    <row r="2875" spans="1:3" x14ac:dyDescent="0.25">
      <c r="A2875">
        <v>10.1756101428579</v>
      </c>
      <c r="B2875">
        <v>0.57999999999999996</v>
      </c>
      <c r="C2875">
        <v>0.66</v>
      </c>
    </row>
    <row r="2876" spans="1:3" x14ac:dyDescent="0.25">
      <c r="A2876">
        <v>10.1791548822378</v>
      </c>
      <c r="B2876">
        <v>0.56000000000000005</v>
      </c>
      <c r="C2876">
        <v>0.65</v>
      </c>
    </row>
    <row r="2877" spans="1:3" x14ac:dyDescent="0.25">
      <c r="A2877">
        <v>10.182696620170701</v>
      </c>
      <c r="B2877">
        <v>0.67</v>
      </c>
      <c r="C2877">
        <v>0.73</v>
      </c>
    </row>
    <row r="2878" spans="1:3" x14ac:dyDescent="0.25">
      <c r="A2878">
        <v>10.186238930832401</v>
      </c>
      <c r="B2878">
        <v>0.8</v>
      </c>
      <c r="C2878">
        <v>0.77</v>
      </c>
    </row>
    <row r="2879" spans="1:3" x14ac:dyDescent="0.25">
      <c r="A2879">
        <v>10.1897817890732</v>
      </c>
      <c r="B2879">
        <v>0.72</v>
      </c>
      <c r="C2879">
        <v>0.75</v>
      </c>
    </row>
    <row r="2880" spans="1:3" x14ac:dyDescent="0.25">
      <c r="A2880">
        <v>10.193325544109999</v>
      </c>
      <c r="B2880">
        <v>0.73</v>
      </c>
      <c r="C2880">
        <v>0.7</v>
      </c>
    </row>
    <row r="2881" spans="1:3" x14ac:dyDescent="0.25">
      <c r="A2881">
        <v>10.1968684712549</v>
      </c>
      <c r="B2881">
        <v>0.84</v>
      </c>
      <c r="C2881">
        <v>0.7</v>
      </c>
    </row>
    <row r="2882" spans="1:3" x14ac:dyDescent="0.25">
      <c r="A2882">
        <v>10.2004113484698</v>
      </c>
      <c r="B2882">
        <v>0.77</v>
      </c>
      <c r="C2882">
        <v>0.72</v>
      </c>
    </row>
    <row r="2883" spans="1:3" x14ac:dyDescent="0.25">
      <c r="A2883">
        <v>10.203954399211501</v>
      </c>
      <c r="B2883">
        <v>0.79</v>
      </c>
      <c r="C2883">
        <v>0.71</v>
      </c>
    </row>
    <row r="2884" spans="1:3" x14ac:dyDescent="0.25">
      <c r="A2884">
        <v>10.207497446542501</v>
      </c>
      <c r="B2884">
        <v>0.8</v>
      </c>
      <c r="C2884">
        <v>0.74</v>
      </c>
    </row>
    <row r="2885" spans="1:3" x14ac:dyDescent="0.25">
      <c r="A2885">
        <v>10.2110406699721</v>
      </c>
      <c r="B2885">
        <v>0.74</v>
      </c>
      <c r="C2885">
        <v>0.69</v>
      </c>
    </row>
    <row r="2886" spans="1:3" x14ac:dyDescent="0.25">
      <c r="A2886">
        <v>10.214582200431099</v>
      </c>
      <c r="B2886">
        <v>0.76</v>
      </c>
      <c r="C2886">
        <v>0.73</v>
      </c>
    </row>
    <row r="2887" spans="1:3" x14ac:dyDescent="0.25">
      <c r="A2887">
        <v>10.218125964767401</v>
      </c>
      <c r="B2887">
        <v>0.65</v>
      </c>
      <c r="C2887">
        <v>0.72</v>
      </c>
    </row>
    <row r="2888" spans="1:3" x14ac:dyDescent="0.25">
      <c r="A2888">
        <v>10.2216712886481</v>
      </c>
      <c r="B2888">
        <v>0.57999999999999996</v>
      </c>
      <c r="C2888">
        <v>0.69</v>
      </c>
    </row>
    <row r="2889" spans="1:3" x14ac:dyDescent="0.25">
      <c r="A2889">
        <v>10.225215523745099</v>
      </c>
      <c r="B2889">
        <v>0.57999999999999996</v>
      </c>
      <c r="C2889">
        <v>0.72</v>
      </c>
    </row>
    <row r="2890" spans="1:3" x14ac:dyDescent="0.25">
      <c r="A2890">
        <v>10.2287581655051</v>
      </c>
      <c r="B2890">
        <v>0.57999999999999996</v>
      </c>
      <c r="C2890">
        <v>0.71</v>
      </c>
    </row>
    <row r="2891" spans="1:3" x14ac:dyDescent="0.25">
      <c r="A2891">
        <v>10.232299911203199</v>
      </c>
      <c r="B2891">
        <v>0.54</v>
      </c>
      <c r="C2891">
        <v>0.65</v>
      </c>
    </row>
    <row r="2892" spans="1:3" x14ac:dyDescent="0.25">
      <c r="A2892">
        <v>10.235842869281701</v>
      </c>
      <c r="B2892">
        <v>0.56000000000000005</v>
      </c>
      <c r="C2892">
        <v>0.65</v>
      </c>
    </row>
    <row r="2893" spans="1:3" x14ac:dyDescent="0.25">
      <c r="A2893">
        <v>10.2393879737677</v>
      </c>
      <c r="B2893">
        <v>0.62</v>
      </c>
      <c r="C2893">
        <v>0.7</v>
      </c>
    </row>
    <row r="2894" spans="1:3" x14ac:dyDescent="0.25">
      <c r="A2894">
        <v>10.242930234643</v>
      </c>
      <c r="B2894">
        <v>0.62</v>
      </c>
      <c r="C2894">
        <v>0.66</v>
      </c>
    </row>
    <row r="2895" spans="1:3" x14ac:dyDescent="0.25">
      <c r="A2895">
        <v>10.246472644458199</v>
      </c>
      <c r="B2895">
        <v>0.66</v>
      </c>
      <c r="C2895">
        <v>0.66</v>
      </c>
    </row>
    <row r="2896" spans="1:3" x14ac:dyDescent="0.25">
      <c r="A2896">
        <v>10.250017823063599</v>
      </c>
      <c r="B2896">
        <v>0.69</v>
      </c>
      <c r="C2896">
        <v>0.65</v>
      </c>
    </row>
    <row r="2897" spans="1:3" x14ac:dyDescent="0.25">
      <c r="A2897">
        <v>10.253559273812501</v>
      </c>
      <c r="B2897">
        <v>0.77</v>
      </c>
      <c r="C2897">
        <v>0.65</v>
      </c>
    </row>
    <row r="2898" spans="1:3" x14ac:dyDescent="0.25">
      <c r="A2898">
        <v>10.257100988118699</v>
      </c>
      <c r="B2898">
        <v>0.77</v>
      </c>
      <c r="C2898">
        <v>0.63</v>
      </c>
    </row>
    <row r="2899" spans="1:3" x14ac:dyDescent="0.25">
      <c r="A2899">
        <v>10.260643815238099</v>
      </c>
      <c r="B2899">
        <v>0.77</v>
      </c>
      <c r="C2899">
        <v>0.63</v>
      </c>
    </row>
    <row r="2900" spans="1:3" x14ac:dyDescent="0.25">
      <c r="A2900">
        <v>10.264187856106799</v>
      </c>
      <c r="B2900">
        <v>0.78</v>
      </c>
      <c r="C2900">
        <v>0.63</v>
      </c>
    </row>
    <row r="2901" spans="1:3" x14ac:dyDescent="0.25">
      <c r="A2901">
        <v>10.267732218388</v>
      </c>
      <c r="B2901">
        <v>0.75</v>
      </c>
      <c r="C2901">
        <v>0.62</v>
      </c>
    </row>
    <row r="2902" spans="1:3" x14ac:dyDescent="0.25">
      <c r="A2902">
        <v>10.271276229007301</v>
      </c>
      <c r="B2902">
        <v>0.74</v>
      </c>
      <c r="C2902">
        <v>0.62</v>
      </c>
    </row>
    <row r="2903" spans="1:3" x14ac:dyDescent="0.25">
      <c r="A2903">
        <v>10.274818726507601</v>
      </c>
      <c r="B2903">
        <v>0.73</v>
      </c>
      <c r="C2903">
        <v>0.64</v>
      </c>
    </row>
    <row r="2904" spans="1:3" x14ac:dyDescent="0.25">
      <c r="A2904">
        <v>10.2783615001429</v>
      </c>
      <c r="B2904">
        <v>0.65</v>
      </c>
      <c r="C2904">
        <v>0.61</v>
      </c>
    </row>
    <row r="2905" spans="1:3" x14ac:dyDescent="0.25">
      <c r="A2905">
        <v>10.2819037554495</v>
      </c>
      <c r="B2905">
        <v>0.7</v>
      </c>
      <c r="C2905">
        <v>0.66</v>
      </c>
    </row>
    <row r="2906" spans="1:3" x14ac:dyDescent="0.25">
      <c r="A2906">
        <v>10.285449403331199</v>
      </c>
      <c r="B2906">
        <v>0.66</v>
      </c>
      <c r="C2906">
        <v>0.67</v>
      </c>
    </row>
    <row r="2907" spans="1:3" x14ac:dyDescent="0.25">
      <c r="A2907">
        <v>10.2889910661291</v>
      </c>
      <c r="B2907">
        <v>0.62</v>
      </c>
      <c r="C2907">
        <v>0.68</v>
      </c>
    </row>
    <row r="2908" spans="1:3" x14ac:dyDescent="0.25">
      <c r="A2908">
        <v>10.292534166922101</v>
      </c>
      <c r="B2908">
        <v>0.59</v>
      </c>
      <c r="C2908">
        <v>0.74</v>
      </c>
    </row>
    <row r="2909" spans="1:3" x14ac:dyDescent="0.25">
      <c r="A2909">
        <v>10.296078018628799</v>
      </c>
      <c r="B2909">
        <v>0.5</v>
      </c>
      <c r="C2909">
        <v>0.66</v>
      </c>
    </row>
    <row r="2910" spans="1:3" x14ac:dyDescent="0.25">
      <c r="A2910">
        <v>10.299620782997801</v>
      </c>
      <c r="B2910">
        <v>0.52</v>
      </c>
      <c r="C2910">
        <v>0.68</v>
      </c>
    </row>
    <row r="2911" spans="1:3" x14ac:dyDescent="0.25">
      <c r="A2911">
        <v>10.303163667988899</v>
      </c>
      <c r="B2911">
        <v>0.49</v>
      </c>
      <c r="C2911">
        <v>0.68</v>
      </c>
    </row>
    <row r="2912" spans="1:3" x14ac:dyDescent="0.25">
      <c r="A2912">
        <v>10.3067088044517</v>
      </c>
      <c r="B2912">
        <v>0.49</v>
      </c>
      <c r="C2912">
        <v>0.62</v>
      </c>
    </row>
    <row r="2913" spans="1:3" x14ac:dyDescent="0.25">
      <c r="A2913">
        <v>10.310251521374299</v>
      </c>
      <c r="B2913">
        <v>0.6</v>
      </c>
      <c r="C2913">
        <v>0.7</v>
      </c>
    </row>
    <row r="2914" spans="1:3" x14ac:dyDescent="0.25">
      <c r="A2914">
        <v>10.3137935527772</v>
      </c>
      <c r="B2914">
        <v>0.62</v>
      </c>
      <c r="C2914">
        <v>0.66</v>
      </c>
    </row>
    <row r="2915" spans="1:3" x14ac:dyDescent="0.25">
      <c r="A2915">
        <v>10.3173362104981</v>
      </c>
      <c r="B2915">
        <v>0.76</v>
      </c>
      <c r="C2915">
        <v>0.69</v>
      </c>
    </row>
    <row r="2916" spans="1:3" x14ac:dyDescent="0.25">
      <c r="A2916">
        <v>10.320879002765301</v>
      </c>
      <c r="B2916">
        <v>0.74</v>
      </c>
      <c r="C2916">
        <v>0.66</v>
      </c>
    </row>
    <row r="2917" spans="1:3" x14ac:dyDescent="0.25">
      <c r="A2917">
        <v>10.3244209724885</v>
      </c>
      <c r="B2917">
        <v>0.71</v>
      </c>
      <c r="C2917">
        <v>0.69</v>
      </c>
    </row>
    <row r="2918" spans="1:3" x14ac:dyDescent="0.25">
      <c r="A2918">
        <v>10.3279630825254</v>
      </c>
      <c r="B2918">
        <v>0.82</v>
      </c>
      <c r="C2918">
        <v>0.72</v>
      </c>
    </row>
    <row r="2919" spans="1:3" x14ac:dyDescent="0.25">
      <c r="A2919">
        <v>10.331506073060901</v>
      </c>
      <c r="B2919">
        <v>0.75</v>
      </c>
      <c r="C2919">
        <v>0.67</v>
      </c>
    </row>
    <row r="2920" spans="1:3" x14ac:dyDescent="0.25">
      <c r="A2920">
        <v>10.3350488379597</v>
      </c>
      <c r="B2920">
        <v>0.78</v>
      </c>
      <c r="C2920">
        <v>0.69</v>
      </c>
    </row>
    <row r="2921" spans="1:3" x14ac:dyDescent="0.25">
      <c r="A2921">
        <v>10.338591825090001</v>
      </c>
      <c r="B2921">
        <v>0.76</v>
      </c>
      <c r="C2921">
        <v>0.71</v>
      </c>
    </row>
    <row r="2922" spans="1:3" x14ac:dyDescent="0.25">
      <c r="A2922">
        <v>10.342135085458001</v>
      </c>
      <c r="B2922">
        <v>0.73</v>
      </c>
      <c r="C2922">
        <v>0.68</v>
      </c>
    </row>
    <row r="2923" spans="1:3" x14ac:dyDescent="0.25">
      <c r="A2923">
        <v>10.3456778881284</v>
      </c>
      <c r="B2923">
        <v>0.63</v>
      </c>
      <c r="C2923">
        <v>0.65</v>
      </c>
    </row>
    <row r="2924" spans="1:3" x14ac:dyDescent="0.25">
      <c r="A2924">
        <v>10.349220780824</v>
      </c>
      <c r="B2924">
        <v>0.72</v>
      </c>
      <c r="C2924">
        <v>0.66</v>
      </c>
    </row>
    <row r="2925" spans="1:3" x14ac:dyDescent="0.25">
      <c r="A2925">
        <v>10.3527647239576</v>
      </c>
      <c r="B2925">
        <v>0.52</v>
      </c>
      <c r="C2925">
        <v>0.6</v>
      </c>
    </row>
    <row r="2926" spans="1:3" x14ac:dyDescent="0.25">
      <c r="A2926">
        <v>10.3563083829427</v>
      </c>
      <c r="B2926">
        <v>0.49</v>
      </c>
      <c r="C2926">
        <v>0.62</v>
      </c>
    </row>
    <row r="2927" spans="1:3" x14ac:dyDescent="0.25">
      <c r="A2927">
        <v>10.3598524090813</v>
      </c>
      <c r="B2927">
        <v>0.46</v>
      </c>
      <c r="C2927">
        <v>0.6</v>
      </c>
    </row>
    <row r="2928" spans="1:3" x14ac:dyDescent="0.25">
      <c r="A2928">
        <v>10.363396545637499</v>
      </c>
      <c r="B2928">
        <v>0.51</v>
      </c>
      <c r="C2928">
        <v>0.65</v>
      </c>
    </row>
    <row r="2929" spans="1:3" x14ac:dyDescent="0.25">
      <c r="A2929">
        <v>10.366940874832601</v>
      </c>
      <c r="B2929">
        <v>0.51</v>
      </c>
      <c r="C2929">
        <v>0.61</v>
      </c>
    </row>
    <row r="2930" spans="1:3" x14ac:dyDescent="0.25">
      <c r="A2930">
        <v>10.370483828534599</v>
      </c>
      <c r="B2930">
        <v>0.47</v>
      </c>
      <c r="C2930">
        <v>0.6</v>
      </c>
    </row>
    <row r="2931" spans="1:3" x14ac:dyDescent="0.25">
      <c r="A2931">
        <v>10.374028236264399</v>
      </c>
      <c r="B2931">
        <v>0.56999999999999995</v>
      </c>
      <c r="C2931">
        <v>0.64</v>
      </c>
    </row>
    <row r="2932" spans="1:3" x14ac:dyDescent="0.25">
      <c r="A2932">
        <v>10.3775712105742</v>
      </c>
      <c r="B2932">
        <v>0.62</v>
      </c>
      <c r="C2932">
        <v>0.63</v>
      </c>
    </row>
    <row r="2933" spans="1:3" x14ac:dyDescent="0.25">
      <c r="A2933">
        <v>10.381115142272501</v>
      </c>
      <c r="B2933">
        <v>0.64</v>
      </c>
      <c r="C2933">
        <v>0.63</v>
      </c>
    </row>
    <row r="2934" spans="1:3" x14ac:dyDescent="0.25">
      <c r="A2934">
        <v>10.384658082894701</v>
      </c>
      <c r="B2934">
        <v>0.67</v>
      </c>
      <c r="C2934">
        <v>0.57999999999999996</v>
      </c>
    </row>
    <row r="2935" spans="1:3" x14ac:dyDescent="0.25">
      <c r="A2935">
        <v>10.3882006572021</v>
      </c>
      <c r="B2935">
        <v>0.76</v>
      </c>
      <c r="C2935">
        <v>0.57999999999999996</v>
      </c>
    </row>
    <row r="2936" spans="1:3" x14ac:dyDescent="0.25">
      <c r="A2936">
        <v>10.3917424412126</v>
      </c>
      <c r="B2936">
        <v>0.74</v>
      </c>
      <c r="C2936">
        <v>0.56999999999999995</v>
      </c>
    </row>
    <row r="2937" spans="1:3" x14ac:dyDescent="0.25">
      <c r="A2937">
        <v>10.395284708848701</v>
      </c>
      <c r="B2937">
        <v>0.73</v>
      </c>
      <c r="C2937">
        <v>0.56000000000000005</v>
      </c>
    </row>
    <row r="2938" spans="1:3" x14ac:dyDescent="0.25">
      <c r="A2938">
        <v>10.398827370802501</v>
      </c>
      <c r="B2938">
        <v>0.72</v>
      </c>
      <c r="C2938">
        <v>0.53</v>
      </c>
    </row>
    <row r="2939" spans="1:3" x14ac:dyDescent="0.25">
      <c r="A2939">
        <v>10.4023704769986</v>
      </c>
      <c r="B2939">
        <v>0.71</v>
      </c>
      <c r="C2939">
        <v>0.57999999999999996</v>
      </c>
    </row>
    <row r="2940" spans="1:3" x14ac:dyDescent="0.25">
      <c r="A2940">
        <v>10.405912417267199</v>
      </c>
      <c r="B2940">
        <v>0.64</v>
      </c>
      <c r="C2940">
        <v>0.61</v>
      </c>
    </row>
    <row r="2941" spans="1:3" x14ac:dyDescent="0.25">
      <c r="A2941">
        <v>10.4094565630897</v>
      </c>
      <c r="B2941">
        <v>0.68</v>
      </c>
      <c r="C2941">
        <v>0.65</v>
      </c>
    </row>
    <row r="2942" spans="1:3" x14ac:dyDescent="0.25">
      <c r="A2942">
        <v>10.4130005520416</v>
      </c>
      <c r="B2942">
        <v>0.62</v>
      </c>
      <c r="C2942">
        <v>0.7</v>
      </c>
    </row>
    <row r="2943" spans="1:3" x14ac:dyDescent="0.25">
      <c r="A2943">
        <v>10.416542561931699</v>
      </c>
      <c r="B2943">
        <v>0.62</v>
      </c>
      <c r="C2943">
        <v>0.69</v>
      </c>
    </row>
    <row r="2944" spans="1:3" x14ac:dyDescent="0.25">
      <c r="A2944">
        <v>10.4200858145621</v>
      </c>
      <c r="B2944">
        <v>0.65</v>
      </c>
      <c r="C2944">
        <v>0.74</v>
      </c>
    </row>
    <row r="2945" spans="1:3" x14ac:dyDescent="0.25">
      <c r="A2945">
        <v>10.4236302093002</v>
      </c>
      <c r="B2945">
        <v>0.61</v>
      </c>
      <c r="C2945">
        <v>0.75</v>
      </c>
    </row>
    <row r="2946" spans="1:3" x14ac:dyDescent="0.25">
      <c r="A2946">
        <v>10.427173069698901</v>
      </c>
      <c r="B2946">
        <v>0.51</v>
      </c>
      <c r="C2946">
        <v>0.71</v>
      </c>
    </row>
    <row r="2947" spans="1:3" x14ac:dyDescent="0.25">
      <c r="A2947">
        <v>10.430717172125901</v>
      </c>
      <c r="B2947">
        <v>0.47</v>
      </c>
      <c r="C2947">
        <v>0.73</v>
      </c>
    </row>
    <row r="2948" spans="1:3" x14ac:dyDescent="0.25">
      <c r="A2948">
        <v>10.434260031961699</v>
      </c>
      <c r="B2948">
        <v>0.47</v>
      </c>
      <c r="C2948">
        <v>0.71</v>
      </c>
    </row>
    <row r="2949" spans="1:3" x14ac:dyDescent="0.25">
      <c r="A2949">
        <v>10.4378021745162</v>
      </c>
      <c r="B2949">
        <v>0.49</v>
      </c>
      <c r="C2949">
        <v>0.7</v>
      </c>
    </row>
    <row r="2950" spans="1:3" x14ac:dyDescent="0.25">
      <c r="A2950">
        <v>10.4413438651903</v>
      </c>
      <c r="B2950">
        <v>0.46</v>
      </c>
      <c r="C2950">
        <v>0.61</v>
      </c>
    </row>
    <row r="2951" spans="1:3" x14ac:dyDescent="0.25">
      <c r="A2951">
        <v>10.4448872267923</v>
      </c>
      <c r="B2951">
        <v>0.48</v>
      </c>
      <c r="C2951">
        <v>0.64</v>
      </c>
    </row>
    <row r="2952" spans="1:3" x14ac:dyDescent="0.25">
      <c r="A2952">
        <v>10.4484290659317</v>
      </c>
      <c r="B2952">
        <v>0.5</v>
      </c>
      <c r="C2952">
        <v>0.56000000000000005</v>
      </c>
    </row>
    <row r="2953" spans="1:3" x14ac:dyDescent="0.25">
      <c r="A2953">
        <v>10.451973994893001</v>
      </c>
      <c r="B2953">
        <v>0.63</v>
      </c>
      <c r="C2953">
        <v>0.57999999999999996</v>
      </c>
    </row>
    <row r="2954" spans="1:3" x14ac:dyDescent="0.25">
      <c r="A2954">
        <v>10.4555182140237</v>
      </c>
      <c r="B2954">
        <v>0.65</v>
      </c>
      <c r="C2954">
        <v>0.56999999999999995</v>
      </c>
    </row>
    <row r="2955" spans="1:3" x14ac:dyDescent="0.25">
      <c r="A2955">
        <v>10.4590615028032</v>
      </c>
      <c r="B2955">
        <v>0.68</v>
      </c>
      <c r="C2955">
        <v>0.55000000000000004</v>
      </c>
    </row>
    <row r="2956" spans="1:3" x14ac:dyDescent="0.25">
      <c r="A2956">
        <v>10.4626036170069</v>
      </c>
      <c r="B2956">
        <v>0.68</v>
      </c>
      <c r="C2956">
        <v>0.56000000000000005</v>
      </c>
    </row>
    <row r="2957" spans="1:3" x14ac:dyDescent="0.25">
      <c r="A2957">
        <v>10.466145824144199</v>
      </c>
      <c r="B2957">
        <v>0.67</v>
      </c>
      <c r="C2957">
        <v>0.56999999999999995</v>
      </c>
    </row>
    <row r="2958" spans="1:3" x14ac:dyDescent="0.25">
      <c r="A2958">
        <v>10.469688957488</v>
      </c>
      <c r="B2958">
        <v>0.65</v>
      </c>
      <c r="C2958">
        <v>0.59</v>
      </c>
    </row>
    <row r="2959" spans="1:3" x14ac:dyDescent="0.25">
      <c r="A2959">
        <v>10.4732335473762</v>
      </c>
      <c r="B2959">
        <v>0.67</v>
      </c>
      <c r="C2959">
        <v>0.64</v>
      </c>
    </row>
    <row r="2960" spans="1:3" x14ac:dyDescent="0.25">
      <c r="A2960">
        <v>10.4767748708471</v>
      </c>
      <c r="B2960">
        <v>0.65</v>
      </c>
      <c r="C2960">
        <v>0.57999999999999996</v>
      </c>
    </row>
    <row r="2961" spans="1:3" x14ac:dyDescent="0.25">
      <c r="A2961">
        <v>10.4803180261287</v>
      </c>
      <c r="B2961">
        <v>0.61</v>
      </c>
      <c r="C2961">
        <v>0.65</v>
      </c>
    </row>
    <row r="2962" spans="1:3" x14ac:dyDescent="0.25">
      <c r="A2962">
        <v>10.483861206803001</v>
      </c>
      <c r="B2962">
        <v>0.6</v>
      </c>
      <c r="C2962">
        <v>0.65</v>
      </c>
    </row>
    <row r="2963" spans="1:3" x14ac:dyDescent="0.25">
      <c r="A2963">
        <v>10.487403723100799</v>
      </c>
      <c r="B2963">
        <v>0.62</v>
      </c>
      <c r="C2963">
        <v>0.66</v>
      </c>
    </row>
    <row r="2964" spans="1:3" x14ac:dyDescent="0.25">
      <c r="A2964">
        <v>10.4909477270698</v>
      </c>
      <c r="B2964">
        <v>0.56999999999999995</v>
      </c>
      <c r="C2964">
        <v>0.62</v>
      </c>
    </row>
    <row r="2965" spans="1:3" x14ac:dyDescent="0.25">
      <c r="A2965">
        <v>10.494491661406199</v>
      </c>
      <c r="B2965">
        <v>0.53</v>
      </c>
      <c r="C2965">
        <v>0.68</v>
      </c>
    </row>
    <row r="2966" spans="1:3" x14ac:dyDescent="0.25">
      <c r="A2966">
        <v>10.498033635555499</v>
      </c>
      <c r="B2966">
        <v>0.56999999999999995</v>
      </c>
      <c r="C2966">
        <v>0.6</v>
      </c>
    </row>
    <row r="2967" spans="1:3" x14ac:dyDescent="0.25">
      <c r="A2967">
        <v>10.501575169977199</v>
      </c>
      <c r="B2967">
        <v>0.62</v>
      </c>
      <c r="C2967">
        <v>0.65</v>
      </c>
    </row>
    <row r="2968" spans="1:3" x14ac:dyDescent="0.25">
      <c r="A2968">
        <v>10.505117564554499</v>
      </c>
      <c r="B2968">
        <v>0.56000000000000005</v>
      </c>
      <c r="C2968">
        <v>0.53</v>
      </c>
    </row>
    <row r="2969" spans="1:3" x14ac:dyDescent="0.25">
      <c r="A2969">
        <v>10.5086592799149</v>
      </c>
      <c r="B2969">
        <v>0.61</v>
      </c>
      <c r="C2969">
        <v>0.6</v>
      </c>
    </row>
    <row r="2970" spans="1:3" x14ac:dyDescent="0.25">
      <c r="A2970">
        <v>10.5122033843287</v>
      </c>
      <c r="B2970">
        <v>0.57999999999999996</v>
      </c>
      <c r="C2970">
        <v>0.59</v>
      </c>
    </row>
    <row r="2971" spans="1:3" x14ac:dyDescent="0.25">
      <c r="A2971">
        <v>10.51574588083</v>
      </c>
      <c r="B2971">
        <v>0.55000000000000004</v>
      </c>
      <c r="C2971">
        <v>0.56999999999999995</v>
      </c>
    </row>
    <row r="2972" spans="1:3" x14ac:dyDescent="0.25">
      <c r="A2972">
        <v>10.519288930926001</v>
      </c>
      <c r="B2972">
        <v>0.54</v>
      </c>
      <c r="C2972">
        <v>0.57999999999999996</v>
      </c>
    </row>
    <row r="2973" spans="1:3" x14ac:dyDescent="0.25">
      <c r="A2973">
        <v>10.522836511587601</v>
      </c>
      <c r="B2973">
        <v>0.52</v>
      </c>
      <c r="C2973">
        <v>0.56999999999999995</v>
      </c>
    </row>
    <row r="2974" spans="1:3" x14ac:dyDescent="0.25">
      <c r="A2974">
        <v>10.526381741442</v>
      </c>
      <c r="B2974">
        <v>0.53</v>
      </c>
      <c r="C2974">
        <v>0.56000000000000005</v>
      </c>
    </row>
    <row r="2975" spans="1:3" x14ac:dyDescent="0.25">
      <c r="A2975">
        <v>10.529924679172201</v>
      </c>
      <c r="B2975">
        <v>0.52</v>
      </c>
      <c r="C2975">
        <v>0.56000000000000005</v>
      </c>
    </row>
    <row r="2976" spans="1:3" x14ac:dyDescent="0.25">
      <c r="A2976">
        <v>10.5334694709601</v>
      </c>
      <c r="B2976">
        <v>0.55000000000000004</v>
      </c>
      <c r="C2976">
        <v>0.57999999999999996</v>
      </c>
    </row>
    <row r="2977" spans="1:3" x14ac:dyDescent="0.25">
      <c r="A2977">
        <v>10.5370126313026</v>
      </c>
      <c r="B2977">
        <v>0.52</v>
      </c>
      <c r="C2977">
        <v>0.53</v>
      </c>
    </row>
    <row r="2978" spans="1:3" x14ac:dyDescent="0.25">
      <c r="A2978">
        <v>10.540555735561499</v>
      </c>
      <c r="B2978">
        <v>0.53</v>
      </c>
      <c r="C2978">
        <v>0.53</v>
      </c>
    </row>
    <row r="2979" spans="1:3" x14ac:dyDescent="0.25">
      <c r="A2979">
        <v>10.544098740689099</v>
      </c>
      <c r="B2979">
        <v>0.53</v>
      </c>
      <c r="C2979">
        <v>0.55000000000000004</v>
      </c>
    </row>
    <row r="2980" spans="1:3" x14ac:dyDescent="0.25">
      <c r="A2980">
        <v>10.547642296022801</v>
      </c>
      <c r="B2980">
        <v>0.53</v>
      </c>
      <c r="C2980">
        <v>0.56999999999999995</v>
      </c>
    </row>
    <row r="2981" spans="1:3" x14ac:dyDescent="0.25">
      <c r="A2981">
        <v>10.551185143258801</v>
      </c>
      <c r="B2981">
        <v>0.53</v>
      </c>
      <c r="C2981">
        <v>0.55000000000000004</v>
      </c>
    </row>
    <row r="2982" spans="1:3" x14ac:dyDescent="0.25">
      <c r="A2982">
        <v>10.5547281510134</v>
      </c>
      <c r="B2982">
        <v>0.56999999999999995</v>
      </c>
      <c r="C2982">
        <v>0.56999999999999995</v>
      </c>
    </row>
    <row r="2983" spans="1:3" x14ac:dyDescent="0.25">
      <c r="A2983">
        <v>10.5582707517732</v>
      </c>
      <c r="B2983">
        <v>0.52</v>
      </c>
      <c r="C2983">
        <v>0.52</v>
      </c>
    </row>
    <row r="2984" spans="1:3" x14ac:dyDescent="0.25">
      <c r="A2984">
        <v>10.561813941128801</v>
      </c>
      <c r="B2984">
        <v>0.47</v>
      </c>
      <c r="C2984">
        <v>0.51</v>
      </c>
    </row>
    <row r="2985" spans="1:3" x14ac:dyDescent="0.25">
      <c r="A2985">
        <v>10.565357329481101</v>
      </c>
      <c r="B2985">
        <v>0.53</v>
      </c>
      <c r="C2985">
        <v>0.55000000000000004</v>
      </c>
    </row>
    <row r="2986" spans="1:3" x14ac:dyDescent="0.25">
      <c r="A2986">
        <v>10.5689007304884</v>
      </c>
      <c r="B2986">
        <v>0.56999999999999995</v>
      </c>
      <c r="C2986">
        <v>0.53</v>
      </c>
    </row>
    <row r="2987" spans="1:3" x14ac:dyDescent="0.25">
      <c r="A2987">
        <v>10.572443867877601</v>
      </c>
      <c r="B2987">
        <v>0.67</v>
      </c>
      <c r="C2987">
        <v>0.56000000000000005</v>
      </c>
    </row>
    <row r="2988" spans="1:3" x14ac:dyDescent="0.25">
      <c r="A2988">
        <v>10.5759859339506</v>
      </c>
      <c r="B2988">
        <v>0.61</v>
      </c>
      <c r="C2988">
        <v>0.51</v>
      </c>
    </row>
    <row r="2989" spans="1:3" x14ac:dyDescent="0.25">
      <c r="A2989">
        <v>10.579529261406901</v>
      </c>
      <c r="B2989">
        <v>0.59</v>
      </c>
      <c r="C2989">
        <v>0.53</v>
      </c>
    </row>
    <row r="2990" spans="1:3" x14ac:dyDescent="0.25">
      <c r="A2990">
        <v>10.5830717905417</v>
      </c>
      <c r="B2990">
        <v>0.59</v>
      </c>
      <c r="C2990">
        <v>0.55000000000000004</v>
      </c>
    </row>
    <row r="2991" spans="1:3" x14ac:dyDescent="0.25">
      <c r="A2991">
        <v>10.586614838590201</v>
      </c>
      <c r="B2991">
        <v>0.56000000000000005</v>
      </c>
      <c r="C2991">
        <v>0.5</v>
      </c>
    </row>
    <row r="2992" spans="1:3" x14ac:dyDescent="0.25">
      <c r="A2992">
        <v>10.590157504848801</v>
      </c>
      <c r="B2992">
        <v>0.56000000000000005</v>
      </c>
      <c r="C2992">
        <v>0.45</v>
      </c>
    </row>
    <row r="2993" spans="1:3" x14ac:dyDescent="0.25">
      <c r="A2993">
        <v>10.593699313738799</v>
      </c>
      <c r="B2993">
        <v>0.53</v>
      </c>
      <c r="C2993">
        <v>0.42</v>
      </c>
    </row>
    <row r="2994" spans="1:3" x14ac:dyDescent="0.25">
      <c r="A2994">
        <v>10.597244303496799</v>
      </c>
      <c r="B2994">
        <v>0.53</v>
      </c>
      <c r="C2994">
        <v>0.41</v>
      </c>
    </row>
    <row r="2995" spans="1:3" x14ac:dyDescent="0.25">
      <c r="A2995">
        <v>10.600787446498799</v>
      </c>
      <c r="B2995">
        <v>0.55000000000000004</v>
      </c>
      <c r="C2995">
        <v>0.51</v>
      </c>
    </row>
    <row r="2996" spans="1:3" x14ac:dyDescent="0.25">
      <c r="A2996">
        <v>10.604333610832599</v>
      </c>
      <c r="B2996">
        <v>0.51</v>
      </c>
      <c r="C2996">
        <v>0.46</v>
      </c>
    </row>
    <row r="2997" spans="1:3" x14ac:dyDescent="0.25">
      <c r="A2997">
        <v>10.6078774697085</v>
      </c>
      <c r="B2997">
        <v>0.52</v>
      </c>
      <c r="C2997">
        <v>0.47</v>
      </c>
    </row>
    <row r="2998" spans="1:3" x14ac:dyDescent="0.25">
      <c r="A2998">
        <v>10.6114252868405</v>
      </c>
      <c r="B2998">
        <v>0.53</v>
      </c>
      <c r="C2998">
        <v>0.51</v>
      </c>
    </row>
    <row r="2999" spans="1:3" x14ac:dyDescent="0.25">
      <c r="A2999">
        <v>10.614968154193001</v>
      </c>
      <c r="B2999">
        <v>0.54</v>
      </c>
      <c r="C2999">
        <v>0.55000000000000004</v>
      </c>
    </row>
    <row r="3000" spans="1:3" x14ac:dyDescent="0.25">
      <c r="A3000">
        <v>10.618510363554501</v>
      </c>
      <c r="B3000">
        <v>0.55000000000000004</v>
      </c>
      <c r="C3000">
        <v>0.51</v>
      </c>
    </row>
    <row r="3001" spans="1:3" x14ac:dyDescent="0.25">
      <c r="A3001">
        <v>10.622055270136499</v>
      </c>
      <c r="B3001">
        <v>0.57999999999999996</v>
      </c>
      <c r="C3001">
        <v>0.46</v>
      </c>
    </row>
    <row r="3002" spans="1:3" x14ac:dyDescent="0.25">
      <c r="A3002">
        <v>10.6255971766732</v>
      </c>
      <c r="B3002">
        <v>0.62</v>
      </c>
      <c r="C3002">
        <v>0.5</v>
      </c>
    </row>
    <row r="3003" spans="1:3" x14ac:dyDescent="0.25">
      <c r="A3003">
        <v>10.6291434285706</v>
      </c>
      <c r="B3003">
        <v>0.56000000000000005</v>
      </c>
      <c r="C3003">
        <v>0.47</v>
      </c>
    </row>
    <row r="3004" spans="1:3" x14ac:dyDescent="0.25">
      <c r="A3004">
        <v>10.632687553089999</v>
      </c>
      <c r="B3004">
        <v>0.55000000000000004</v>
      </c>
      <c r="C3004">
        <v>0.49</v>
      </c>
    </row>
    <row r="3005" spans="1:3" x14ac:dyDescent="0.25">
      <c r="A3005">
        <v>10.636229797739601</v>
      </c>
      <c r="B3005">
        <v>0.55000000000000004</v>
      </c>
      <c r="C3005">
        <v>0.48</v>
      </c>
    </row>
    <row r="3006" spans="1:3" x14ac:dyDescent="0.25">
      <c r="A3006">
        <v>10.639774098600499</v>
      </c>
      <c r="B3006">
        <v>0.53</v>
      </c>
      <c r="C3006">
        <v>0.47</v>
      </c>
    </row>
    <row r="3007" spans="1:3" x14ac:dyDescent="0.25">
      <c r="A3007">
        <v>10.6433172174901</v>
      </c>
      <c r="B3007">
        <v>0.52</v>
      </c>
      <c r="C3007">
        <v>0.48</v>
      </c>
    </row>
    <row r="3008" spans="1:3" x14ac:dyDescent="0.25">
      <c r="A3008">
        <v>10.6468587368395</v>
      </c>
      <c r="B3008">
        <v>0.51</v>
      </c>
      <c r="C3008">
        <v>0.5</v>
      </c>
    </row>
    <row r="3009" spans="1:3" x14ac:dyDescent="0.25">
      <c r="A3009">
        <v>10.650403712060699</v>
      </c>
      <c r="B3009">
        <v>0.5</v>
      </c>
      <c r="C3009">
        <v>0.45</v>
      </c>
    </row>
    <row r="3010" spans="1:3" x14ac:dyDescent="0.25">
      <c r="A3010">
        <v>10.653944226404001</v>
      </c>
      <c r="B3010">
        <v>0.54</v>
      </c>
      <c r="C3010">
        <v>0.47</v>
      </c>
    </row>
    <row r="3011" spans="1:3" x14ac:dyDescent="0.25">
      <c r="A3011">
        <v>10.657488529080499</v>
      </c>
      <c r="B3011">
        <v>0.52</v>
      </c>
      <c r="C3011">
        <v>0.49</v>
      </c>
    </row>
    <row r="3012" spans="1:3" x14ac:dyDescent="0.25">
      <c r="A3012">
        <v>10.6610315026011</v>
      </c>
      <c r="B3012">
        <v>0.54</v>
      </c>
      <c r="C3012">
        <v>0.48</v>
      </c>
    </row>
    <row r="3013" spans="1:3" x14ac:dyDescent="0.25">
      <c r="A3013">
        <v>10.664574378281801</v>
      </c>
      <c r="B3013">
        <v>0.62</v>
      </c>
      <c r="C3013">
        <v>0.51</v>
      </c>
    </row>
    <row r="3014" spans="1:3" x14ac:dyDescent="0.25">
      <c r="A3014">
        <v>10.668116530787</v>
      </c>
      <c r="B3014">
        <v>0.54</v>
      </c>
      <c r="C3014">
        <v>0.47</v>
      </c>
    </row>
    <row r="3015" spans="1:3" x14ac:dyDescent="0.25">
      <c r="A3015">
        <v>10.671660613152699</v>
      </c>
      <c r="B3015">
        <v>0.56000000000000005</v>
      </c>
      <c r="C3015">
        <v>0.51</v>
      </c>
    </row>
    <row r="3016" spans="1:3" x14ac:dyDescent="0.25">
      <c r="A3016">
        <v>10.6752031829787</v>
      </c>
      <c r="B3016">
        <v>0.53</v>
      </c>
      <c r="C3016">
        <v>0.41</v>
      </c>
    </row>
    <row r="3017" spans="1:3" x14ac:dyDescent="0.25">
      <c r="A3017">
        <v>10.6787445508385</v>
      </c>
      <c r="B3017">
        <v>0.53</v>
      </c>
      <c r="C3017">
        <v>0.47</v>
      </c>
    </row>
    <row r="3018" spans="1:3" x14ac:dyDescent="0.25">
      <c r="A3018">
        <v>10.6822875930644</v>
      </c>
      <c r="B3018">
        <v>0.51</v>
      </c>
      <c r="C3018">
        <v>0.43</v>
      </c>
    </row>
    <row r="3019" spans="1:3" x14ac:dyDescent="0.25">
      <c r="A3019">
        <v>10.685829403069199</v>
      </c>
      <c r="B3019">
        <v>0.55000000000000004</v>
      </c>
      <c r="C3019">
        <v>0.43</v>
      </c>
    </row>
    <row r="3020" spans="1:3" x14ac:dyDescent="0.25">
      <c r="A3020">
        <v>10.6893714420994</v>
      </c>
      <c r="B3020">
        <v>0.48</v>
      </c>
      <c r="C3020">
        <v>0.4</v>
      </c>
    </row>
    <row r="3021" spans="1:3" x14ac:dyDescent="0.25">
      <c r="A3021">
        <v>10.692915385564101</v>
      </c>
      <c r="B3021">
        <v>0.51</v>
      </c>
      <c r="C3021">
        <v>0.43</v>
      </c>
    </row>
    <row r="3022" spans="1:3" x14ac:dyDescent="0.25">
      <c r="A3022">
        <v>10.6964596375271</v>
      </c>
      <c r="B3022">
        <v>0.52</v>
      </c>
      <c r="C3022">
        <v>0.44</v>
      </c>
    </row>
    <row r="3023" spans="1:3" x14ac:dyDescent="0.25">
      <c r="A3023">
        <v>10.7000035371934</v>
      </c>
      <c r="B3023">
        <v>0.47</v>
      </c>
      <c r="C3023">
        <v>0.4</v>
      </c>
    </row>
    <row r="3024" spans="1:3" x14ac:dyDescent="0.25">
      <c r="A3024">
        <v>10.703545417333</v>
      </c>
      <c r="B3024">
        <v>0.57999999999999996</v>
      </c>
      <c r="C3024">
        <v>0.48</v>
      </c>
    </row>
    <row r="3025" spans="1:3" x14ac:dyDescent="0.25">
      <c r="A3025">
        <v>10.7070904040612</v>
      </c>
      <c r="B3025">
        <v>0.53</v>
      </c>
      <c r="C3025">
        <v>0.53</v>
      </c>
    </row>
    <row r="3026" spans="1:3" x14ac:dyDescent="0.25">
      <c r="A3026">
        <v>10.7106320584041</v>
      </c>
      <c r="B3026">
        <v>0.5</v>
      </c>
      <c r="C3026">
        <v>0.45</v>
      </c>
    </row>
    <row r="3027" spans="1:3" x14ac:dyDescent="0.25">
      <c r="A3027">
        <v>10.7141739690083</v>
      </c>
      <c r="B3027">
        <v>0.5</v>
      </c>
      <c r="C3027">
        <v>0.43</v>
      </c>
    </row>
    <row r="3028" spans="1:3" x14ac:dyDescent="0.25">
      <c r="A3028">
        <v>10.717717014893299</v>
      </c>
      <c r="B3028">
        <v>0.52</v>
      </c>
      <c r="C3028">
        <v>0.5</v>
      </c>
    </row>
    <row r="3029" spans="1:3" x14ac:dyDescent="0.25">
      <c r="A3029">
        <v>10.7212596253885</v>
      </c>
      <c r="B3029">
        <v>0.54</v>
      </c>
      <c r="C3029">
        <v>0.52</v>
      </c>
    </row>
    <row r="3030" spans="1:3" x14ac:dyDescent="0.25">
      <c r="A3030">
        <v>10.7248023830519</v>
      </c>
      <c r="B3030">
        <v>0.53</v>
      </c>
      <c r="C3030">
        <v>0.5</v>
      </c>
    </row>
    <row r="3031" spans="1:3" x14ac:dyDescent="0.25">
      <c r="A3031">
        <v>10.728347799573701</v>
      </c>
      <c r="B3031">
        <v>0.51</v>
      </c>
      <c r="C3031">
        <v>0.45</v>
      </c>
    </row>
    <row r="3032" spans="1:3" x14ac:dyDescent="0.25">
      <c r="A3032">
        <v>10.7318907489765</v>
      </c>
      <c r="B3032">
        <v>0.47</v>
      </c>
      <c r="C3032">
        <v>0.42</v>
      </c>
    </row>
    <row r="3033" spans="1:3" x14ac:dyDescent="0.25">
      <c r="A3033">
        <v>10.7354336424503</v>
      </c>
      <c r="B3033">
        <v>0.5</v>
      </c>
      <c r="C3033">
        <v>0.45</v>
      </c>
    </row>
    <row r="3034" spans="1:3" x14ac:dyDescent="0.25">
      <c r="A3034">
        <v>10.7389755867587</v>
      </c>
      <c r="B3034">
        <v>0.49</v>
      </c>
      <c r="C3034">
        <v>0.52</v>
      </c>
    </row>
    <row r="3035" spans="1:3" x14ac:dyDescent="0.25">
      <c r="A3035">
        <v>10.742517293857199</v>
      </c>
      <c r="B3035">
        <v>0.49</v>
      </c>
      <c r="C3035">
        <v>0.43</v>
      </c>
    </row>
    <row r="3036" spans="1:3" x14ac:dyDescent="0.25">
      <c r="A3036">
        <v>10.7460606978005</v>
      </c>
      <c r="B3036">
        <v>0.47</v>
      </c>
      <c r="C3036">
        <v>0.37</v>
      </c>
    </row>
    <row r="3037" spans="1:3" x14ac:dyDescent="0.25">
      <c r="A3037">
        <v>10.749604042542201</v>
      </c>
      <c r="B3037">
        <v>0.53</v>
      </c>
      <c r="C3037">
        <v>0.39</v>
      </c>
    </row>
    <row r="3038" spans="1:3" x14ac:dyDescent="0.25">
      <c r="A3038">
        <v>10.753147953572</v>
      </c>
      <c r="B3038">
        <v>0.47</v>
      </c>
      <c r="C3038">
        <v>0.41</v>
      </c>
    </row>
    <row r="3039" spans="1:3" x14ac:dyDescent="0.25">
      <c r="A3039">
        <v>10.756690169970099</v>
      </c>
      <c r="B3039">
        <v>0.48</v>
      </c>
      <c r="C3039">
        <v>0.4</v>
      </c>
    </row>
    <row r="3040" spans="1:3" x14ac:dyDescent="0.25">
      <c r="A3040">
        <v>10.7602328569248</v>
      </c>
      <c r="B3040">
        <v>0.49</v>
      </c>
      <c r="C3040">
        <v>0.42</v>
      </c>
    </row>
    <row r="3041" spans="1:3" x14ac:dyDescent="0.25">
      <c r="A3041">
        <v>10.763777737402201</v>
      </c>
      <c r="B3041">
        <v>0.51</v>
      </c>
      <c r="C3041">
        <v>0.39</v>
      </c>
    </row>
    <row r="3042" spans="1:3" x14ac:dyDescent="0.25">
      <c r="A3042">
        <v>10.7673190028689</v>
      </c>
      <c r="B3042">
        <v>0.48</v>
      </c>
      <c r="C3042">
        <v>0.44</v>
      </c>
    </row>
    <row r="3043" spans="1:3" x14ac:dyDescent="0.25">
      <c r="A3043">
        <v>10.770862734842</v>
      </c>
      <c r="B3043">
        <v>0.41</v>
      </c>
      <c r="C3043">
        <v>0.35</v>
      </c>
    </row>
    <row r="3044" spans="1:3" x14ac:dyDescent="0.25">
      <c r="A3044">
        <v>10.774406092128199</v>
      </c>
      <c r="B3044">
        <v>0.47</v>
      </c>
      <c r="C3044">
        <v>0.45</v>
      </c>
    </row>
    <row r="3045" spans="1:3" x14ac:dyDescent="0.25">
      <c r="A3045">
        <v>10.7779489343585</v>
      </c>
      <c r="B3045">
        <v>0.47</v>
      </c>
      <c r="C3045">
        <v>0.44</v>
      </c>
    </row>
    <row r="3046" spans="1:3" x14ac:dyDescent="0.25">
      <c r="A3046">
        <v>10.7814907048863</v>
      </c>
      <c r="B3046">
        <v>0.46</v>
      </c>
      <c r="C3046">
        <v>0.43</v>
      </c>
    </row>
    <row r="3047" spans="1:3" x14ac:dyDescent="0.25">
      <c r="A3047">
        <v>10.7850339925178</v>
      </c>
      <c r="B3047">
        <v>0.45</v>
      </c>
      <c r="C3047">
        <v>0.45</v>
      </c>
    </row>
    <row r="3048" spans="1:3" x14ac:dyDescent="0.25">
      <c r="A3048">
        <v>10.7885776357849</v>
      </c>
      <c r="B3048">
        <v>0.43</v>
      </c>
      <c r="C3048">
        <v>0.49</v>
      </c>
    </row>
    <row r="3049" spans="1:3" x14ac:dyDescent="0.25">
      <c r="A3049">
        <v>10.792119149803</v>
      </c>
      <c r="B3049">
        <v>0.39</v>
      </c>
      <c r="C3049">
        <v>0.45</v>
      </c>
    </row>
    <row r="3050" spans="1:3" x14ac:dyDescent="0.25">
      <c r="A3050">
        <v>10.7956630121668</v>
      </c>
      <c r="B3050">
        <v>0.43</v>
      </c>
      <c r="C3050">
        <v>0.48</v>
      </c>
    </row>
    <row r="3051" spans="1:3" x14ac:dyDescent="0.25">
      <c r="A3051">
        <v>10.799206806217001</v>
      </c>
      <c r="B3051">
        <v>0.5</v>
      </c>
      <c r="C3051">
        <v>0.5</v>
      </c>
    </row>
    <row r="3052" spans="1:3" x14ac:dyDescent="0.25">
      <c r="A3052">
        <v>10.8027495314125</v>
      </c>
      <c r="B3052">
        <v>0.43</v>
      </c>
      <c r="C3052">
        <v>0.42</v>
      </c>
    </row>
    <row r="3053" spans="1:3" x14ac:dyDescent="0.25">
      <c r="A3053">
        <v>10.8062921072266</v>
      </c>
      <c r="B3053">
        <v>0.44</v>
      </c>
      <c r="C3053">
        <v>0.43</v>
      </c>
    </row>
    <row r="3054" spans="1:3" x14ac:dyDescent="0.25">
      <c r="A3054">
        <v>10.809835174331999</v>
      </c>
      <c r="B3054">
        <v>0.45</v>
      </c>
      <c r="C3054">
        <v>0.45</v>
      </c>
    </row>
    <row r="3055" spans="1:3" x14ac:dyDescent="0.25">
      <c r="A3055">
        <v>10.8133785311105</v>
      </c>
      <c r="B3055">
        <v>0.46</v>
      </c>
      <c r="C3055">
        <v>0.45</v>
      </c>
    </row>
    <row r="3056" spans="1:3" x14ac:dyDescent="0.25">
      <c r="A3056">
        <v>10.8169227025243</v>
      </c>
      <c r="B3056">
        <v>0.38</v>
      </c>
      <c r="C3056">
        <v>0.46</v>
      </c>
    </row>
    <row r="3057" spans="1:3" x14ac:dyDescent="0.25">
      <c r="A3057">
        <v>10.820467102671101</v>
      </c>
      <c r="B3057">
        <v>0.45</v>
      </c>
      <c r="C3057">
        <v>0.49</v>
      </c>
    </row>
    <row r="3058" spans="1:3" x14ac:dyDescent="0.25">
      <c r="A3058">
        <v>10.8240112540732</v>
      </c>
      <c r="B3058">
        <v>0.39</v>
      </c>
      <c r="C3058">
        <v>0.45</v>
      </c>
    </row>
    <row r="3059" spans="1:3" x14ac:dyDescent="0.25">
      <c r="A3059">
        <v>10.827554308849299</v>
      </c>
      <c r="B3059">
        <v>0.37</v>
      </c>
      <c r="C3059">
        <v>0.38</v>
      </c>
    </row>
    <row r="3060" spans="1:3" x14ac:dyDescent="0.25">
      <c r="A3060">
        <v>10.831098426304401</v>
      </c>
      <c r="B3060">
        <v>0.4</v>
      </c>
      <c r="C3060">
        <v>0.46</v>
      </c>
    </row>
    <row r="3061" spans="1:3" x14ac:dyDescent="0.25">
      <c r="A3061">
        <v>10.8346437014418</v>
      </c>
      <c r="B3061">
        <v>0.39</v>
      </c>
      <c r="C3061">
        <v>0.41</v>
      </c>
    </row>
    <row r="3062" spans="1:3" x14ac:dyDescent="0.25">
      <c r="A3062">
        <v>10.8381903507312</v>
      </c>
      <c r="B3062">
        <v>0.4</v>
      </c>
      <c r="C3062">
        <v>0.39</v>
      </c>
    </row>
    <row r="3063" spans="1:3" x14ac:dyDescent="0.25">
      <c r="A3063">
        <v>10.8417342820818</v>
      </c>
      <c r="B3063">
        <v>0.42</v>
      </c>
      <c r="C3063">
        <v>0.37</v>
      </c>
    </row>
    <row r="3064" spans="1:3" x14ac:dyDescent="0.25">
      <c r="A3064">
        <v>10.8452785296627</v>
      </c>
      <c r="B3064">
        <v>0.37</v>
      </c>
      <c r="C3064">
        <v>0.42</v>
      </c>
    </row>
    <row r="3065" spans="1:3" x14ac:dyDescent="0.25">
      <c r="A3065">
        <v>10.848820319562</v>
      </c>
      <c r="B3065">
        <v>0.47</v>
      </c>
      <c r="C3065">
        <v>0.45</v>
      </c>
    </row>
    <row r="3066" spans="1:3" x14ac:dyDescent="0.25">
      <c r="A3066">
        <v>10.852363015402201</v>
      </c>
      <c r="B3066">
        <v>0.42</v>
      </c>
      <c r="C3066">
        <v>0.42</v>
      </c>
    </row>
    <row r="3067" spans="1:3" x14ac:dyDescent="0.25">
      <c r="A3067">
        <v>10.855906405349501</v>
      </c>
      <c r="B3067">
        <v>0.46</v>
      </c>
      <c r="C3067">
        <v>0.43</v>
      </c>
    </row>
    <row r="3068" spans="1:3" x14ac:dyDescent="0.25">
      <c r="A3068">
        <v>10.859449363532899</v>
      </c>
      <c r="B3068">
        <v>0.44</v>
      </c>
      <c r="C3068">
        <v>0.41</v>
      </c>
    </row>
    <row r="3069" spans="1:3" x14ac:dyDescent="0.25">
      <c r="A3069">
        <v>10.8629906027129</v>
      </c>
      <c r="B3069">
        <v>0.44</v>
      </c>
      <c r="C3069">
        <v>0.43</v>
      </c>
    </row>
    <row r="3070" spans="1:3" x14ac:dyDescent="0.25">
      <c r="A3070">
        <v>10.8665368487216</v>
      </c>
      <c r="B3070">
        <v>0.42</v>
      </c>
      <c r="C3070">
        <v>0.44</v>
      </c>
    </row>
    <row r="3071" spans="1:3" x14ac:dyDescent="0.25">
      <c r="A3071">
        <v>10.870080138610399</v>
      </c>
      <c r="B3071">
        <v>0.43</v>
      </c>
      <c r="C3071">
        <v>0.41</v>
      </c>
    </row>
    <row r="3072" spans="1:3" x14ac:dyDescent="0.25">
      <c r="A3072">
        <v>10.8736232709498</v>
      </c>
      <c r="B3072">
        <v>0.43</v>
      </c>
      <c r="C3072">
        <v>0.45</v>
      </c>
    </row>
    <row r="3073" spans="1:3" x14ac:dyDescent="0.25">
      <c r="A3073">
        <v>10.8771652632675</v>
      </c>
      <c r="B3073">
        <v>0.46</v>
      </c>
      <c r="C3073">
        <v>0.42</v>
      </c>
    </row>
    <row r="3074" spans="1:3" x14ac:dyDescent="0.25">
      <c r="A3074">
        <v>10.880709039099701</v>
      </c>
      <c r="B3074">
        <v>0.44</v>
      </c>
      <c r="C3074">
        <v>0.43</v>
      </c>
    </row>
    <row r="3075" spans="1:3" x14ac:dyDescent="0.25">
      <c r="A3075">
        <v>10.884253034856499</v>
      </c>
      <c r="B3075">
        <v>0.43</v>
      </c>
      <c r="C3075">
        <v>0.39</v>
      </c>
    </row>
    <row r="3076" spans="1:3" x14ac:dyDescent="0.25">
      <c r="A3076">
        <v>10.887795817609099</v>
      </c>
      <c r="B3076">
        <v>0.43</v>
      </c>
      <c r="C3076">
        <v>0.44</v>
      </c>
    </row>
    <row r="3077" spans="1:3" x14ac:dyDescent="0.25">
      <c r="A3077">
        <v>10.8913397204765</v>
      </c>
      <c r="B3077">
        <v>0.43</v>
      </c>
      <c r="C3077">
        <v>0.35</v>
      </c>
    </row>
    <row r="3078" spans="1:3" x14ac:dyDescent="0.25">
      <c r="A3078">
        <v>10.894882619601701</v>
      </c>
      <c r="B3078">
        <v>0.48</v>
      </c>
      <c r="C3078">
        <v>0.44</v>
      </c>
    </row>
    <row r="3079" spans="1:3" x14ac:dyDescent="0.25">
      <c r="A3079">
        <v>10.8984300830077</v>
      </c>
      <c r="B3079">
        <v>0.43</v>
      </c>
      <c r="C3079">
        <v>0.47</v>
      </c>
    </row>
    <row r="3080" spans="1:3" x14ac:dyDescent="0.25">
      <c r="A3080">
        <v>10.9019730448502</v>
      </c>
      <c r="B3080">
        <v>0.46</v>
      </c>
      <c r="C3080">
        <v>0.43</v>
      </c>
    </row>
    <row r="3081" spans="1:3" x14ac:dyDescent="0.25">
      <c r="A3081">
        <v>10.905514597340799</v>
      </c>
      <c r="B3081">
        <v>0.4</v>
      </c>
      <c r="C3081">
        <v>0.35</v>
      </c>
    </row>
    <row r="3082" spans="1:3" x14ac:dyDescent="0.25">
      <c r="A3082">
        <v>10.909055558277499</v>
      </c>
      <c r="B3082">
        <v>0.44</v>
      </c>
      <c r="C3082">
        <v>0.45</v>
      </c>
    </row>
    <row r="3083" spans="1:3" x14ac:dyDescent="0.25">
      <c r="A3083">
        <v>10.912601984375</v>
      </c>
      <c r="B3083">
        <v>0.41</v>
      </c>
      <c r="C3083">
        <v>0.39</v>
      </c>
    </row>
    <row r="3084" spans="1:3" x14ac:dyDescent="0.25">
      <c r="A3084">
        <v>10.916147082823199</v>
      </c>
      <c r="B3084">
        <v>0.39</v>
      </c>
      <c r="C3084">
        <v>0.39</v>
      </c>
    </row>
    <row r="3085" spans="1:3" x14ac:dyDescent="0.25">
      <c r="A3085">
        <v>10.919690270181</v>
      </c>
      <c r="B3085">
        <v>0.49</v>
      </c>
      <c r="C3085">
        <v>0.55000000000000004</v>
      </c>
    </row>
    <row r="3086" spans="1:3" x14ac:dyDescent="0.25">
      <c r="A3086">
        <v>10.923232170795901</v>
      </c>
      <c r="B3086">
        <v>0.42</v>
      </c>
      <c r="C3086">
        <v>0.45</v>
      </c>
    </row>
    <row r="3087" spans="1:3" x14ac:dyDescent="0.25">
      <c r="A3087">
        <v>10.926774117598899</v>
      </c>
      <c r="B3087">
        <v>0.41</v>
      </c>
      <c r="C3087">
        <v>0.43</v>
      </c>
    </row>
    <row r="3088" spans="1:3" x14ac:dyDescent="0.25">
      <c r="A3088">
        <v>10.9303182424604</v>
      </c>
      <c r="B3088">
        <v>0.37</v>
      </c>
      <c r="C3088">
        <v>0.4</v>
      </c>
    </row>
    <row r="3089" spans="1:3" x14ac:dyDescent="0.25">
      <c r="A3089">
        <v>10.9338611071363</v>
      </c>
      <c r="B3089">
        <v>0.39</v>
      </c>
      <c r="C3089">
        <v>0.47</v>
      </c>
    </row>
    <row r="3090" spans="1:3" x14ac:dyDescent="0.25">
      <c r="A3090">
        <v>10.9374053848396</v>
      </c>
      <c r="B3090">
        <v>0.39</v>
      </c>
      <c r="C3090">
        <v>0.41</v>
      </c>
    </row>
    <row r="3091" spans="1:3" x14ac:dyDescent="0.25">
      <c r="A3091">
        <v>10.9409493791615</v>
      </c>
      <c r="B3091">
        <v>0.47</v>
      </c>
      <c r="C3091">
        <v>0.47</v>
      </c>
    </row>
    <row r="3092" spans="1:3" x14ac:dyDescent="0.25">
      <c r="A3092">
        <v>10.9444924073749</v>
      </c>
      <c r="B3092">
        <v>0.42</v>
      </c>
      <c r="C3092">
        <v>0.48</v>
      </c>
    </row>
    <row r="3093" spans="1:3" x14ac:dyDescent="0.25">
      <c r="A3093">
        <v>10.9480374585533</v>
      </c>
      <c r="B3093">
        <v>0.36</v>
      </c>
      <c r="C3093">
        <v>0.38</v>
      </c>
    </row>
    <row r="3094" spans="1:3" x14ac:dyDescent="0.25">
      <c r="A3094">
        <v>10.951582102532701</v>
      </c>
      <c r="B3094">
        <v>0.43</v>
      </c>
      <c r="C3094">
        <v>0.4</v>
      </c>
    </row>
    <row r="3095" spans="1:3" x14ac:dyDescent="0.25">
      <c r="A3095">
        <v>10.955127947043399</v>
      </c>
      <c r="B3095">
        <v>0</v>
      </c>
      <c r="C3095">
        <v>0</v>
      </c>
    </row>
    <row r="3096" spans="1:3" x14ac:dyDescent="0.25">
      <c r="A3096">
        <v>10.9586694033112</v>
      </c>
      <c r="B3096">
        <v>0.33</v>
      </c>
      <c r="C3096">
        <v>0.33</v>
      </c>
    </row>
    <row r="3097" spans="1:3" x14ac:dyDescent="0.25">
      <c r="A3097">
        <v>10.9622121257472</v>
      </c>
      <c r="B3097">
        <v>0.34</v>
      </c>
      <c r="C3097">
        <v>0.35</v>
      </c>
    </row>
    <row r="3098" spans="1:3" x14ac:dyDescent="0.25">
      <c r="A3098">
        <v>10.9657562698203</v>
      </c>
      <c r="B3098">
        <v>0.33</v>
      </c>
      <c r="C3098">
        <v>0.32</v>
      </c>
    </row>
    <row r="3099" spans="1:3" x14ac:dyDescent="0.25">
      <c r="A3099">
        <v>10.9693001162012</v>
      </c>
      <c r="B3099">
        <v>0.4</v>
      </c>
      <c r="C3099">
        <v>0.42</v>
      </c>
    </row>
    <row r="3100" spans="1:3" x14ac:dyDescent="0.25">
      <c r="A3100">
        <v>10.9728448626619</v>
      </c>
      <c r="B3100">
        <v>0.34</v>
      </c>
      <c r="C3100">
        <v>0.38</v>
      </c>
    </row>
    <row r="3101" spans="1:3" x14ac:dyDescent="0.25">
      <c r="A3101">
        <v>10.9763877200804</v>
      </c>
      <c r="B3101">
        <v>0.38</v>
      </c>
      <c r="C3101">
        <v>0.35</v>
      </c>
    </row>
    <row r="3102" spans="1:3" x14ac:dyDescent="0.25">
      <c r="A3102">
        <v>10.9799320230329</v>
      </c>
      <c r="B3102">
        <v>0.41</v>
      </c>
      <c r="C3102">
        <v>0.36</v>
      </c>
    </row>
    <row r="3103" spans="1:3" x14ac:dyDescent="0.25">
      <c r="A3103">
        <v>10.9834748985259</v>
      </c>
      <c r="B3103">
        <v>0.37</v>
      </c>
      <c r="C3103">
        <v>0.4</v>
      </c>
    </row>
    <row r="3104" spans="1:3" x14ac:dyDescent="0.25">
      <c r="A3104">
        <v>10.9870162378472</v>
      </c>
      <c r="B3104">
        <v>0.4</v>
      </c>
      <c r="C3104">
        <v>0.41</v>
      </c>
    </row>
    <row r="3105" spans="1:3" x14ac:dyDescent="0.25">
      <c r="A3105">
        <v>10.9905588174583</v>
      </c>
      <c r="B3105">
        <v>0.44</v>
      </c>
      <c r="C3105">
        <v>0.42</v>
      </c>
    </row>
    <row r="3106" spans="1:3" x14ac:dyDescent="0.25">
      <c r="A3106">
        <v>10.994102016185099</v>
      </c>
      <c r="B3106">
        <v>0.44</v>
      </c>
      <c r="C3106">
        <v>0.43</v>
      </c>
    </row>
    <row r="3107" spans="1:3" x14ac:dyDescent="0.25">
      <c r="A3107">
        <v>10.997645810042201</v>
      </c>
      <c r="B3107">
        <v>0.43</v>
      </c>
      <c r="C3107">
        <v>0.47</v>
      </c>
    </row>
    <row r="3108" spans="1:3" x14ac:dyDescent="0.25">
      <c r="A3108">
        <v>11.0011886972685</v>
      </c>
      <c r="B3108">
        <v>0.46</v>
      </c>
      <c r="C3108">
        <v>0.5</v>
      </c>
    </row>
    <row r="3109" spans="1:3" x14ac:dyDescent="0.25">
      <c r="A3109">
        <v>11.004731868671</v>
      </c>
      <c r="B3109">
        <v>0.39</v>
      </c>
      <c r="C3109">
        <v>0.46</v>
      </c>
    </row>
    <row r="3110" spans="1:3" x14ac:dyDescent="0.25">
      <c r="A3110">
        <v>11.008274736249801</v>
      </c>
      <c r="B3110">
        <v>0.46</v>
      </c>
      <c r="C3110">
        <v>0.55000000000000004</v>
      </c>
    </row>
    <row r="3111" spans="1:3" x14ac:dyDescent="0.25">
      <c r="A3111">
        <v>11.011817830971999</v>
      </c>
      <c r="B3111">
        <v>0.43</v>
      </c>
      <c r="C3111">
        <v>0.61</v>
      </c>
    </row>
    <row r="3112" spans="1:3" x14ac:dyDescent="0.25">
      <c r="A3112">
        <v>11.015360841944201</v>
      </c>
      <c r="B3112">
        <v>0.44</v>
      </c>
      <c r="C3112">
        <v>0.61</v>
      </c>
    </row>
    <row r="3113" spans="1:3" x14ac:dyDescent="0.25">
      <c r="A3113">
        <v>11.018903165763099</v>
      </c>
      <c r="B3113">
        <v>0.41</v>
      </c>
      <c r="C3113">
        <v>0.52</v>
      </c>
    </row>
    <row r="3114" spans="1:3" x14ac:dyDescent="0.25">
      <c r="A3114">
        <v>11.0224468842093</v>
      </c>
      <c r="B3114">
        <v>0.39</v>
      </c>
      <c r="C3114">
        <v>0.52</v>
      </c>
    </row>
    <row r="3115" spans="1:3" x14ac:dyDescent="0.25">
      <c r="A3115">
        <v>11.025987940827999</v>
      </c>
      <c r="B3115">
        <v>0.4</v>
      </c>
      <c r="C3115">
        <v>0.43</v>
      </c>
    </row>
    <row r="3116" spans="1:3" x14ac:dyDescent="0.25">
      <c r="A3116">
        <v>11.0295319535721</v>
      </c>
      <c r="B3116">
        <v>0.43</v>
      </c>
      <c r="C3116">
        <v>0.47</v>
      </c>
    </row>
    <row r="3117" spans="1:3" x14ac:dyDescent="0.25">
      <c r="A3117">
        <v>11.033075243665101</v>
      </c>
      <c r="B3117">
        <v>0.43</v>
      </c>
      <c r="C3117">
        <v>0.4</v>
      </c>
    </row>
    <row r="3118" spans="1:3" x14ac:dyDescent="0.25">
      <c r="A3118">
        <v>11.036616957286901</v>
      </c>
      <c r="B3118">
        <v>0.43</v>
      </c>
      <c r="C3118">
        <v>0.38</v>
      </c>
    </row>
    <row r="3119" spans="1:3" x14ac:dyDescent="0.25">
      <c r="A3119">
        <v>11.040160182885501</v>
      </c>
      <c r="B3119">
        <v>0.4</v>
      </c>
      <c r="C3119">
        <v>0.34</v>
      </c>
    </row>
    <row r="3120" spans="1:3" x14ac:dyDescent="0.25">
      <c r="A3120">
        <v>11.0437021602303</v>
      </c>
      <c r="B3120">
        <v>0.41</v>
      </c>
      <c r="C3120">
        <v>0.34</v>
      </c>
    </row>
    <row r="3121" spans="1:3" x14ac:dyDescent="0.25">
      <c r="A3121">
        <v>11.047245966339499</v>
      </c>
      <c r="B3121">
        <v>0.42</v>
      </c>
      <c r="C3121">
        <v>0.35</v>
      </c>
    </row>
    <row r="3122" spans="1:3" x14ac:dyDescent="0.25">
      <c r="A3122">
        <v>11.050790097989401</v>
      </c>
      <c r="B3122">
        <v>0.37</v>
      </c>
      <c r="C3122">
        <v>0.3</v>
      </c>
    </row>
    <row r="3123" spans="1:3" x14ac:dyDescent="0.25">
      <c r="A3123">
        <v>11.054331444236899</v>
      </c>
      <c r="B3123">
        <v>0.43</v>
      </c>
      <c r="C3123">
        <v>0.35</v>
      </c>
    </row>
    <row r="3124" spans="1:3" x14ac:dyDescent="0.25">
      <c r="A3124">
        <v>11.057874348814799</v>
      </c>
      <c r="B3124">
        <v>0.38</v>
      </c>
      <c r="C3124">
        <v>0.27</v>
      </c>
    </row>
    <row r="3125" spans="1:3" x14ac:dyDescent="0.25">
      <c r="A3125">
        <v>11.061416844135</v>
      </c>
      <c r="B3125">
        <v>0.4</v>
      </c>
      <c r="C3125">
        <v>0.26</v>
      </c>
    </row>
    <row r="3126" spans="1:3" x14ac:dyDescent="0.25">
      <c r="A3126">
        <v>11.0649586977009</v>
      </c>
      <c r="B3126">
        <v>0.39</v>
      </c>
      <c r="C3126">
        <v>0.24</v>
      </c>
    </row>
    <row r="3127" spans="1:3" x14ac:dyDescent="0.25">
      <c r="A3127">
        <v>11.068501124691</v>
      </c>
      <c r="B3127">
        <v>0.43</v>
      </c>
      <c r="C3127">
        <v>0.25</v>
      </c>
    </row>
    <row r="3128" spans="1:3" x14ac:dyDescent="0.25">
      <c r="A3128">
        <v>11.0720442170346</v>
      </c>
      <c r="B3128">
        <v>0.43</v>
      </c>
      <c r="C3128">
        <v>0.22</v>
      </c>
    </row>
    <row r="3129" spans="1:3" x14ac:dyDescent="0.25">
      <c r="A3129">
        <v>11.075587213646401</v>
      </c>
      <c r="B3129">
        <v>0.44</v>
      </c>
      <c r="C3129">
        <v>0.25</v>
      </c>
    </row>
    <row r="3130" spans="1:3" x14ac:dyDescent="0.25">
      <c r="A3130">
        <v>11.0791317490515</v>
      </c>
      <c r="B3130">
        <v>0.47</v>
      </c>
      <c r="C3130">
        <v>0.25</v>
      </c>
    </row>
    <row r="3131" spans="1:3" x14ac:dyDescent="0.25">
      <c r="A3131">
        <v>11.082675901811401</v>
      </c>
      <c r="B3131">
        <v>0.41</v>
      </c>
      <c r="C3131">
        <v>0.27</v>
      </c>
    </row>
    <row r="3132" spans="1:3" x14ac:dyDescent="0.25">
      <c r="A3132">
        <v>11.0862199295781</v>
      </c>
      <c r="B3132">
        <v>0.36</v>
      </c>
      <c r="C3132">
        <v>0.25</v>
      </c>
    </row>
    <row r="3133" spans="1:3" x14ac:dyDescent="0.25">
      <c r="A3133">
        <v>11.0897629782005</v>
      </c>
      <c r="B3133">
        <v>0.37</v>
      </c>
      <c r="C3133">
        <v>0.25</v>
      </c>
    </row>
    <row r="3134" spans="1:3" x14ac:dyDescent="0.25">
      <c r="A3134">
        <v>11.093306801136899</v>
      </c>
      <c r="B3134">
        <v>0.35</v>
      </c>
      <c r="C3134">
        <v>0.26</v>
      </c>
    </row>
    <row r="3135" spans="1:3" x14ac:dyDescent="0.25">
      <c r="A3135">
        <v>11.0968485905726</v>
      </c>
      <c r="B3135">
        <v>0.35</v>
      </c>
      <c r="C3135">
        <v>0.32</v>
      </c>
    </row>
    <row r="3136" spans="1:3" x14ac:dyDescent="0.25">
      <c r="A3136">
        <v>11.1003924663309</v>
      </c>
      <c r="B3136">
        <v>0.36</v>
      </c>
      <c r="C3136">
        <v>0.3</v>
      </c>
    </row>
    <row r="3137" spans="1:3" x14ac:dyDescent="0.25">
      <c r="A3137">
        <v>11.1039364587488</v>
      </c>
      <c r="B3137">
        <v>0.32</v>
      </c>
      <c r="C3137">
        <v>0.28000000000000003</v>
      </c>
    </row>
    <row r="3138" spans="1:3" x14ac:dyDescent="0.25">
      <c r="A3138">
        <v>11.1074813028838</v>
      </c>
      <c r="B3138">
        <v>0.34</v>
      </c>
      <c r="C3138">
        <v>0.33</v>
      </c>
    </row>
    <row r="3139" spans="1:3" x14ac:dyDescent="0.25">
      <c r="A3139">
        <v>11.1110255289629</v>
      </c>
      <c r="B3139">
        <v>0.33</v>
      </c>
      <c r="C3139">
        <v>0.35</v>
      </c>
    </row>
    <row r="3140" spans="1:3" x14ac:dyDescent="0.25">
      <c r="A3140">
        <v>11.1145697028659</v>
      </c>
      <c r="B3140">
        <v>0.36</v>
      </c>
      <c r="C3140">
        <v>0.35</v>
      </c>
    </row>
    <row r="3141" spans="1:3" x14ac:dyDescent="0.25">
      <c r="A3141">
        <v>11.118112897701799</v>
      </c>
      <c r="B3141">
        <v>0.37</v>
      </c>
      <c r="C3141">
        <v>0.33</v>
      </c>
    </row>
    <row r="3142" spans="1:3" x14ac:dyDescent="0.25">
      <c r="A3142">
        <v>11.121657285055599</v>
      </c>
      <c r="B3142">
        <v>0.38</v>
      </c>
      <c r="C3142">
        <v>0.42</v>
      </c>
    </row>
    <row r="3143" spans="1:3" x14ac:dyDescent="0.25">
      <c r="A3143">
        <v>11.125203423571801</v>
      </c>
      <c r="B3143">
        <v>0.42</v>
      </c>
      <c r="C3143">
        <v>0.39</v>
      </c>
    </row>
    <row r="3144" spans="1:3" x14ac:dyDescent="0.25">
      <c r="A3144">
        <v>11.128747108357899</v>
      </c>
      <c r="B3144">
        <v>0.39</v>
      </c>
      <c r="C3144">
        <v>0.35</v>
      </c>
    </row>
    <row r="3145" spans="1:3" x14ac:dyDescent="0.25">
      <c r="A3145">
        <v>11.1322914452298</v>
      </c>
      <c r="B3145">
        <v>0.37</v>
      </c>
      <c r="C3145">
        <v>0.37</v>
      </c>
    </row>
    <row r="3146" spans="1:3" x14ac:dyDescent="0.25">
      <c r="A3146">
        <v>11.1358343668778</v>
      </c>
      <c r="B3146">
        <v>0.32</v>
      </c>
      <c r="C3146">
        <v>0.35</v>
      </c>
    </row>
    <row r="3147" spans="1:3" x14ac:dyDescent="0.25">
      <c r="A3147">
        <v>11.139377623145201</v>
      </c>
      <c r="B3147">
        <v>0.36</v>
      </c>
      <c r="C3147">
        <v>0.38</v>
      </c>
    </row>
    <row r="3148" spans="1:3" x14ac:dyDescent="0.25">
      <c r="A3148">
        <v>11.1429183982202</v>
      </c>
      <c r="B3148">
        <v>0.36</v>
      </c>
      <c r="C3148">
        <v>0.39</v>
      </c>
    </row>
    <row r="3149" spans="1:3" x14ac:dyDescent="0.25">
      <c r="A3149">
        <v>11.1464614889963</v>
      </c>
      <c r="B3149">
        <v>0.39</v>
      </c>
      <c r="C3149">
        <v>0.38</v>
      </c>
    </row>
    <row r="3150" spans="1:3" x14ac:dyDescent="0.25">
      <c r="A3150">
        <v>11.150004017402701</v>
      </c>
      <c r="B3150">
        <v>0.33</v>
      </c>
      <c r="C3150">
        <v>0.33</v>
      </c>
    </row>
    <row r="3151" spans="1:3" x14ac:dyDescent="0.25">
      <c r="A3151">
        <v>11.1535481630155</v>
      </c>
      <c r="B3151">
        <v>0.37</v>
      </c>
      <c r="C3151">
        <v>0.38</v>
      </c>
    </row>
    <row r="3152" spans="1:3" x14ac:dyDescent="0.25">
      <c r="A3152">
        <v>11.157092719293299</v>
      </c>
      <c r="B3152">
        <v>0.45</v>
      </c>
      <c r="C3152">
        <v>0.38</v>
      </c>
    </row>
    <row r="3153" spans="1:3" x14ac:dyDescent="0.25">
      <c r="A3153">
        <v>11.1606348818099</v>
      </c>
      <c r="B3153">
        <v>0.41</v>
      </c>
      <c r="C3153">
        <v>0.42</v>
      </c>
    </row>
    <row r="3154" spans="1:3" x14ac:dyDescent="0.25">
      <c r="A3154">
        <v>11.164180388654801</v>
      </c>
      <c r="B3154">
        <v>0.38</v>
      </c>
      <c r="C3154">
        <v>0.43</v>
      </c>
    </row>
    <row r="3155" spans="1:3" x14ac:dyDescent="0.25">
      <c r="A3155">
        <v>11.167724634155</v>
      </c>
      <c r="B3155">
        <v>0.49</v>
      </c>
      <c r="C3155">
        <v>0.48</v>
      </c>
    </row>
    <row r="3156" spans="1:3" x14ac:dyDescent="0.25">
      <c r="A3156">
        <v>11.1712683919237</v>
      </c>
      <c r="B3156">
        <v>0.41</v>
      </c>
      <c r="C3156">
        <v>0.66</v>
      </c>
    </row>
    <row r="3157" spans="1:3" x14ac:dyDescent="0.25">
      <c r="A3157">
        <v>11.174811409099201</v>
      </c>
      <c r="B3157">
        <v>0.37</v>
      </c>
      <c r="C3157">
        <v>0.51</v>
      </c>
    </row>
    <row r="3158" spans="1:3" x14ac:dyDescent="0.25">
      <c r="A3158">
        <v>11.178353516829199</v>
      </c>
      <c r="B3158">
        <v>0.43</v>
      </c>
      <c r="C3158">
        <v>0.51</v>
      </c>
    </row>
    <row r="3159" spans="1:3" x14ac:dyDescent="0.25">
      <c r="A3159">
        <v>11.181896356024099</v>
      </c>
      <c r="B3159">
        <v>0.39</v>
      </c>
      <c r="C3159">
        <v>0.45</v>
      </c>
    </row>
    <row r="3160" spans="1:3" x14ac:dyDescent="0.25">
      <c r="A3160">
        <v>11.185439447755</v>
      </c>
      <c r="B3160">
        <v>0.35</v>
      </c>
      <c r="C3160">
        <v>0.43</v>
      </c>
    </row>
    <row r="3161" spans="1:3" x14ac:dyDescent="0.25">
      <c r="A3161">
        <v>11.188980922903101</v>
      </c>
      <c r="B3161">
        <v>0.32</v>
      </c>
      <c r="C3161">
        <v>0.32</v>
      </c>
    </row>
    <row r="3162" spans="1:3" x14ac:dyDescent="0.25">
      <c r="A3162">
        <v>11.192524117893599</v>
      </c>
      <c r="B3162">
        <v>0.26</v>
      </c>
      <c r="C3162">
        <v>0.28999999999999998</v>
      </c>
    </row>
    <row r="3163" spans="1:3" x14ac:dyDescent="0.25">
      <c r="A3163">
        <v>11.196067576469</v>
      </c>
      <c r="B3163">
        <v>0.25</v>
      </c>
      <c r="C3163">
        <v>0.3</v>
      </c>
    </row>
    <row r="3164" spans="1:3" x14ac:dyDescent="0.25">
      <c r="A3164">
        <v>11.1996093710042</v>
      </c>
      <c r="B3164">
        <v>0.25</v>
      </c>
      <c r="C3164">
        <v>0.23</v>
      </c>
    </row>
    <row r="3165" spans="1:3" x14ac:dyDescent="0.25">
      <c r="A3165">
        <v>11.2031523227029</v>
      </c>
      <c r="B3165">
        <v>0.3</v>
      </c>
      <c r="C3165">
        <v>0.25</v>
      </c>
    </row>
    <row r="3166" spans="1:3" x14ac:dyDescent="0.25">
      <c r="A3166">
        <v>11.206695591106399</v>
      </c>
      <c r="B3166">
        <v>0.37</v>
      </c>
      <c r="C3166">
        <v>0.26</v>
      </c>
    </row>
    <row r="3167" spans="1:3" x14ac:dyDescent="0.25">
      <c r="A3167">
        <v>11.210238515370399</v>
      </c>
      <c r="B3167">
        <v>0.36</v>
      </c>
      <c r="C3167">
        <v>0.28000000000000003</v>
      </c>
    </row>
    <row r="3168" spans="1:3" x14ac:dyDescent="0.25">
      <c r="A3168">
        <v>11.213783806165001</v>
      </c>
      <c r="B3168">
        <v>0.37</v>
      </c>
      <c r="C3168">
        <v>0.23</v>
      </c>
    </row>
    <row r="3169" spans="1:3" x14ac:dyDescent="0.25">
      <c r="A3169">
        <v>11.217328731092</v>
      </c>
      <c r="B3169">
        <v>0.31</v>
      </c>
      <c r="C3169">
        <v>0.2</v>
      </c>
    </row>
    <row r="3170" spans="1:3" x14ac:dyDescent="0.25">
      <c r="A3170">
        <v>11.220870165405399</v>
      </c>
      <c r="B3170">
        <v>0.42</v>
      </c>
      <c r="C3170">
        <v>0.21</v>
      </c>
    </row>
    <row r="3171" spans="1:3" x14ac:dyDescent="0.25">
      <c r="A3171">
        <v>11.224413888046</v>
      </c>
      <c r="B3171">
        <v>0.39</v>
      </c>
      <c r="C3171">
        <v>0.2</v>
      </c>
    </row>
    <row r="3172" spans="1:3" x14ac:dyDescent="0.25">
      <c r="A3172">
        <v>11.227958826477799</v>
      </c>
      <c r="B3172">
        <v>0.35</v>
      </c>
      <c r="C3172">
        <v>0.19</v>
      </c>
    </row>
    <row r="3173" spans="1:3" x14ac:dyDescent="0.25">
      <c r="A3173">
        <v>11.2314992853116</v>
      </c>
      <c r="B3173">
        <v>0.39</v>
      </c>
      <c r="C3173">
        <v>0.21</v>
      </c>
    </row>
    <row r="3174" spans="1:3" x14ac:dyDescent="0.25">
      <c r="A3174">
        <v>11.2350423178518</v>
      </c>
      <c r="B3174">
        <v>0.35</v>
      </c>
      <c r="C3174">
        <v>0.17</v>
      </c>
    </row>
    <row r="3175" spans="1:3" x14ac:dyDescent="0.25">
      <c r="A3175">
        <v>11.238584214388201</v>
      </c>
      <c r="B3175">
        <v>0.37</v>
      </c>
      <c r="C3175">
        <v>0.2</v>
      </c>
    </row>
    <row r="3176" spans="1:3" x14ac:dyDescent="0.25">
      <c r="A3176">
        <v>11.242128783398201</v>
      </c>
      <c r="B3176">
        <v>0.41</v>
      </c>
      <c r="C3176">
        <v>0.23</v>
      </c>
    </row>
    <row r="3177" spans="1:3" x14ac:dyDescent="0.25">
      <c r="A3177">
        <v>11.245671682981399</v>
      </c>
      <c r="B3177">
        <v>0.5</v>
      </c>
      <c r="C3177">
        <v>0.28000000000000003</v>
      </c>
    </row>
    <row r="3178" spans="1:3" x14ac:dyDescent="0.25">
      <c r="A3178">
        <v>11.2492146333334</v>
      </c>
      <c r="B3178">
        <v>0.6</v>
      </c>
      <c r="C3178">
        <v>0.23</v>
      </c>
    </row>
    <row r="3179" spans="1:3" x14ac:dyDescent="0.25">
      <c r="A3179">
        <v>11.2527575364212</v>
      </c>
      <c r="B3179">
        <v>0.55000000000000004</v>
      </c>
      <c r="C3179">
        <v>0.27</v>
      </c>
    </row>
    <row r="3180" spans="1:3" x14ac:dyDescent="0.25">
      <c r="A3180">
        <v>11.2562997174483</v>
      </c>
      <c r="B3180">
        <v>0.39</v>
      </c>
      <c r="C3180">
        <v>0.25</v>
      </c>
    </row>
    <row r="3181" spans="1:3" x14ac:dyDescent="0.25">
      <c r="A3181">
        <v>11.259842521978699</v>
      </c>
      <c r="B3181">
        <v>0.55000000000000004</v>
      </c>
      <c r="C3181">
        <v>0.26</v>
      </c>
    </row>
    <row r="3182" spans="1:3" x14ac:dyDescent="0.25">
      <c r="A3182">
        <v>11.2633854123508</v>
      </c>
      <c r="B3182">
        <v>0.43</v>
      </c>
      <c r="C3182">
        <v>0.25</v>
      </c>
    </row>
    <row r="3183" spans="1:3" x14ac:dyDescent="0.25">
      <c r="A3183">
        <v>11.2669306313053</v>
      </c>
      <c r="B3183">
        <v>0.41</v>
      </c>
      <c r="C3183">
        <v>0.25</v>
      </c>
    </row>
    <row r="3184" spans="1:3" x14ac:dyDescent="0.25">
      <c r="A3184">
        <v>11.270473291393699</v>
      </c>
      <c r="B3184">
        <v>0.41</v>
      </c>
      <c r="C3184">
        <v>0.3</v>
      </c>
    </row>
    <row r="3185" spans="1:3" x14ac:dyDescent="0.25">
      <c r="A3185">
        <v>11.2740158181665</v>
      </c>
      <c r="B3185">
        <v>0.4</v>
      </c>
      <c r="C3185">
        <v>0.32</v>
      </c>
    </row>
    <row r="3186" spans="1:3" x14ac:dyDescent="0.25">
      <c r="A3186">
        <v>11.277560771670601</v>
      </c>
      <c r="B3186">
        <v>0.37</v>
      </c>
      <c r="C3186">
        <v>0.33</v>
      </c>
    </row>
    <row r="3187" spans="1:3" x14ac:dyDescent="0.25">
      <c r="A3187">
        <v>11.281104643791901</v>
      </c>
      <c r="B3187">
        <v>0.39</v>
      </c>
      <c r="C3187">
        <v>0.28999999999999998</v>
      </c>
    </row>
    <row r="3188" spans="1:3" x14ac:dyDescent="0.25">
      <c r="A3188">
        <v>11.2846474480132</v>
      </c>
      <c r="B3188">
        <v>0.35</v>
      </c>
      <c r="C3188">
        <v>0.34</v>
      </c>
    </row>
    <row r="3189" spans="1:3" x14ac:dyDescent="0.25">
      <c r="A3189">
        <v>11.2881906116284</v>
      </c>
      <c r="B3189">
        <v>0.28999999999999998</v>
      </c>
      <c r="C3189">
        <v>0.35</v>
      </c>
    </row>
    <row r="3190" spans="1:3" x14ac:dyDescent="0.25">
      <c r="A3190">
        <v>11.2917338117129</v>
      </c>
      <c r="B3190">
        <v>0.39</v>
      </c>
      <c r="C3190">
        <v>0.37</v>
      </c>
    </row>
    <row r="3191" spans="1:3" x14ac:dyDescent="0.25">
      <c r="A3191">
        <v>11.2952755736366</v>
      </c>
      <c r="B3191">
        <v>0.3</v>
      </c>
      <c r="C3191">
        <v>0.28000000000000003</v>
      </c>
    </row>
    <row r="3192" spans="1:3" x14ac:dyDescent="0.25">
      <c r="A3192">
        <v>11.2988169433397</v>
      </c>
      <c r="B3192">
        <v>0.33</v>
      </c>
      <c r="C3192">
        <v>0.31</v>
      </c>
    </row>
    <row r="3193" spans="1:3" x14ac:dyDescent="0.25">
      <c r="A3193">
        <v>11.302358366924301</v>
      </c>
      <c r="B3193">
        <v>0.35</v>
      </c>
      <c r="C3193">
        <v>0.42</v>
      </c>
    </row>
    <row r="3194" spans="1:3" x14ac:dyDescent="0.25">
      <c r="A3194">
        <v>11.305902451569199</v>
      </c>
      <c r="B3194">
        <v>0.36</v>
      </c>
      <c r="C3194">
        <v>0.36</v>
      </c>
    </row>
    <row r="3195" spans="1:3" x14ac:dyDescent="0.25">
      <c r="A3195">
        <v>11.3094456822728</v>
      </c>
      <c r="B3195">
        <v>0.37</v>
      </c>
      <c r="C3195">
        <v>0.35</v>
      </c>
    </row>
    <row r="3196" spans="1:3" x14ac:dyDescent="0.25">
      <c r="A3196">
        <v>11.312989007626401</v>
      </c>
      <c r="B3196">
        <v>0.38</v>
      </c>
      <c r="C3196">
        <v>0.4</v>
      </c>
    </row>
    <row r="3197" spans="1:3" x14ac:dyDescent="0.25">
      <c r="A3197">
        <v>11.3165331580903</v>
      </c>
      <c r="B3197">
        <v>0.39</v>
      </c>
      <c r="C3197">
        <v>0.36</v>
      </c>
    </row>
    <row r="3198" spans="1:3" x14ac:dyDescent="0.25">
      <c r="A3198">
        <v>11.320075091923799</v>
      </c>
      <c r="B3198">
        <v>0.43</v>
      </c>
      <c r="C3198">
        <v>0.36</v>
      </c>
    </row>
    <row r="3199" spans="1:3" x14ac:dyDescent="0.25">
      <c r="A3199">
        <v>11.323619185962</v>
      </c>
      <c r="B3199">
        <v>0.36</v>
      </c>
      <c r="C3199">
        <v>0.38</v>
      </c>
    </row>
    <row r="3200" spans="1:3" x14ac:dyDescent="0.25">
      <c r="A3200">
        <v>11.3271618369608</v>
      </c>
      <c r="B3200">
        <v>0.45</v>
      </c>
      <c r="C3200">
        <v>0.47</v>
      </c>
    </row>
    <row r="3201" spans="1:3" x14ac:dyDescent="0.25">
      <c r="A3201">
        <v>11.3307044367105</v>
      </c>
      <c r="B3201">
        <v>0.38</v>
      </c>
      <c r="C3201">
        <v>0.49</v>
      </c>
    </row>
    <row r="3202" spans="1:3" x14ac:dyDescent="0.25">
      <c r="A3202">
        <v>11.3342474264513</v>
      </c>
      <c r="B3202">
        <v>0.38</v>
      </c>
      <c r="C3202">
        <v>0.61</v>
      </c>
    </row>
    <row r="3203" spans="1:3" x14ac:dyDescent="0.25">
      <c r="A3203">
        <v>11.3377901943579</v>
      </c>
      <c r="B3203">
        <v>0.33</v>
      </c>
      <c r="C3203">
        <v>0.43</v>
      </c>
    </row>
    <row r="3204" spans="1:3" x14ac:dyDescent="0.25">
      <c r="A3204">
        <v>11.341332575452499</v>
      </c>
      <c r="B3204">
        <v>0.33</v>
      </c>
      <c r="C3204">
        <v>0.4</v>
      </c>
    </row>
    <row r="3205" spans="1:3" x14ac:dyDescent="0.25">
      <c r="A3205">
        <v>11.344874394685</v>
      </c>
      <c r="B3205">
        <v>0.36</v>
      </c>
      <c r="C3205">
        <v>0.42</v>
      </c>
    </row>
    <row r="3206" spans="1:3" x14ac:dyDescent="0.25">
      <c r="A3206">
        <v>11.3484186554396</v>
      </c>
      <c r="B3206">
        <v>0.33</v>
      </c>
      <c r="C3206">
        <v>0.36</v>
      </c>
    </row>
    <row r="3207" spans="1:3" x14ac:dyDescent="0.25">
      <c r="A3207">
        <v>11.3519622818849</v>
      </c>
      <c r="B3207">
        <v>0.3</v>
      </c>
      <c r="C3207">
        <v>0.34</v>
      </c>
    </row>
    <row r="3208" spans="1:3" x14ac:dyDescent="0.25">
      <c r="A3208">
        <v>11.3555066362354</v>
      </c>
      <c r="B3208">
        <v>0.32</v>
      </c>
      <c r="C3208">
        <v>0.3</v>
      </c>
    </row>
    <row r="3209" spans="1:3" x14ac:dyDescent="0.25">
      <c r="A3209">
        <v>11.3590488539856</v>
      </c>
      <c r="B3209">
        <v>0.35</v>
      </c>
      <c r="C3209">
        <v>0.32</v>
      </c>
    </row>
    <row r="3210" spans="1:3" x14ac:dyDescent="0.25">
      <c r="A3210">
        <v>11.362592623757999</v>
      </c>
      <c r="B3210">
        <v>0.31</v>
      </c>
      <c r="C3210">
        <v>0.24</v>
      </c>
    </row>
    <row r="3211" spans="1:3" x14ac:dyDescent="0.25">
      <c r="A3211">
        <v>11.366136588801901</v>
      </c>
      <c r="B3211">
        <v>0.37</v>
      </c>
      <c r="C3211">
        <v>0.3</v>
      </c>
    </row>
    <row r="3212" spans="1:3" x14ac:dyDescent="0.25">
      <c r="A3212">
        <v>11.369680548117101</v>
      </c>
      <c r="B3212">
        <v>0.56000000000000005</v>
      </c>
      <c r="C3212">
        <v>0.32</v>
      </c>
    </row>
    <row r="3213" spans="1:3" x14ac:dyDescent="0.25">
      <c r="A3213">
        <v>11.3732223821348</v>
      </c>
      <c r="B3213">
        <v>0.32</v>
      </c>
      <c r="C3213">
        <v>0.31</v>
      </c>
    </row>
    <row r="3214" spans="1:3" x14ac:dyDescent="0.25">
      <c r="A3214">
        <v>11.376766643904899</v>
      </c>
      <c r="B3214">
        <v>0.3</v>
      </c>
      <c r="C3214">
        <v>0.32</v>
      </c>
    </row>
    <row r="3215" spans="1:3" x14ac:dyDescent="0.25">
      <c r="A3215">
        <v>11.3803082451445</v>
      </c>
      <c r="B3215">
        <v>0.27</v>
      </c>
      <c r="C3215">
        <v>0.36</v>
      </c>
    </row>
    <row r="3216" spans="1:3" x14ac:dyDescent="0.25">
      <c r="A3216">
        <v>11.383851515374801</v>
      </c>
      <c r="B3216">
        <v>0.31</v>
      </c>
      <c r="C3216">
        <v>0.32</v>
      </c>
    </row>
    <row r="3217" spans="1:3" x14ac:dyDescent="0.25">
      <c r="A3217">
        <v>11.3873941882837</v>
      </c>
      <c r="B3217">
        <v>0.4</v>
      </c>
      <c r="C3217">
        <v>0.3</v>
      </c>
    </row>
    <row r="3218" spans="1:3" x14ac:dyDescent="0.25">
      <c r="A3218">
        <v>11.3909360961616</v>
      </c>
      <c r="B3218">
        <v>0.25</v>
      </c>
      <c r="C3218">
        <v>0.25</v>
      </c>
    </row>
    <row r="3219" spans="1:3" x14ac:dyDescent="0.25">
      <c r="A3219">
        <v>11.3944790948761</v>
      </c>
      <c r="B3219">
        <v>0.25</v>
      </c>
      <c r="C3219">
        <v>0.25</v>
      </c>
    </row>
    <row r="3220" spans="1:3" x14ac:dyDescent="0.25">
      <c r="A3220">
        <v>11.398020867341</v>
      </c>
      <c r="B3220">
        <v>0.32</v>
      </c>
      <c r="C3220">
        <v>0.28000000000000003</v>
      </c>
    </row>
    <row r="3221" spans="1:3" x14ac:dyDescent="0.25">
      <c r="A3221">
        <v>11.401565455385899</v>
      </c>
      <c r="B3221">
        <v>0.28999999999999998</v>
      </c>
      <c r="C3221">
        <v>0.33</v>
      </c>
    </row>
    <row r="3222" spans="1:3" x14ac:dyDescent="0.25">
      <c r="A3222">
        <v>11.405109332971</v>
      </c>
      <c r="B3222">
        <v>0.23</v>
      </c>
      <c r="C3222">
        <v>0.27</v>
      </c>
    </row>
    <row r="3223" spans="1:3" x14ac:dyDescent="0.25">
      <c r="A3223">
        <v>11.408651973588499</v>
      </c>
      <c r="B3223">
        <v>0.27</v>
      </c>
      <c r="C3223">
        <v>0.32</v>
      </c>
    </row>
    <row r="3224" spans="1:3" x14ac:dyDescent="0.25">
      <c r="A3224">
        <v>11.4121953688561</v>
      </c>
      <c r="B3224">
        <v>0.21</v>
      </c>
      <c r="C3224">
        <v>0.28000000000000003</v>
      </c>
    </row>
    <row r="3225" spans="1:3" x14ac:dyDescent="0.25">
      <c r="A3225">
        <v>11.4157395723958</v>
      </c>
      <c r="B3225">
        <v>0.23</v>
      </c>
      <c r="C3225">
        <v>0.3</v>
      </c>
    </row>
    <row r="3226" spans="1:3" x14ac:dyDescent="0.25">
      <c r="A3226">
        <v>11.419282615979499</v>
      </c>
      <c r="B3226">
        <v>0.19</v>
      </c>
      <c r="C3226">
        <v>0.27</v>
      </c>
    </row>
    <row r="3227" spans="1:3" x14ac:dyDescent="0.25">
      <c r="A3227">
        <v>11.422826101366001</v>
      </c>
      <c r="B3227">
        <v>0.21</v>
      </c>
      <c r="C3227">
        <v>0.3</v>
      </c>
    </row>
    <row r="3228" spans="1:3" x14ac:dyDescent="0.25">
      <c r="A3228">
        <v>11.4263689390321</v>
      </c>
      <c r="B3228">
        <v>0.28000000000000003</v>
      </c>
      <c r="C3228">
        <v>0.41</v>
      </c>
    </row>
    <row r="3229" spans="1:3" x14ac:dyDescent="0.25">
      <c r="A3229">
        <v>11.4299106321732</v>
      </c>
      <c r="B3229">
        <v>0.2</v>
      </c>
      <c r="C3229">
        <v>0.39</v>
      </c>
    </row>
    <row r="3230" spans="1:3" x14ac:dyDescent="0.25">
      <c r="A3230">
        <v>11.433452784347301</v>
      </c>
      <c r="B3230">
        <v>0.22</v>
      </c>
      <c r="C3230">
        <v>0.47</v>
      </c>
    </row>
    <row r="3231" spans="1:3" x14ac:dyDescent="0.25">
      <c r="A3231">
        <v>11.436995690840201</v>
      </c>
      <c r="B3231">
        <v>0.25</v>
      </c>
      <c r="C3231">
        <v>0.44</v>
      </c>
    </row>
    <row r="3232" spans="1:3" x14ac:dyDescent="0.25">
      <c r="A3232">
        <v>11.4405375752184</v>
      </c>
      <c r="B3232">
        <v>0.24</v>
      </c>
      <c r="C3232">
        <v>0.41</v>
      </c>
    </row>
    <row r="3233" spans="1:3" x14ac:dyDescent="0.25">
      <c r="A3233">
        <v>11.444082055009</v>
      </c>
      <c r="B3233">
        <v>0.23</v>
      </c>
      <c r="C3233">
        <v>0.37</v>
      </c>
    </row>
    <row r="3234" spans="1:3" x14ac:dyDescent="0.25">
      <c r="A3234">
        <v>11.4476253334901</v>
      </c>
      <c r="B3234">
        <v>0.35</v>
      </c>
      <c r="C3234">
        <v>0.35</v>
      </c>
    </row>
    <row r="3235" spans="1:3" x14ac:dyDescent="0.25">
      <c r="A3235">
        <v>11.4511684584396</v>
      </c>
      <c r="B3235">
        <v>0.43</v>
      </c>
      <c r="C3235">
        <v>0.36</v>
      </c>
    </row>
    <row r="3236" spans="1:3" x14ac:dyDescent="0.25">
      <c r="A3236">
        <v>11.454710751545599</v>
      </c>
      <c r="B3236">
        <v>0.38</v>
      </c>
      <c r="C3236">
        <v>0.35</v>
      </c>
    </row>
    <row r="3237" spans="1:3" x14ac:dyDescent="0.25">
      <c r="A3237">
        <v>11.458254847388501</v>
      </c>
      <c r="B3237">
        <v>0.36</v>
      </c>
      <c r="C3237">
        <v>0.44</v>
      </c>
    </row>
    <row r="3238" spans="1:3" x14ac:dyDescent="0.25">
      <c r="A3238">
        <v>11.4617978999239</v>
      </c>
      <c r="B3238">
        <v>0.37</v>
      </c>
      <c r="C3238">
        <v>0.46</v>
      </c>
    </row>
    <row r="3239" spans="1:3" x14ac:dyDescent="0.25">
      <c r="A3239">
        <v>11.4653410470706</v>
      </c>
      <c r="B3239">
        <v>0.33</v>
      </c>
      <c r="C3239">
        <v>0.46</v>
      </c>
    </row>
    <row r="3240" spans="1:3" x14ac:dyDescent="0.25">
      <c r="A3240">
        <v>11.468883833868601</v>
      </c>
      <c r="B3240">
        <v>0.28999999999999998</v>
      </c>
      <c r="C3240">
        <v>0.35</v>
      </c>
    </row>
    <row r="3241" spans="1:3" x14ac:dyDescent="0.25">
      <c r="A3241">
        <v>11.472425113657</v>
      </c>
      <c r="B3241">
        <v>0.26</v>
      </c>
      <c r="C3241">
        <v>0.27</v>
      </c>
    </row>
    <row r="3242" spans="1:3" x14ac:dyDescent="0.25">
      <c r="A3242">
        <v>11.4759677924712</v>
      </c>
      <c r="B3242">
        <v>0.26</v>
      </c>
      <c r="C3242">
        <v>0.26</v>
      </c>
    </row>
    <row r="3243" spans="1:3" x14ac:dyDescent="0.25">
      <c r="A3243">
        <v>11.479510461930801</v>
      </c>
      <c r="B3243">
        <v>0.22</v>
      </c>
      <c r="C3243">
        <v>0.19</v>
      </c>
    </row>
    <row r="3244" spans="1:3" x14ac:dyDescent="0.25">
      <c r="A3244">
        <v>11.4830534408103</v>
      </c>
      <c r="B3244">
        <v>0.26</v>
      </c>
      <c r="C3244">
        <v>0.2</v>
      </c>
    </row>
    <row r="3245" spans="1:3" x14ac:dyDescent="0.25">
      <c r="A3245">
        <v>11.486594842015499</v>
      </c>
      <c r="B3245">
        <v>0.26</v>
      </c>
      <c r="C3245">
        <v>0.16</v>
      </c>
    </row>
    <row r="3246" spans="1:3" x14ac:dyDescent="0.25">
      <c r="A3246">
        <v>11.4901369083479</v>
      </c>
      <c r="B3246">
        <v>0.25</v>
      </c>
      <c r="C3246">
        <v>0.19</v>
      </c>
    </row>
    <row r="3247" spans="1:3" x14ac:dyDescent="0.25">
      <c r="A3247">
        <v>11.4936797576646</v>
      </c>
      <c r="B3247">
        <v>0.24</v>
      </c>
      <c r="C3247">
        <v>0.19</v>
      </c>
    </row>
    <row r="3248" spans="1:3" x14ac:dyDescent="0.25">
      <c r="A3248">
        <v>11.497223763581699</v>
      </c>
      <c r="B3248">
        <v>0.28000000000000003</v>
      </c>
      <c r="C3248">
        <v>0.22</v>
      </c>
    </row>
    <row r="3249" spans="1:3" x14ac:dyDescent="0.25">
      <c r="A3249">
        <v>11.500766038061199</v>
      </c>
      <c r="B3249">
        <v>0.27</v>
      </c>
      <c r="C3249">
        <v>0.19</v>
      </c>
    </row>
    <row r="3250" spans="1:3" x14ac:dyDescent="0.25">
      <c r="A3250">
        <v>11.5043093144893</v>
      </c>
      <c r="B3250">
        <v>0.23</v>
      </c>
      <c r="C3250">
        <v>0.17</v>
      </c>
    </row>
    <row r="3251" spans="1:3" x14ac:dyDescent="0.25">
      <c r="A3251">
        <v>11.507854040684499</v>
      </c>
      <c r="B3251">
        <v>0.27</v>
      </c>
      <c r="C3251">
        <v>0.17</v>
      </c>
    </row>
    <row r="3252" spans="1:3" x14ac:dyDescent="0.25">
      <c r="A3252">
        <v>11.5113977423475</v>
      </c>
      <c r="B3252">
        <v>0.31</v>
      </c>
      <c r="C3252">
        <v>0.23</v>
      </c>
    </row>
    <row r="3253" spans="1:3" x14ac:dyDescent="0.25">
      <c r="A3253">
        <v>11.514939260311699</v>
      </c>
      <c r="B3253">
        <v>0.31</v>
      </c>
      <c r="C3253">
        <v>0.2</v>
      </c>
    </row>
    <row r="3254" spans="1:3" x14ac:dyDescent="0.25">
      <c r="A3254">
        <v>11.5184812510455</v>
      </c>
      <c r="B3254">
        <v>0.28999999999999998</v>
      </c>
      <c r="C3254">
        <v>0.2</v>
      </c>
    </row>
    <row r="3255" spans="1:3" x14ac:dyDescent="0.25">
      <c r="A3255">
        <v>11.5220240413756</v>
      </c>
      <c r="B3255">
        <v>0.3</v>
      </c>
      <c r="C3255">
        <v>0.22</v>
      </c>
    </row>
    <row r="3256" spans="1:3" x14ac:dyDescent="0.25">
      <c r="A3256">
        <v>11.5255657034339</v>
      </c>
      <c r="B3256">
        <v>0.28999999999999998</v>
      </c>
      <c r="C3256">
        <v>0.27</v>
      </c>
    </row>
    <row r="3257" spans="1:3" x14ac:dyDescent="0.25">
      <c r="A3257">
        <v>11.529108469453099</v>
      </c>
      <c r="B3257">
        <v>0.28000000000000003</v>
      </c>
      <c r="C3257">
        <v>0.24</v>
      </c>
    </row>
    <row r="3258" spans="1:3" x14ac:dyDescent="0.25">
      <c r="A3258">
        <v>11.532652348616599</v>
      </c>
      <c r="B3258">
        <v>0.28999999999999998</v>
      </c>
      <c r="C3258">
        <v>0.26</v>
      </c>
    </row>
    <row r="3259" spans="1:3" x14ac:dyDescent="0.25">
      <c r="A3259">
        <v>11.5361941145415</v>
      </c>
      <c r="B3259">
        <v>0.31</v>
      </c>
      <c r="C3259">
        <v>0.26</v>
      </c>
    </row>
    <row r="3260" spans="1:3" x14ac:dyDescent="0.25">
      <c r="A3260">
        <v>11.5397401876637</v>
      </c>
      <c r="B3260">
        <v>0.27</v>
      </c>
      <c r="C3260">
        <v>0.27</v>
      </c>
    </row>
    <row r="3261" spans="1:3" x14ac:dyDescent="0.25">
      <c r="A3261">
        <v>11.5432828136837</v>
      </c>
      <c r="B3261">
        <v>0.27</v>
      </c>
      <c r="C3261">
        <v>0.25</v>
      </c>
    </row>
    <row r="3262" spans="1:3" x14ac:dyDescent="0.25">
      <c r="A3262">
        <v>11.5468258675877</v>
      </c>
      <c r="B3262">
        <v>0.28000000000000003</v>
      </c>
      <c r="C3262">
        <v>0.28000000000000003</v>
      </c>
    </row>
    <row r="3263" spans="1:3" x14ac:dyDescent="0.25">
      <c r="A3263">
        <v>11.550370100146001</v>
      </c>
      <c r="B3263">
        <v>0.3</v>
      </c>
      <c r="C3263">
        <v>0.28999999999999998</v>
      </c>
    </row>
    <row r="3264" spans="1:3" x14ac:dyDescent="0.25">
      <c r="A3264">
        <v>11.5539132954345</v>
      </c>
      <c r="B3264">
        <v>0.25</v>
      </c>
      <c r="C3264">
        <v>0.24</v>
      </c>
    </row>
    <row r="3265" spans="1:3" x14ac:dyDescent="0.25">
      <c r="A3265">
        <v>11.5574549220226</v>
      </c>
      <c r="B3265">
        <v>0.27</v>
      </c>
      <c r="C3265">
        <v>0.28000000000000003</v>
      </c>
    </row>
    <row r="3266" spans="1:3" x14ac:dyDescent="0.25">
      <c r="A3266">
        <v>11.5609968550337</v>
      </c>
      <c r="B3266">
        <v>0.28000000000000003</v>
      </c>
      <c r="C3266">
        <v>0.28000000000000003</v>
      </c>
    </row>
    <row r="3267" spans="1:3" x14ac:dyDescent="0.25">
      <c r="A3267">
        <v>11.5645384987747</v>
      </c>
      <c r="B3267">
        <v>0.33</v>
      </c>
      <c r="C3267">
        <v>0.37</v>
      </c>
    </row>
    <row r="3268" spans="1:3" x14ac:dyDescent="0.25">
      <c r="A3268">
        <v>11.5680812050181</v>
      </c>
      <c r="B3268">
        <v>0.24</v>
      </c>
      <c r="C3268">
        <v>0.21</v>
      </c>
    </row>
    <row r="3269" spans="1:3" x14ac:dyDescent="0.25">
      <c r="A3269">
        <v>11.5716226640067</v>
      </c>
      <c r="B3269">
        <v>0.25</v>
      </c>
      <c r="C3269">
        <v>0.26</v>
      </c>
    </row>
    <row r="3270" spans="1:3" x14ac:dyDescent="0.25">
      <c r="A3270">
        <v>11.575165330486101</v>
      </c>
      <c r="B3270">
        <v>0.25</v>
      </c>
      <c r="C3270">
        <v>0.27</v>
      </c>
    </row>
    <row r="3271" spans="1:3" x14ac:dyDescent="0.25">
      <c r="A3271">
        <v>11.578710198098801</v>
      </c>
      <c r="B3271">
        <v>0.28999999999999998</v>
      </c>
      <c r="C3271">
        <v>0.28000000000000003</v>
      </c>
    </row>
    <row r="3272" spans="1:3" x14ac:dyDescent="0.25">
      <c r="A3272">
        <v>11.582253730848899</v>
      </c>
      <c r="B3272">
        <v>0.25</v>
      </c>
      <c r="C3272">
        <v>0.28999999999999998</v>
      </c>
    </row>
    <row r="3273" spans="1:3" x14ac:dyDescent="0.25">
      <c r="A3273">
        <v>11.585796309847501</v>
      </c>
      <c r="B3273">
        <v>0.28000000000000003</v>
      </c>
      <c r="C3273">
        <v>0.36</v>
      </c>
    </row>
    <row r="3274" spans="1:3" x14ac:dyDescent="0.25">
      <c r="A3274">
        <v>11.589341708272601</v>
      </c>
      <c r="B3274">
        <v>0.28999999999999998</v>
      </c>
      <c r="C3274">
        <v>0.46</v>
      </c>
    </row>
    <row r="3275" spans="1:3" x14ac:dyDescent="0.25">
      <c r="A3275">
        <v>11.5928845682188</v>
      </c>
      <c r="B3275">
        <v>0.28000000000000003</v>
      </c>
      <c r="C3275">
        <v>0.44</v>
      </c>
    </row>
    <row r="3276" spans="1:3" x14ac:dyDescent="0.25">
      <c r="A3276">
        <v>11.596428868776099</v>
      </c>
      <c r="B3276">
        <v>0.23</v>
      </c>
      <c r="C3276">
        <v>0.35</v>
      </c>
    </row>
    <row r="3277" spans="1:3" x14ac:dyDescent="0.25">
      <c r="A3277">
        <v>11.599971666347001</v>
      </c>
      <c r="B3277">
        <v>0.3</v>
      </c>
      <c r="C3277">
        <v>0.38</v>
      </c>
    </row>
    <row r="3278" spans="1:3" x14ac:dyDescent="0.25">
      <c r="A3278">
        <v>11.603515867916499</v>
      </c>
      <c r="B3278">
        <v>0.27</v>
      </c>
      <c r="C3278">
        <v>0.38</v>
      </c>
    </row>
    <row r="3279" spans="1:3" x14ac:dyDescent="0.25">
      <c r="A3279">
        <v>11.6070576680975</v>
      </c>
      <c r="B3279">
        <v>0.26</v>
      </c>
      <c r="C3279">
        <v>0.31</v>
      </c>
    </row>
    <row r="3280" spans="1:3" x14ac:dyDescent="0.25">
      <c r="A3280">
        <v>11.6105993713328</v>
      </c>
      <c r="B3280">
        <v>0.31</v>
      </c>
      <c r="C3280">
        <v>0.38</v>
      </c>
    </row>
    <row r="3281" spans="1:3" x14ac:dyDescent="0.25">
      <c r="A3281">
        <v>11.614142519301801</v>
      </c>
      <c r="B3281">
        <v>0.25</v>
      </c>
      <c r="C3281">
        <v>0.32</v>
      </c>
    </row>
    <row r="3282" spans="1:3" x14ac:dyDescent="0.25">
      <c r="A3282">
        <v>11.6176857073053</v>
      </c>
      <c r="B3282">
        <v>0.26</v>
      </c>
      <c r="C3282">
        <v>0.27</v>
      </c>
    </row>
    <row r="3283" spans="1:3" x14ac:dyDescent="0.25">
      <c r="A3283">
        <v>11.621229639583101</v>
      </c>
      <c r="B3283">
        <v>0.28999999999999998</v>
      </c>
      <c r="C3283">
        <v>0.28000000000000003</v>
      </c>
    </row>
    <row r="3284" spans="1:3" x14ac:dyDescent="0.25">
      <c r="A3284">
        <v>11.624771492624699</v>
      </c>
      <c r="B3284">
        <v>0.28000000000000003</v>
      </c>
      <c r="C3284">
        <v>0.24</v>
      </c>
    </row>
    <row r="3285" spans="1:3" x14ac:dyDescent="0.25">
      <c r="A3285">
        <v>11.628314509479999</v>
      </c>
      <c r="B3285">
        <v>0.26</v>
      </c>
      <c r="C3285">
        <v>0.28000000000000003</v>
      </c>
    </row>
    <row r="3286" spans="1:3" x14ac:dyDescent="0.25">
      <c r="A3286">
        <v>11.6318578508606</v>
      </c>
      <c r="B3286">
        <v>0.3</v>
      </c>
      <c r="C3286">
        <v>0.24</v>
      </c>
    </row>
    <row r="3287" spans="1:3" x14ac:dyDescent="0.25">
      <c r="A3287">
        <v>11.635399503282899</v>
      </c>
      <c r="B3287">
        <v>0.28000000000000003</v>
      </c>
      <c r="C3287">
        <v>0.23</v>
      </c>
    </row>
    <row r="3288" spans="1:3" x14ac:dyDescent="0.25">
      <c r="A3288">
        <v>11.638943864587199</v>
      </c>
      <c r="B3288">
        <v>0.28999999999999998</v>
      </c>
      <c r="C3288">
        <v>0.24</v>
      </c>
    </row>
    <row r="3289" spans="1:3" x14ac:dyDescent="0.25">
      <c r="A3289">
        <v>11.642486927592</v>
      </c>
      <c r="B3289">
        <v>0.32</v>
      </c>
      <c r="C3289">
        <v>0.25</v>
      </c>
    </row>
    <row r="3290" spans="1:3" x14ac:dyDescent="0.25">
      <c r="A3290">
        <v>11.6460298325342</v>
      </c>
      <c r="B3290">
        <v>0.28999999999999998</v>
      </c>
      <c r="C3290">
        <v>0.22</v>
      </c>
    </row>
    <row r="3291" spans="1:3" x14ac:dyDescent="0.25">
      <c r="A3291">
        <v>11.649574274144699</v>
      </c>
      <c r="B3291">
        <v>0.24</v>
      </c>
      <c r="C3291">
        <v>0.18</v>
      </c>
    </row>
    <row r="3292" spans="1:3" x14ac:dyDescent="0.25">
      <c r="A3292">
        <v>11.6531171923599</v>
      </c>
      <c r="B3292">
        <v>0.25</v>
      </c>
      <c r="C3292">
        <v>0.15</v>
      </c>
    </row>
    <row r="3293" spans="1:3" x14ac:dyDescent="0.25">
      <c r="A3293">
        <v>11.6566608279115</v>
      </c>
      <c r="B3293">
        <v>0.3</v>
      </c>
      <c r="C3293">
        <v>0.18</v>
      </c>
    </row>
    <row r="3294" spans="1:3" x14ac:dyDescent="0.25">
      <c r="A3294">
        <v>11.660204782811499</v>
      </c>
      <c r="B3294">
        <v>0.23</v>
      </c>
      <c r="C3294">
        <v>0.2</v>
      </c>
    </row>
    <row r="3295" spans="1:3" x14ac:dyDescent="0.25">
      <c r="A3295">
        <v>11.6637475907857</v>
      </c>
      <c r="B3295">
        <v>0.25</v>
      </c>
      <c r="C3295">
        <v>0.15</v>
      </c>
    </row>
    <row r="3296" spans="1:3" x14ac:dyDescent="0.25">
      <c r="A3296">
        <v>11.667291059267701</v>
      </c>
      <c r="B3296">
        <v>0.27</v>
      </c>
      <c r="C3296">
        <v>0.24</v>
      </c>
    </row>
    <row r="3297" spans="1:3" x14ac:dyDescent="0.25">
      <c r="A3297">
        <v>11.6708335465137</v>
      </c>
      <c r="B3297">
        <v>0.3</v>
      </c>
      <c r="C3297">
        <v>0.23</v>
      </c>
    </row>
    <row r="3298" spans="1:3" x14ac:dyDescent="0.25">
      <c r="A3298">
        <v>11.674376234848101</v>
      </c>
      <c r="B3298">
        <v>0.27</v>
      </c>
      <c r="C3298">
        <v>0.24</v>
      </c>
    </row>
    <row r="3299" spans="1:3" x14ac:dyDescent="0.25">
      <c r="A3299">
        <v>11.677919350597501</v>
      </c>
      <c r="B3299">
        <v>0.28999999999999998</v>
      </c>
      <c r="C3299">
        <v>0.21</v>
      </c>
    </row>
    <row r="3300" spans="1:3" x14ac:dyDescent="0.25">
      <c r="A3300">
        <v>11.6814609615228</v>
      </c>
      <c r="B3300">
        <v>0.33</v>
      </c>
      <c r="C3300">
        <v>0.26</v>
      </c>
    </row>
    <row r="3301" spans="1:3" x14ac:dyDescent="0.25">
      <c r="A3301">
        <v>11.685002951644</v>
      </c>
      <c r="B3301">
        <v>0.45</v>
      </c>
      <c r="C3301">
        <v>0.23</v>
      </c>
    </row>
    <row r="3302" spans="1:3" x14ac:dyDescent="0.25">
      <c r="A3302">
        <v>11.6885467543204</v>
      </c>
      <c r="B3302">
        <v>0.35</v>
      </c>
      <c r="C3302">
        <v>0.28000000000000003</v>
      </c>
    </row>
    <row r="3303" spans="1:3" x14ac:dyDescent="0.25">
      <c r="A3303">
        <v>11.692090956088499</v>
      </c>
      <c r="B3303">
        <v>0.3</v>
      </c>
      <c r="C3303">
        <v>0.26</v>
      </c>
    </row>
    <row r="3304" spans="1:3" x14ac:dyDescent="0.25">
      <c r="A3304">
        <v>11.6956342325552</v>
      </c>
      <c r="B3304">
        <v>0.26</v>
      </c>
      <c r="C3304">
        <v>0.23</v>
      </c>
    </row>
    <row r="3305" spans="1:3" x14ac:dyDescent="0.25">
      <c r="A3305">
        <v>11.699176845699499</v>
      </c>
      <c r="B3305">
        <v>0.31</v>
      </c>
      <c r="C3305">
        <v>0.27</v>
      </c>
    </row>
    <row r="3306" spans="1:3" x14ac:dyDescent="0.25">
      <c r="A3306">
        <v>11.7027207377939</v>
      </c>
      <c r="B3306">
        <v>0.3</v>
      </c>
      <c r="C3306">
        <v>0.28000000000000003</v>
      </c>
    </row>
    <row r="3307" spans="1:3" x14ac:dyDescent="0.25">
      <c r="A3307">
        <v>11.706266850867699</v>
      </c>
      <c r="B3307">
        <v>0.25</v>
      </c>
      <c r="C3307">
        <v>0.23</v>
      </c>
    </row>
    <row r="3308" spans="1:3" x14ac:dyDescent="0.25">
      <c r="A3308">
        <v>11.709808744291401</v>
      </c>
      <c r="B3308">
        <v>0.3</v>
      </c>
      <c r="C3308">
        <v>0.28000000000000003</v>
      </c>
    </row>
    <row r="3309" spans="1:3" x14ac:dyDescent="0.25">
      <c r="A3309">
        <v>11.713351399368699</v>
      </c>
      <c r="B3309">
        <v>0.24</v>
      </c>
      <c r="C3309">
        <v>0.25</v>
      </c>
    </row>
    <row r="3310" spans="1:3" x14ac:dyDescent="0.25">
      <c r="A3310">
        <v>11.716894344439099</v>
      </c>
      <c r="B3310">
        <v>0.25</v>
      </c>
      <c r="C3310">
        <v>0.28000000000000003</v>
      </c>
    </row>
    <row r="3311" spans="1:3" x14ac:dyDescent="0.25">
      <c r="A3311">
        <v>11.720438470128499</v>
      </c>
      <c r="B3311">
        <v>0.27</v>
      </c>
      <c r="C3311">
        <v>0.32</v>
      </c>
    </row>
    <row r="3312" spans="1:3" x14ac:dyDescent="0.25">
      <c r="A3312">
        <v>11.723981444857699</v>
      </c>
      <c r="B3312">
        <v>0.25</v>
      </c>
      <c r="C3312">
        <v>0.32</v>
      </c>
    </row>
    <row r="3313" spans="1:3" x14ac:dyDescent="0.25">
      <c r="A3313">
        <v>11.7275228920634</v>
      </c>
      <c r="B3313">
        <v>0.31</v>
      </c>
      <c r="C3313">
        <v>0.49</v>
      </c>
    </row>
    <row r="3314" spans="1:3" x14ac:dyDescent="0.25">
      <c r="A3314">
        <v>11.7310657901896</v>
      </c>
      <c r="B3314">
        <v>0.26</v>
      </c>
      <c r="C3314">
        <v>0.43</v>
      </c>
    </row>
    <row r="3315" spans="1:3" x14ac:dyDescent="0.25">
      <c r="A3315">
        <v>11.734610033940299</v>
      </c>
      <c r="B3315">
        <v>0.21</v>
      </c>
      <c r="C3315">
        <v>0.37</v>
      </c>
    </row>
    <row r="3316" spans="1:3" x14ac:dyDescent="0.25">
      <c r="A3316">
        <v>11.738152273451799</v>
      </c>
      <c r="B3316">
        <v>0.21</v>
      </c>
      <c r="C3316">
        <v>0.35</v>
      </c>
    </row>
    <row r="3317" spans="1:3" x14ac:dyDescent="0.25">
      <c r="A3317">
        <v>11.7416989350042</v>
      </c>
      <c r="B3317">
        <v>0.26</v>
      </c>
      <c r="C3317">
        <v>0.37</v>
      </c>
    </row>
    <row r="3318" spans="1:3" x14ac:dyDescent="0.25">
      <c r="A3318">
        <v>11.7452431727173</v>
      </c>
      <c r="B3318">
        <v>0.33</v>
      </c>
      <c r="C3318">
        <v>0.43</v>
      </c>
    </row>
    <row r="3319" spans="1:3" x14ac:dyDescent="0.25">
      <c r="A3319">
        <v>11.7487873493852</v>
      </c>
      <c r="B3319">
        <v>0.22</v>
      </c>
      <c r="C3319">
        <v>0.34</v>
      </c>
    </row>
    <row r="3320" spans="1:3" x14ac:dyDescent="0.25">
      <c r="A3320">
        <v>11.7523290001463</v>
      </c>
      <c r="B3320">
        <v>0.28000000000000003</v>
      </c>
      <c r="C3320">
        <v>0.33</v>
      </c>
    </row>
    <row r="3321" spans="1:3" x14ac:dyDescent="0.25">
      <c r="A3321">
        <v>11.7558734023846</v>
      </c>
      <c r="B3321">
        <v>0.25</v>
      </c>
      <c r="C3321">
        <v>0.31</v>
      </c>
    </row>
    <row r="3322" spans="1:3" x14ac:dyDescent="0.25">
      <c r="A3322">
        <v>11.759415086033099</v>
      </c>
      <c r="B3322">
        <v>0.25</v>
      </c>
      <c r="C3322">
        <v>0.28000000000000003</v>
      </c>
    </row>
    <row r="3323" spans="1:3" x14ac:dyDescent="0.25">
      <c r="A3323">
        <v>11.7629591602749</v>
      </c>
      <c r="B3323">
        <v>0.26</v>
      </c>
      <c r="C3323">
        <v>0.34</v>
      </c>
    </row>
    <row r="3324" spans="1:3" x14ac:dyDescent="0.25">
      <c r="A3324">
        <v>11.7665040088417</v>
      </c>
      <c r="B3324">
        <v>0.24</v>
      </c>
      <c r="C3324">
        <v>0.32</v>
      </c>
    </row>
    <row r="3325" spans="1:3" x14ac:dyDescent="0.25">
      <c r="A3325">
        <v>11.770045353036201</v>
      </c>
      <c r="B3325">
        <v>0.21</v>
      </c>
      <c r="C3325">
        <v>0.32</v>
      </c>
    </row>
    <row r="3326" spans="1:3" x14ac:dyDescent="0.25">
      <c r="A3326">
        <v>11.7735902915894</v>
      </c>
      <c r="B3326">
        <v>0.26</v>
      </c>
      <c r="C3326">
        <v>0.33</v>
      </c>
    </row>
    <row r="3327" spans="1:3" x14ac:dyDescent="0.25">
      <c r="A3327">
        <v>11.777131876813</v>
      </c>
      <c r="B3327">
        <v>0.22</v>
      </c>
      <c r="C3327">
        <v>0.26</v>
      </c>
    </row>
    <row r="3328" spans="1:3" x14ac:dyDescent="0.25">
      <c r="A3328">
        <v>11.780676512387</v>
      </c>
      <c r="B3328">
        <v>0.24</v>
      </c>
      <c r="C3328">
        <v>0.27</v>
      </c>
    </row>
    <row r="3329" spans="1:3" x14ac:dyDescent="0.25">
      <c r="A3329">
        <v>11.7842206220439</v>
      </c>
      <c r="B3329">
        <v>0.27</v>
      </c>
      <c r="C3329">
        <v>0.26</v>
      </c>
    </row>
    <row r="3330" spans="1:3" x14ac:dyDescent="0.25">
      <c r="A3330">
        <v>11.7877650336755</v>
      </c>
      <c r="B3330">
        <v>0.23</v>
      </c>
      <c r="C3330">
        <v>0.16</v>
      </c>
    </row>
    <row r="3331" spans="1:3" x14ac:dyDescent="0.25">
      <c r="A3331">
        <v>11.791307991555399</v>
      </c>
      <c r="B3331">
        <v>0.25</v>
      </c>
      <c r="C3331">
        <v>0.19</v>
      </c>
    </row>
    <row r="3332" spans="1:3" x14ac:dyDescent="0.25">
      <c r="A3332">
        <v>11.794849534995</v>
      </c>
      <c r="B3332">
        <v>0.2</v>
      </c>
      <c r="C3332">
        <v>0.16</v>
      </c>
    </row>
    <row r="3333" spans="1:3" x14ac:dyDescent="0.25">
      <c r="A3333">
        <v>11.7983917819901</v>
      </c>
      <c r="B3333">
        <v>0.24</v>
      </c>
      <c r="C3333">
        <v>0.18</v>
      </c>
    </row>
    <row r="3334" spans="1:3" x14ac:dyDescent="0.25">
      <c r="A3334">
        <v>11.8019346199984</v>
      </c>
      <c r="B3334">
        <v>0.18</v>
      </c>
      <c r="C3334">
        <v>0.08</v>
      </c>
    </row>
    <row r="3335" spans="1:3" x14ac:dyDescent="0.25">
      <c r="A3335">
        <v>11.8054783475067</v>
      </c>
      <c r="B3335">
        <v>0.26</v>
      </c>
      <c r="C3335">
        <v>0.16</v>
      </c>
    </row>
    <row r="3336" spans="1:3" x14ac:dyDescent="0.25">
      <c r="A3336">
        <v>11.809021394865299</v>
      </c>
      <c r="B3336">
        <v>0.26</v>
      </c>
      <c r="C3336">
        <v>0.16</v>
      </c>
    </row>
    <row r="3337" spans="1:3" x14ac:dyDescent="0.25">
      <c r="A3337">
        <v>11.812567030450801</v>
      </c>
      <c r="B3337">
        <v>0.28000000000000003</v>
      </c>
      <c r="C3337">
        <v>0.21</v>
      </c>
    </row>
    <row r="3338" spans="1:3" x14ac:dyDescent="0.25">
      <c r="A3338">
        <v>11.816108642413599</v>
      </c>
      <c r="B3338">
        <v>0.28000000000000003</v>
      </c>
      <c r="C3338">
        <v>0.15</v>
      </c>
    </row>
    <row r="3339" spans="1:3" x14ac:dyDescent="0.25">
      <c r="A3339">
        <v>11.819651863116899</v>
      </c>
      <c r="B3339">
        <v>0.28999999999999998</v>
      </c>
      <c r="C3339">
        <v>0.19</v>
      </c>
    </row>
    <row r="3340" spans="1:3" x14ac:dyDescent="0.25">
      <c r="A3340">
        <v>11.8231955902002</v>
      </c>
      <c r="B3340">
        <v>0.26</v>
      </c>
      <c r="C3340">
        <v>0.16</v>
      </c>
    </row>
    <row r="3341" spans="1:3" x14ac:dyDescent="0.25">
      <c r="A3341">
        <v>11.8267407951917</v>
      </c>
      <c r="B3341">
        <v>0.28000000000000003</v>
      </c>
      <c r="C3341">
        <v>0.22</v>
      </c>
    </row>
    <row r="3342" spans="1:3" x14ac:dyDescent="0.25">
      <c r="A3342">
        <v>11.830283378037</v>
      </c>
      <c r="B3342">
        <v>0.28000000000000003</v>
      </c>
      <c r="C3342">
        <v>0.25</v>
      </c>
    </row>
    <row r="3343" spans="1:3" x14ac:dyDescent="0.25">
      <c r="A3343">
        <v>11.833825685310099</v>
      </c>
      <c r="B3343">
        <v>0.19</v>
      </c>
      <c r="C3343">
        <v>0.17</v>
      </c>
    </row>
    <row r="3344" spans="1:3" x14ac:dyDescent="0.25">
      <c r="A3344">
        <v>11.837369442416501</v>
      </c>
      <c r="B3344">
        <v>0.3</v>
      </c>
      <c r="C3344">
        <v>0.25</v>
      </c>
    </row>
    <row r="3345" spans="1:3" x14ac:dyDescent="0.25">
      <c r="A3345">
        <v>11.8409110725533</v>
      </c>
      <c r="B3345">
        <v>0.28000000000000003</v>
      </c>
      <c r="C3345">
        <v>0.27</v>
      </c>
    </row>
    <row r="3346" spans="1:3" x14ac:dyDescent="0.25">
      <c r="A3346">
        <v>11.8444553165413</v>
      </c>
      <c r="B3346">
        <v>0.24</v>
      </c>
      <c r="C3346">
        <v>0.22</v>
      </c>
    </row>
    <row r="3347" spans="1:3" x14ac:dyDescent="0.25">
      <c r="A3347">
        <v>11.8479971048291</v>
      </c>
      <c r="B3347">
        <v>0.24</v>
      </c>
      <c r="C3347">
        <v>0.23</v>
      </c>
    </row>
    <row r="3348" spans="1:3" x14ac:dyDescent="0.25">
      <c r="A3348">
        <v>11.851541784267701</v>
      </c>
      <c r="B3348">
        <v>0.28000000000000003</v>
      </c>
      <c r="C3348">
        <v>0.25</v>
      </c>
    </row>
    <row r="3349" spans="1:3" x14ac:dyDescent="0.25">
      <c r="A3349">
        <v>11.855085999766899</v>
      </c>
      <c r="B3349">
        <v>0</v>
      </c>
      <c r="C3349">
        <v>0</v>
      </c>
    </row>
    <row r="3350" spans="1:3" x14ac:dyDescent="0.25">
      <c r="A3350">
        <v>11.8586289853961</v>
      </c>
      <c r="B3350">
        <v>0.28000000000000003</v>
      </c>
      <c r="C3350">
        <v>0.27</v>
      </c>
    </row>
    <row r="3351" spans="1:3" x14ac:dyDescent="0.25">
      <c r="A3351">
        <v>11.8621729434419</v>
      </c>
      <c r="B3351">
        <v>0.33</v>
      </c>
      <c r="C3351">
        <v>0.24</v>
      </c>
    </row>
    <row r="3352" spans="1:3" x14ac:dyDescent="0.25">
      <c r="A3352">
        <v>11.8657159861922</v>
      </c>
      <c r="B3352">
        <v>0.28000000000000003</v>
      </c>
      <c r="C3352">
        <v>0.25</v>
      </c>
    </row>
    <row r="3353" spans="1:3" x14ac:dyDescent="0.25">
      <c r="A3353">
        <v>11.869259850884999</v>
      </c>
      <c r="B3353">
        <v>0.34</v>
      </c>
      <c r="C3353">
        <v>0.26</v>
      </c>
    </row>
    <row r="3354" spans="1:3" x14ac:dyDescent="0.25">
      <c r="A3354">
        <v>11.872803810034601</v>
      </c>
      <c r="B3354">
        <v>0.32</v>
      </c>
      <c r="C3354">
        <v>0.41</v>
      </c>
    </row>
    <row r="3355" spans="1:3" x14ac:dyDescent="0.25">
      <c r="A3355">
        <v>11.876346047443301</v>
      </c>
      <c r="B3355">
        <v>0.27</v>
      </c>
      <c r="C3355">
        <v>0.43</v>
      </c>
    </row>
    <row r="3356" spans="1:3" x14ac:dyDescent="0.25">
      <c r="A3356">
        <v>11.8798883440925</v>
      </c>
      <c r="B3356">
        <v>0.26</v>
      </c>
      <c r="C3356">
        <v>0.37</v>
      </c>
    </row>
    <row r="3357" spans="1:3" x14ac:dyDescent="0.25">
      <c r="A3357">
        <v>11.883432704596601</v>
      </c>
      <c r="B3357">
        <v>0.28999999999999998</v>
      </c>
      <c r="C3357">
        <v>0.3</v>
      </c>
    </row>
    <row r="3358" spans="1:3" x14ac:dyDescent="0.25">
      <c r="A3358">
        <v>11.8869741404166</v>
      </c>
      <c r="B3358">
        <v>0.2</v>
      </c>
      <c r="C3358">
        <v>0.24</v>
      </c>
    </row>
    <row r="3359" spans="1:3" x14ac:dyDescent="0.25">
      <c r="A3359">
        <v>11.8905205024226</v>
      </c>
      <c r="B3359">
        <v>0.03</v>
      </c>
      <c r="C3359">
        <v>0</v>
      </c>
    </row>
    <row r="3360" spans="1:3" x14ac:dyDescent="0.25">
      <c r="A3360">
        <v>11.8940626075367</v>
      </c>
      <c r="B3360">
        <v>0.24</v>
      </c>
      <c r="C3360">
        <v>0.25</v>
      </c>
    </row>
    <row r="3361" spans="1:3" x14ac:dyDescent="0.25">
      <c r="A3361">
        <v>11.8976046804255</v>
      </c>
      <c r="B3361">
        <v>0.25</v>
      </c>
      <c r="C3361">
        <v>0.22</v>
      </c>
    </row>
    <row r="3362" spans="1:3" x14ac:dyDescent="0.25">
      <c r="A3362">
        <v>11.9011475672655</v>
      </c>
      <c r="B3362">
        <v>0.21</v>
      </c>
      <c r="C3362">
        <v>0.19</v>
      </c>
    </row>
    <row r="3363" spans="1:3" x14ac:dyDescent="0.25">
      <c r="A3363">
        <v>11.904691591616</v>
      </c>
      <c r="B3363">
        <v>0.21</v>
      </c>
      <c r="C3363">
        <v>0.17</v>
      </c>
    </row>
    <row r="3364" spans="1:3" x14ac:dyDescent="0.25">
      <c r="A3364">
        <v>11.908235614387999</v>
      </c>
      <c r="B3364">
        <v>0.21</v>
      </c>
      <c r="C3364">
        <v>0.16</v>
      </c>
    </row>
    <row r="3365" spans="1:3" x14ac:dyDescent="0.25">
      <c r="A3365">
        <v>11.9117771289801</v>
      </c>
      <c r="B3365">
        <v>0.2</v>
      </c>
      <c r="C3365">
        <v>0.15</v>
      </c>
    </row>
    <row r="3366" spans="1:3" x14ac:dyDescent="0.25">
      <c r="A3366">
        <v>11.915323702036201</v>
      </c>
      <c r="B3366">
        <v>0.2</v>
      </c>
      <c r="C3366">
        <v>0.14000000000000001</v>
      </c>
    </row>
    <row r="3367" spans="1:3" x14ac:dyDescent="0.25">
      <c r="A3367">
        <v>11.9188661351082</v>
      </c>
      <c r="B3367">
        <v>0.25</v>
      </c>
      <c r="C3367">
        <v>0.19</v>
      </c>
    </row>
    <row r="3368" spans="1:3" x14ac:dyDescent="0.25">
      <c r="A3368">
        <v>11.9224090488862</v>
      </c>
      <c r="B3368">
        <v>0.2</v>
      </c>
      <c r="C3368">
        <v>0.16</v>
      </c>
    </row>
    <row r="3369" spans="1:3" x14ac:dyDescent="0.25">
      <c r="A3369">
        <v>11.925951356137199</v>
      </c>
      <c r="B3369">
        <v>0.25</v>
      </c>
      <c r="C3369">
        <v>0.17</v>
      </c>
    </row>
    <row r="3370" spans="1:3" x14ac:dyDescent="0.25">
      <c r="A3370">
        <v>11.9294941719152</v>
      </c>
      <c r="B3370">
        <v>0.2</v>
      </c>
      <c r="C3370">
        <v>0.16</v>
      </c>
    </row>
    <row r="3371" spans="1:3" x14ac:dyDescent="0.25">
      <c r="A3371">
        <v>11.933037263292899</v>
      </c>
      <c r="B3371">
        <v>0.13</v>
      </c>
      <c r="C3371">
        <v>0.06</v>
      </c>
    </row>
    <row r="3372" spans="1:3" x14ac:dyDescent="0.25">
      <c r="A3372">
        <v>11.9365801271354</v>
      </c>
      <c r="B3372">
        <v>0.23</v>
      </c>
      <c r="C3372">
        <v>0.17</v>
      </c>
    </row>
    <row r="3373" spans="1:3" x14ac:dyDescent="0.25">
      <c r="A3373">
        <v>11.9401221443105</v>
      </c>
      <c r="B3373">
        <v>0.2</v>
      </c>
      <c r="C3373">
        <v>0.17</v>
      </c>
    </row>
    <row r="3374" spans="1:3" x14ac:dyDescent="0.25">
      <c r="A3374">
        <v>11.943667291833201</v>
      </c>
      <c r="B3374">
        <v>0.16</v>
      </c>
      <c r="C3374">
        <v>0.13</v>
      </c>
    </row>
    <row r="3375" spans="1:3" x14ac:dyDescent="0.25">
      <c r="A3375">
        <v>11.947208967920799</v>
      </c>
      <c r="B3375">
        <v>0.24</v>
      </c>
      <c r="C3375">
        <v>0.25</v>
      </c>
    </row>
    <row r="3376" spans="1:3" x14ac:dyDescent="0.25">
      <c r="A3376">
        <v>11.9507514704211</v>
      </c>
      <c r="B3376">
        <v>0.24</v>
      </c>
      <c r="C3376">
        <v>0.2</v>
      </c>
    </row>
    <row r="3377" spans="1:3" x14ac:dyDescent="0.25">
      <c r="A3377">
        <v>11.954295543746801</v>
      </c>
      <c r="B3377">
        <v>0.18</v>
      </c>
      <c r="C3377">
        <v>0.11</v>
      </c>
    </row>
    <row r="3378" spans="1:3" x14ac:dyDescent="0.25">
      <c r="A3378">
        <v>11.957837788054199</v>
      </c>
      <c r="B3378">
        <v>0.18</v>
      </c>
      <c r="C3378">
        <v>0.15</v>
      </c>
    </row>
    <row r="3379" spans="1:3" x14ac:dyDescent="0.25">
      <c r="A3379">
        <v>11.9613814707928</v>
      </c>
      <c r="B3379">
        <v>0.23</v>
      </c>
      <c r="C3379">
        <v>0.19</v>
      </c>
    </row>
    <row r="3380" spans="1:3" x14ac:dyDescent="0.25">
      <c r="A3380">
        <v>11.9649243618603</v>
      </c>
      <c r="B3380">
        <v>0.24</v>
      </c>
      <c r="C3380">
        <v>0.18</v>
      </c>
    </row>
    <row r="3381" spans="1:3" x14ac:dyDescent="0.25">
      <c r="A3381">
        <v>11.968467281830501</v>
      </c>
      <c r="B3381">
        <v>0.17</v>
      </c>
      <c r="C3381">
        <v>0.12</v>
      </c>
    </row>
    <row r="3382" spans="1:3" x14ac:dyDescent="0.25">
      <c r="A3382">
        <v>11.9720089252955</v>
      </c>
      <c r="B3382">
        <v>0.18</v>
      </c>
      <c r="C3382">
        <v>0.14000000000000001</v>
      </c>
    </row>
    <row r="3383" spans="1:3" x14ac:dyDescent="0.25">
      <c r="A3383">
        <v>11.975553291313</v>
      </c>
      <c r="B3383">
        <v>0.25</v>
      </c>
      <c r="C3383">
        <v>0.23</v>
      </c>
    </row>
    <row r="3384" spans="1:3" x14ac:dyDescent="0.25">
      <c r="A3384">
        <v>11.9790959357939</v>
      </c>
      <c r="B3384">
        <v>0.27</v>
      </c>
      <c r="C3384">
        <v>0.24</v>
      </c>
    </row>
    <row r="3385" spans="1:3" x14ac:dyDescent="0.25">
      <c r="A3385">
        <v>11.982639904265</v>
      </c>
      <c r="B3385">
        <v>0.16</v>
      </c>
      <c r="C3385">
        <v>0.15</v>
      </c>
    </row>
    <row r="3386" spans="1:3" x14ac:dyDescent="0.25">
      <c r="A3386">
        <v>11.986181776683599</v>
      </c>
      <c r="B3386">
        <v>0.18</v>
      </c>
      <c r="C3386">
        <v>0.19</v>
      </c>
    </row>
    <row r="3387" spans="1:3" x14ac:dyDescent="0.25">
      <c r="A3387">
        <v>11.989725764735899</v>
      </c>
      <c r="B3387">
        <v>0.19</v>
      </c>
      <c r="C3387">
        <v>0.19</v>
      </c>
    </row>
    <row r="3388" spans="1:3" x14ac:dyDescent="0.25">
      <c r="A3388">
        <v>11.993268302143701</v>
      </c>
      <c r="B3388">
        <v>0.2</v>
      </c>
      <c r="C3388">
        <v>0.24</v>
      </c>
    </row>
    <row r="3389" spans="1:3" x14ac:dyDescent="0.25">
      <c r="A3389">
        <v>11.996810827321401</v>
      </c>
      <c r="B3389">
        <v>0.16</v>
      </c>
      <c r="C3389">
        <v>0.13</v>
      </c>
    </row>
    <row r="3390" spans="1:3" x14ac:dyDescent="0.25">
      <c r="A3390">
        <v>12.000354962106099</v>
      </c>
      <c r="B3390">
        <v>0.24</v>
      </c>
      <c r="C3390">
        <v>0.26</v>
      </c>
    </row>
    <row r="3391" spans="1:3" x14ac:dyDescent="0.25">
      <c r="A3391">
        <v>12.003899616273401</v>
      </c>
      <c r="B3391">
        <v>0.19</v>
      </c>
      <c r="C3391">
        <v>0.25</v>
      </c>
    </row>
    <row r="3392" spans="1:3" x14ac:dyDescent="0.25">
      <c r="A3392">
        <v>12.007440008526499</v>
      </c>
      <c r="B3392">
        <v>0.15</v>
      </c>
      <c r="C3392">
        <v>0.31</v>
      </c>
    </row>
    <row r="3393" spans="1:3" x14ac:dyDescent="0.25">
      <c r="A3393">
        <v>12.0109823871265</v>
      </c>
      <c r="B3393">
        <v>0.15</v>
      </c>
      <c r="C3393">
        <v>0.27</v>
      </c>
    </row>
    <row r="3394" spans="1:3" x14ac:dyDescent="0.25">
      <c r="A3394">
        <v>12.0145263089405</v>
      </c>
      <c r="B3394">
        <v>0.24</v>
      </c>
      <c r="C3394">
        <v>0.38</v>
      </c>
    </row>
    <row r="3395" spans="1:3" x14ac:dyDescent="0.25">
      <c r="A3395">
        <v>12.0180704197177</v>
      </c>
      <c r="B3395">
        <v>0.17</v>
      </c>
      <c r="C3395">
        <v>0.33</v>
      </c>
    </row>
    <row r="3396" spans="1:3" x14ac:dyDescent="0.25">
      <c r="A3396">
        <v>12.021612767803401</v>
      </c>
      <c r="B3396">
        <v>0.16</v>
      </c>
      <c r="C3396">
        <v>0.3</v>
      </c>
    </row>
    <row r="3397" spans="1:3" x14ac:dyDescent="0.25">
      <c r="A3397">
        <v>12.0251559196247</v>
      </c>
      <c r="B3397">
        <v>0.22</v>
      </c>
      <c r="C3397">
        <v>0.34</v>
      </c>
    </row>
    <row r="3398" spans="1:3" x14ac:dyDescent="0.25">
      <c r="A3398">
        <v>12.028698730154099</v>
      </c>
      <c r="B3398">
        <v>0.16</v>
      </c>
      <c r="C3398">
        <v>0.31</v>
      </c>
    </row>
    <row r="3399" spans="1:3" x14ac:dyDescent="0.25">
      <c r="A3399">
        <v>12.032240365384901</v>
      </c>
      <c r="B3399">
        <v>0.17</v>
      </c>
      <c r="C3399">
        <v>0.3</v>
      </c>
    </row>
    <row r="3400" spans="1:3" x14ac:dyDescent="0.25">
      <c r="A3400">
        <v>12.035784678679899</v>
      </c>
      <c r="B3400">
        <v>0.22</v>
      </c>
      <c r="C3400">
        <v>0.36</v>
      </c>
    </row>
    <row r="3401" spans="1:3" x14ac:dyDescent="0.25">
      <c r="A3401">
        <v>12.0393273126195</v>
      </c>
      <c r="B3401">
        <v>0.2</v>
      </c>
      <c r="C3401">
        <v>0.32</v>
      </c>
    </row>
    <row r="3402" spans="1:3" x14ac:dyDescent="0.25">
      <c r="A3402">
        <v>12.0428712664875</v>
      </c>
      <c r="B3402">
        <v>0.2</v>
      </c>
      <c r="C3402">
        <v>0.3</v>
      </c>
    </row>
    <row r="3403" spans="1:3" x14ac:dyDescent="0.25">
      <c r="A3403">
        <v>12.0464128045351</v>
      </c>
      <c r="B3403">
        <v>0.18</v>
      </c>
      <c r="C3403">
        <v>0.25</v>
      </c>
    </row>
    <row r="3404" spans="1:3" x14ac:dyDescent="0.25">
      <c r="A3404">
        <v>12.0499566385812</v>
      </c>
      <c r="B3404">
        <v>0.18</v>
      </c>
      <c r="C3404">
        <v>0.27</v>
      </c>
    </row>
    <row r="3405" spans="1:3" x14ac:dyDescent="0.25">
      <c r="A3405">
        <v>12.0534978859788</v>
      </c>
      <c r="B3405">
        <v>0.15</v>
      </c>
      <c r="C3405">
        <v>0.17</v>
      </c>
    </row>
    <row r="3406" spans="1:3" x14ac:dyDescent="0.25">
      <c r="A3406">
        <v>12.057042109375701</v>
      </c>
      <c r="B3406">
        <v>0.23</v>
      </c>
      <c r="C3406">
        <v>0.21</v>
      </c>
    </row>
    <row r="3407" spans="1:3" x14ac:dyDescent="0.25">
      <c r="A3407">
        <v>12.0605839973964</v>
      </c>
      <c r="B3407">
        <v>0.21</v>
      </c>
      <c r="C3407">
        <v>0.17</v>
      </c>
    </row>
    <row r="3408" spans="1:3" x14ac:dyDescent="0.25">
      <c r="A3408">
        <v>12.0641315922361</v>
      </c>
      <c r="B3408">
        <v>0.24</v>
      </c>
      <c r="C3408">
        <v>0.2</v>
      </c>
    </row>
    <row r="3409" spans="1:3" x14ac:dyDescent="0.25">
      <c r="A3409">
        <v>12.0676749245049</v>
      </c>
      <c r="B3409">
        <v>0.18</v>
      </c>
      <c r="C3409">
        <v>0.14000000000000001</v>
      </c>
    </row>
    <row r="3410" spans="1:3" x14ac:dyDescent="0.25">
      <c r="A3410">
        <v>12.071220258264599</v>
      </c>
      <c r="B3410">
        <v>0.19</v>
      </c>
      <c r="C3410">
        <v>0.17</v>
      </c>
    </row>
    <row r="3411" spans="1:3" x14ac:dyDescent="0.25">
      <c r="A3411">
        <v>12.074762847202701</v>
      </c>
      <c r="B3411">
        <v>0.2</v>
      </c>
      <c r="C3411">
        <v>0.18</v>
      </c>
    </row>
    <row r="3412" spans="1:3" x14ac:dyDescent="0.25">
      <c r="A3412">
        <v>12.0783051373781</v>
      </c>
      <c r="B3412">
        <v>0.13</v>
      </c>
      <c r="C3412">
        <v>0.08</v>
      </c>
    </row>
    <row r="3413" spans="1:3" x14ac:dyDescent="0.25">
      <c r="A3413">
        <v>12.0818463797867</v>
      </c>
      <c r="B3413">
        <v>0.14000000000000001</v>
      </c>
      <c r="C3413">
        <v>0.12</v>
      </c>
    </row>
    <row r="3414" spans="1:3" x14ac:dyDescent="0.25">
      <c r="A3414">
        <v>12.085391572851799</v>
      </c>
      <c r="B3414">
        <v>0.17</v>
      </c>
      <c r="C3414">
        <v>0.16</v>
      </c>
    </row>
    <row r="3415" spans="1:3" x14ac:dyDescent="0.25">
      <c r="A3415">
        <v>12.088934184069901</v>
      </c>
      <c r="B3415">
        <v>0.23</v>
      </c>
      <c r="C3415">
        <v>0.23</v>
      </c>
    </row>
    <row r="3416" spans="1:3" x14ac:dyDescent="0.25">
      <c r="A3416">
        <v>12.092477386654499</v>
      </c>
      <c r="B3416">
        <v>0.19</v>
      </c>
      <c r="C3416">
        <v>0.16</v>
      </c>
    </row>
    <row r="3417" spans="1:3" x14ac:dyDescent="0.25">
      <c r="A3417">
        <v>12.096020068366199</v>
      </c>
      <c r="B3417">
        <v>0.21</v>
      </c>
      <c r="C3417">
        <v>0.18</v>
      </c>
    </row>
    <row r="3418" spans="1:3" x14ac:dyDescent="0.25">
      <c r="A3418">
        <v>12.0995625050697</v>
      </c>
      <c r="B3418">
        <v>0.19</v>
      </c>
      <c r="C3418">
        <v>0.16</v>
      </c>
    </row>
    <row r="3419" spans="1:3" x14ac:dyDescent="0.25">
      <c r="A3419">
        <v>12.103104974781999</v>
      </c>
      <c r="B3419">
        <v>0.13</v>
      </c>
      <c r="C3419">
        <v>0.1</v>
      </c>
    </row>
    <row r="3420" spans="1:3" x14ac:dyDescent="0.25">
      <c r="A3420">
        <v>12.106647782850001</v>
      </c>
      <c r="B3420">
        <v>0.21</v>
      </c>
      <c r="C3420">
        <v>0.16</v>
      </c>
    </row>
    <row r="3421" spans="1:3" x14ac:dyDescent="0.25">
      <c r="A3421">
        <v>12.110192261283</v>
      </c>
      <c r="B3421">
        <v>0.17</v>
      </c>
      <c r="C3421">
        <v>0.12</v>
      </c>
    </row>
    <row r="3422" spans="1:3" x14ac:dyDescent="0.25">
      <c r="A3422">
        <v>12.1137350110157</v>
      </c>
      <c r="B3422">
        <v>0.25</v>
      </c>
      <c r="C3422">
        <v>0.18</v>
      </c>
    </row>
    <row r="3423" spans="1:3" x14ac:dyDescent="0.25">
      <c r="A3423">
        <v>12.117274645015</v>
      </c>
      <c r="B3423">
        <v>0.21</v>
      </c>
      <c r="C3423">
        <v>0.16</v>
      </c>
    </row>
    <row r="3424" spans="1:3" x14ac:dyDescent="0.25">
      <c r="A3424">
        <v>12.120810390236199</v>
      </c>
      <c r="B3424">
        <v>0.24</v>
      </c>
      <c r="C3424">
        <v>0.22</v>
      </c>
    </row>
    <row r="3425" spans="1:3" x14ac:dyDescent="0.25">
      <c r="A3425">
        <v>12.1243422392286</v>
      </c>
      <c r="B3425">
        <v>0.16</v>
      </c>
      <c r="C3425">
        <v>0.13</v>
      </c>
    </row>
    <row r="3426" spans="1:3" x14ac:dyDescent="0.25">
      <c r="A3426">
        <v>12.127875635359</v>
      </c>
      <c r="B3426">
        <v>0.18</v>
      </c>
      <c r="C3426">
        <v>0.17</v>
      </c>
    </row>
    <row r="3427" spans="1:3" x14ac:dyDescent="0.25">
      <c r="A3427">
        <v>12.1314075310914</v>
      </c>
      <c r="B3427">
        <v>0.13</v>
      </c>
      <c r="C3427">
        <v>0.11</v>
      </c>
    </row>
    <row r="3428" spans="1:3" x14ac:dyDescent="0.25">
      <c r="A3428">
        <v>12.134939433247901</v>
      </c>
      <c r="B3428">
        <v>0.2</v>
      </c>
      <c r="C3428">
        <v>0.16</v>
      </c>
    </row>
    <row r="3429" spans="1:3" x14ac:dyDescent="0.25">
      <c r="A3429">
        <v>12.1384729086635</v>
      </c>
      <c r="B3429">
        <v>0.25</v>
      </c>
      <c r="C3429">
        <v>0.2</v>
      </c>
    </row>
    <row r="3430" spans="1:3" x14ac:dyDescent="0.25">
      <c r="A3430">
        <v>12.142011997092601</v>
      </c>
      <c r="B3430">
        <v>0.17</v>
      </c>
      <c r="C3430">
        <v>0.21</v>
      </c>
    </row>
    <row r="3431" spans="1:3" x14ac:dyDescent="0.25">
      <c r="A3431">
        <v>12.1455449758414</v>
      </c>
      <c r="B3431">
        <v>0.15</v>
      </c>
      <c r="C3431">
        <v>0.17</v>
      </c>
    </row>
    <row r="3432" spans="1:3" x14ac:dyDescent="0.25">
      <c r="A3432">
        <v>12.149077040100501</v>
      </c>
      <c r="B3432">
        <v>0.18</v>
      </c>
      <c r="C3432">
        <v>0.17</v>
      </c>
    </row>
    <row r="3433" spans="1:3" x14ac:dyDescent="0.25">
      <c r="A3433">
        <v>12.152609250330199</v>
      </c>
      <c r="B3433">
        <v>0.16</v>
      </c>
      <c r="C3433">
        <v>0.11</v>
      </c>
    </row>
    <row r="3434" spans="1:3" x14ac:dyDescent="0.25">
      <c r="A3434">
        <v>12.1561460718126</v>
      </c>
      <c r="B3434">
        <v>0.21</v>
      </c>
      <c r="C3434">
        <v>0.17</v>
      </c>
    </row>
    <row r="3435" spans="1:3" x14ac:dyDescent="0.25">
      <c r="A3435">
        <v>12.159679287832001</v>
      </c>
      <c r="B3435">
        <v>0.19</v>
      </c>
      <c r="C3435">
        <v>0.2</v>
      </c>
    </row>
    <row r="3436" spans="1:3" x14ac:dyDescent="0.25">
      <c r="A3436">
        <v>12.163218034285</v>
      </c>
      <c r="B3436">
        <v>0.25</v>
      </c>
      <c r="C3436">
        <v>0.19</v>
      </c>
    </row>
    <row r="3437" spans="1:3" x14ac:dyDescent="0.25">
      <c r="A3437">
        <v>12.1667523945812</v>
      </c>
      <c r="B3437">
        <v>0.2</v>
      </c>
      <c r="C3437">
        <v>0.18</v>
      </c>
    </row>
    <row r="3438" spans="1:3" x14ac:dyDescent="0.25">
      <c r="A3438">
        <v>12.1702848112472</v>
      </c>
      <c r="B3438">
        <v>0.17</v>
      </c>
      <c r="C3438">
        <v>0.19</v>
      </c>
    </row>
    <row r="3439" spans="1:3" x14ac:dyDescent="0.25">
      <c r="A3439">
        <v>12.173818170351</v>
      </c>
      <c r="B3439">
        <v>0.15</v>
      </c>
      <c r="C3439">
        <v>0.24</v>
      </c>
    </row>
    <row r="3440" spans="1:3" x14ac:dyDescent="0.25">
      <c r="A3440">
        <v>12.177353671921599</v>
      </c>
      <c r="B3440">
        <v>0.22</v>
      </c>
      <c r="C3440">
        <v>0.19</v>
      </c>
    </row>
    <row r="3441" spans="1:3" x14ac:dyDescent="0.25">
      <c r="A3441">
        <v>12.1808859148511</v>
      </c>
      <c r="B3441">
        <v>0.17</v>
      </c>
      <c r="C3441">
        <v>0.2</v>
      </c>
    </row>
    <row r="3442" spans="1:3" x14ac:dyDescent="0.25">
      <c r="A3442">
        <v>12.1844178902937</v>
      </c>
      <c r="B3442">
        <v>0.18</v>
      </c>
      <c r="C3442">
        <v>0.28000000000000003</v>
      </c>
    </row>
    <row r="3443" spans="1:3" x14ac:dyDescent="0.25">
      <c r="A3443">
        <v>12.187950064098301</v>
      </c>
      <c r="B3443">
        <v>0.2</v>
      </c>
      <c r="C3443">
        <v>0.25</v>
      </c>
    </row>
    <row r="3444" spans="1:3" x14ac:dyDescent="0.25">
      <c r="A3444">
        <v>12.1914832544216</v>
      </c>
      <c r="B3444">
        <v>0.13</v>
      </c>
      <c r="C3444">
        <v>0.18</v>
      </c>
    </row>
    <row r="3445" spans="1:3" x14ac:dyDescent="0.25">
      <c r="A3445">
        <v>12.1950155052653</v>
      </c>
      <c r="B3445">
        <v>0.18</v>
      </c>
      <c r="C3445">
        <v>0.25</v>
      </c>
    </row>
    <row r="3446" spans="1:3" x14ac:dyDescent="0.25">
      <c r="A3446">
        <v>12.198548750987699</v>
      </c>
      <c r="B3446">
        <v>0.15</v>
      </c>
      <c r="C3446">
        <v>0.2</v>
      </c>
    </row>
    <row r="3447" spans="1:3" x14ac:dyDescent="0.25">
      <c r="A3447">
        <v>12.2020839901434</v>
      </c>
      <c r="B3447">
        <v>0.13</v>
      </c>
      <c r="C3447">
        <v>0.13</v>
      </c>
    </row>
    <row r="3448" spans="1:3" x14ac:dyDescent="0.25">
      <c r="A3448">
        <v>12.2056205340999</v>
      </c>
      <c r="B3448">
        <v>0.1</v>
      </c>
      <c r="C3448">
        <v>0.1</v>
      </c>
    </row>
    <row r="3449" spans="1:3" x14ac:dyDescent="0.25">
      <c r="A3449">
        <v>12.209153485480201</v>
      </c>
      <c r="B3449">
        <v>0.16</v>
      </c>
      <c r="C3449">
        <v>0.16</v>
      </c>
    </row>
    <row r="3450" spans="1:3" x14ac:dyDescent="0.25">
      <c r="A3450">
        <v>12.2126855192361</v>
      </c>
      <c r="B3450">
        <v>0.15</v>
      </c>
      <c r="C3450">
        <v>0.13</v>
      </c>
    </row>
    <row r="3451" spans="1:3" x14ac:dyDescent="0.25">
      <c r="A3451">
        <v>12.216220077359001</v>
      </c>
      <c r="B3451">
        <v>0.18</v>
      </c>
      <c r="C3451">
        <v>0.23</v>
      </c>
    </row>
    <row r="3452" spans="1:3" x14ac:dyDescent="0.25">
      <c r="A3452">
        <v>12.219753292478799</v>
      </c>
      <c r="B3452">
        <v>0.14000000000000001</v>
      </c>
      <c r="C3452">
        <v>0.15</v>
      </c>
    </row>
    <row r="3453" spans="1:3" x14ac:dyDescent="0.25">
      <c r="A3453">
        <v>12.223285073466799</v>
      </c>
      <c r="B3453">
        <v>0.16</v>
      </c>
      <c r="C3453">
        <v>0.24</v>
      </c>
    </row>
    <row r="3454" spans="1:3" x14ac:dyDescent="0.25">
      <c r="A3454">
        <v>12.226818616312899</v>
      </c>
      <c r="B3454">
        <v>0.17</v>
      </c>
      <c r="C3454">
        <v>0.2</v>
      </c>
    </row>
    <row r="3455" spans="1:3" x14ac:dyDescent="0.25">
      <c r="A3455">
        <v>12.2303511384626</v>
      </c>
      <c r="B3455">
        <v>0.23</v>
      </c>
      <c r="C3455">
        <v>0.28000000000000003</v>
      </c>
    </row>
    <row r="3456" spans="1:3" x14ac:dyDescent="0.25">
      <c r="A3456">
        <v>12.2338867503515</v>
      </c>
      <c r="B3456">
        <v>0.13</v>
      </c>
      <c r="C3456">
        <v>0.15</v>
      </c>
    </row>
    <row r="3457" spans="1:3" x14ac:dyDescent="0.25">
      <c r="A3457">
        <v>12.2374200553419</v>
      </c>
      <c r="B3457">
        <v>0.16</v>
      </c>
      <c r="C3457">
        <v>0.18</v>
      </c>
    </row>
    <row r="3458" spans="1:3" x14ac:dyDescent="0.25">
      <c r="A3458">
        <v>12.2409516841062</v>
      </c>
      <c r="B3458">
        <v>0.16</v>
      </c>
      <c r="C3458">
        <v>0.15</v>
      </c>
    </row>
    <row r="3459" spans="1:3" x14ac:dyDescent="0.25">
      <c r="A3459">
        <v>12.2444850204774</v>
      </c>
      <c r="B3459">
        <v>0.15</v>
      </c>
      <c r="C3459">
        <v>0.1</v>
      </c>
    </row>
    <row r="3460" spans="1:3" x14ac:dyDescent="0.25">
      <c r="A3460">
        <v>12.248017854960899</v>
      </c>
      <c r="B3460">
        <v>0.2</v>
      </c>
      <c r="C3460">
        <v>0.18</v>
      </c>
    </row>
    <row r="3461" spans="1:3" x14ac:dyDescent="0.25">
      <c r="A3461">
        <v>12.2515496406069</v>
      </c>
      <c r="B3461">
        <v>0.14000000000000001</v>
      </c>
      <c r="C3461">
        <v>0.21</v>
      </c>
    </row>
    <row r="3462" spans="1:3" x14ac:dyDescent="0.25">
      <c r="A3462">
        <v>12.255081857348999</v>
      </c>
      <c r="B3462">
        <v>0.24</v>
      </c>
      <c r="C3462">
        <v>0.28000000000000003</v>
      </c>
    </row>
    <row r="3463" spans="1:3" x14ac:dyDescent="0.25">
      <c r="A3463">
        <v>12.258615246238501</v>
      </c>
      <c r="B3463">
        <v>0.09</v>
      </c>
      <c r="C3463">
        <v>0.13</v>
      </c>
    </row>
    <row r="3464" spans="1:3" x14ac:dyDescent="0.25">
      <c r="A3464">
        <v>12.2621480199142</v>
      </c>
      <c r="B3464">
        <v>0.24</v>
      </c>
      <c r="C3464">
        <v>0.2</v>
      </c>
    </row>
    <row r="3465" spans="1:3" x14ac:dyDescent="0.25">
      <c r="A3465">
        <v>12.2656812827013</v>
      </c>
      <c r="B3465">
        <v>0.14000000000000001</v>
      </c>
      <c r="C3465">
        <v>0.17</v>
      </c>
    </row>
    <row r="3466" spans="1:3" x14ac:dyDescent="0.25">
      <c r="A3466">
        <v>12.2692132049247</v>
      </c>
      <c r="B3466">
        <v>0.17</v>
      </c>
      <c r="C3466">
        <v>0.13</v>
      </c>
    </row>
    <row r="3467" spans="1:3" x14ac:dyDescent="0.25">
      <c r="A3467">
        <v>12.2727466912457</v>
      </c>
      <c r="B3467">
        <v>0.2</v>
      </c>
      <c r="C3467">
        <v>0.27</v>
      </c>
    </row>
    <row r="3468" spans="1:3" x14ac:dyDescent="0.25">
      <c r="A3468">
        <v>12.2762800627946</v>
      </c>
      <c r="B3468">
        <v>0.16</v>
      </c>
      <c r="C3468">
        <v>0.06</v>
      </c>
    </row>
    <row r="3469" spans="1:3" x14ac:dyDescent="0.25">
      <c r="A3469">
        <v>12.2798134755425</v>
      </c>
      <c r="B3469">
        <v>0.17</v>
      </c>
      <c r="C3469">
        <v>0.24</v>
      </c>
    </row>
    <row r="3470" spans="1:3" x14ac:dyDescent="0.25">
      <c r="A3470">
        <v>12.28334551575</v>
      </c>
      <c r="B3470">
        <v>0.22</v>
      </c>
      <c r="C3470">
        <v>0.15</v>
      </c>
    </row>
    <row r="3471" spans="1:3" x14ac:dyDescent="0.25">
      <c r="A3471">
        <v>12.286877069666399</v>
      </c>
      <c r="B3471">
        <v>0.2</v>
      </c>
      <c r="C3471">
        <v>0.22</v>
      </c>
    </row>
    <row r="3472" spans="1:3" x14ac:dyDescent="0.25">
      <c r="A3472">
        <v>12.290411554486599</v>
      </c>
      <c r="B3472">
        <v>0.16</v>
      </c>
      <c r="C3472">
        <v>0.09</v>
      </c>
    </row>
    <row r="3473" spans="1:3" x14ac:dyDescent="0.25">
      <c r="A3473">
        <v>12.2939429922843</v>
      </c>
      <c r="B3473">
        <v>0.21</v>
      </c>
      <c r="C3473">
        <v>0.18</v>
      </c>
    </row>
    <row r="3474" spans="1:3" x14ac:dyDescent="0.25">
      <c r="A3474">
        <v>12.297476224673</v>
      </c>
      <c r="B3474">
        <v>0.15</v>
      </c>
      <c r="C3474">
        <v>0.19</v>
      </c>
    </row>
    <row r="3475" spans="1:3" x14ac:dyDescent="0.25">
      <c r="A3475">
        <v>12.3010109577852</v>
      </c>
      <c r="B3475">
        <v>0.25</v>
      </c>
      <c r="C3475">
        <v>0.31</v>
      </c>
    </row>
    <row r="3476" spans="1:3" x14ac:dyDescent="0.25">
      <c r="A3476">
        <v>12.304545111314001</v>
      </c>
      <c r="B3476">
        <v>7.0000000000000007E-2</v>
      </c>
      <c r="C3476">
        <v>0.16</v>
      </c>
    </row>
    <row r="3477" spans="1:3" x14ac:dyDescent="0.25">
      <c r="A3477">
        <v>12.308080542357899</v>
      </c>
      <c r="B3477">
        <v>0.15</v>
      </c>
      <c r="C3477">
        <v>0.26</v>
      </c>
    </row>
    <row r="3478" spans="1:3" x14ac:dyDescent="0.25">
      <c r="A3478">
        <v>12.3116137097389</v>
      </c>
      <c r="B3478">
        <v>0.18</v>
      </c>
      <c r="C3478">
        <v>0.27</v>
      </c>
    </row>
    <row r="3479" spans="1:3" x14ac:dyDescent="0.25">
      <c r="A3479">
        <v>12.315145798430301</v>
      </c>
      <c r="B3479">
        <v>0.23</v>
      </c>
      <c r="C3479">
        <v>0.23</v>
      </c>
    </row>
    <row r="3480" spans="1:3" x14ac:dyDescent="0.25">
      <c r="A3480">
        <v>12.3186779851438</v>
      </c>
      <c r="B3480">
        <v>0.22</v>
      </c>
      <c r="C3480">
        <v>0.3</v>
      </c>
    </row>
    <row r="3481" spans="1:3" x14ac:dyDescent="0.25">
      <c r="A3481">
        <v>12.322210446342201</v>
      </c>
      <c r="B3481">
        <v>0.18</v>
      </c>
      <c r="C3481">
        <v>0.2</v>
      </c>
    </row>
    <row r="3482" spans="1:3" x14ac:dyDescent="0.25">
      <c r="A3482">
        <v>12.3257422854116</v>
      </c>
      <c r="B3482">
        <v>0.2</v>
      </c>
      <c r="C3482">
        <v>0.24</v>
      </c>
    </row>
    <row r="3483" spans="1:3" x14ac:dyDescent="0.25">
      <c r="A3483">
        <v>12.329274248221401</v>
      </c>
      <c r="B3483">
        <v>0.16</v>
      </c>
      <c r="C3483">
        <v>0.21</v>
      </c>
    </row>
    <row r="3484" spans="1:3" x14ac:dyDescent="0.25">
      <c r="A3484">
        <v>12.3328085659499</v>
      </c>
      <c r="B3484">
        <v>0.12</v>
      </c>
      <c r="C3484">
        <v>0.23</v>
      </c>
    </row>
    <row r="3485" spans="1:3" x14ac:dyDescent="0.25">
      <c r="A3485">
        <v>12.3363408367556</v>
      </c>
      <c r="B3485">
        <v>0.21</v>
      </c>
      <c r="C3485">
        <v>0.3</v>
      </c>
    </row>
    <row r="3486" spans="1:3" x14ac:dyDescent="0.25">
      <c r="A3486">
        <v>12.3398735582387</v>
      </c>
      <c r="B3486">
        <v>0.18</v>
      </c>
      <c r="C3486">
        <v>0.33</v>
      </c>
    </row>
    <row r="3487" spans="1:3" x14ac:dyDescent="0.25">
      <c r="A3487">
        <v>12.3434080365134</v>
      </c>
      <c r="B3487">
        <v>0.1</v>
      </c>
      <c r="C3487">
        <v>0.19</v>
      </c>
    </row>
    <row r="3488" spans="1:3" x14ac:dyDescent="0.25">
      <c r="A3488">
        <v>12.3469400865336</v>
      </c>
      <c r="B3488">
        <v>0.15</v>
      </c>
      <c r="C3488">
        <v>0.24</v>
      </c>
    </row>
    <row r="3489" spans="1:3" x14ac:dyDescent="0.25">
      <c r="A3489">
        <v>12.3504722523192</v>
      </c>
      <c r="B3489">
        <v>0.15</v>
      </c>
      <c r="C3489">
        <v>0.24</v>
      </c>
    </row>
    <row r="3490" spans="1:3" x14ac:dyDescent="0.25">
      <c r="A3490">
        <v>12.354005712944</v>
      </c>
      <c r="B3490">
        <v>0.17</v>
      </c>
      <c r="C3490">
        <v>0.16</v>
      </c>
    </row>
    <row r="3491" spans="1:3" x14ac:dyDescent="0.25">
      <c r="A3491">
        <v>12.3575412806095</v>
      </c>
      <c r="B3491">
        <v>0.14000000000000001</v>
      </c>
      <c r="C3491">
        <v>0.18</v>
      </c>
    </row>
    <row r="3492" spans="1:3" x14ac:dyDescent="0.25">
      <c r="A3492">
        <v>12.361075019091301</v>
      </c>
      <c r="B3492">
        <v>0.21</v>
      </c>
      <c r="C3492">
        <v>0.28000000000000003</v>
      </c>
    </row>
    <row r="3493" spans="1:3" x14ac:dyDescent="0.25">
      <c r="A3493">
        <v>12.3646105860891</v>
      </c>
      <c r="B3493">
        <v>0.2</v>
      </c>
      <c r="C3493">
        <v>0.19</v>
      </c>
    </row>
    <row r="3494" spans="1:3" x14ac:dyDescent="0.25">
      <c r="A3494">
        <v>12.368145755236799</v>
      </c>
      <c r="B3494">
        <v>0.16</v>
      </c>
      <c r="C3494">
        <v>0.18</v>
      </c>
    </row>
    <row r="3495" spans="1:3" x14ac:dyDescent="0.25">
      <c r="A3495">
        <v>12.371678573069699</v>
      </c>
      <c r="B3495">
        <v>0.22</v>
      </c>
      <c r="C3495">
        <v>0.16</v>
      </c>
    </row>
    <row r="3496" spans="1:3" x14ac:dyDescent="0.25">
      <c r="A3496">
        <v>12.375211432498901</v>
      </c>
      <c r="B3496">
        <v>0.13</v>
      </c>
      <c r="C3496">
        <v>7.0000000000000007E-2</v>
      </c>
    </row>
    <row r="3497" spans="1:3" x14ac:dyDescent="0.25">
      <c r="A3497">
        <v>12.3787447600177</v>
      </c>
      <c r="B3497">
        <v>0.18</v>
      </c>
      <c r="C3497">
        <v>0.27</v>
      </c>
    </row>
    <row r="3498" spans="1:3" x14ac:dyDescent="0.25">
      <c r="A3498">
        <v>12.382276814453</v>
      </c>
      <c r="B3498">
        <v>0.17</v>
      </c>
      <c r="C3498">
        <v>0.16</v>
      </c>
    </row>
    <row r="3499" spans="1:3" x14ac:dyDescent="0.25">
      <c r="A3499">
        <v>12.385812185202401</v>
      </c>
      <c r="B3499">
        <v>0.14000000000000001</v>
      </c>
      <c r="C3499">
        <v>0.24</v>
      </c>
    </row>
    <row r="3500" spans="1:3" x14ac:dyDescent="0.25">
      <c r="A3500">
        <v>12.3893445487265</v>
      </c>
      <c r="B3500">
        <v>0.16</v>
      </c>
      <c r="C3500">
        <v>0.22</v>
      </c>
    </row>
    <row r="3501" spans="1:3" x14ac:dyDescent="0.25">
      <c r="A3501">
        <v>12.392878366090599</v>
      </c>
      <c r="B3501">
        <v>0.17</v>
      </c>
      <c r="C3501">
        <v>0.26</v>
      </c>
    </row>
    <row r="3502" spans="1:3" x14ac:dyDescent="0.25">
      <c r="A3502">
        <v>12.396411656759399</v>
      </c>
      <c r="B3502">
        <v>0.17</v>
      </c>
      <c r="C3502">
        <v>0.23</v>
      </c>
    </row>
    <row r="3503" spans="1:3" x14ac:dyDescent="0.25">
      <c r="A3503">
        <v>12.399945082129101</v>
      </c>
      <c r="B3503">
        <v>0.14000000000000001</v>
      </c>
      <c r="C3503">
        <v>0.22</v>
      </c>
    </row>
    <row r="3504" spans="1:3" x14ac:dyDescent="0.25">
      <c r="A3504">
        <v>12.4034828616347</v>
      </c>
      <c r="B3504">
        <v>0.11</v>
      </c>
      <c r="C3504">
        <v>0.15</v>
      </c>
    </row>
    <row r="3505" spans="1:3" x14ac:dyDescent="0.25">
      <c r="A3505">
        <v>12.407014851172701</v>
      </c>
      <c r="B3505">
        <v>0.22</v>
      </c>
      <c r="C3505">
        <v>0.23</v>
      </c>
    </row>
    <row r="3506" spans="1:3" x14ac:dyDescent="0.25">
      <c r="A3506">
        <v>12.410548196572901</v>
      </c>
      <c r="B3506">
        <v>0.17</v>
      </c>
      <c r="C3506">
        <v>0.2</v>
      </c>
    </row>
    <row r="3507" spans="1:3" x14ac:dyDescent="0.25">
      <c r="A3507">
        <v>12.4140815763396</v>
      </c>
      <c r="B3507">
        <v>0.15</v>
      </c>
      <c r="C3507">
        <v>0.15</v>
      </c>
    </row>
    <row r="3508" spans="1:3" x14ac:dyDescent="0.25">
      <c r="A3508">
        <v>12.417613684573601</v>
      </c>
      <c r="B3508">
        <v>0.21</v>
      </c>
      <c r="C3508">
        <v>0.13</v>
      </c>
    </row>
    <row r="3509" spans="1:3" x14ac:dyDescent="0.25">
      <c r="A3509">
        <v>12.421147431990599</v>
      </c>
      <c r="B3509">
        <v>0.14000000000000001</v>
      </c>
      <c r="C3509">
        <v>0.1</v>
      </c>
    </row>
    <row r="3510" spans="1:3" x14ac:dyDescent="0.25">
      <c r="A3510">
        <v>12.4246808357757</v>
      </c>
      <c r="B3510">
        <v>0.16</v>
      </c>
      <c r="C3510">
        <v>0.16</v>
      </c>
    </row>
    <row r="3511" spans="1:3" x14ac:dyDescent="0.25">
      <c r="A3511">
        <v>12.428213564036</v>
      </c>
      <c r="B3511">
        <v>0.18</v>
      </c>
      <c r="C3511">
        <v>0.18</v>
      </c>
    </row>
    <row r="3512" spans="1:3" x14ac:dyDescent="0.25">
      <c r="A3512">
        <v>12.431746960828701</v>
      </c>
      <c r="B3512">
        <v>0.22</v>
      </c>
      <c r="C3512">
        <v>0.16</v>
      </c>
    </row>
    <row r="3513" spans="1:3" x14ac:dyDescent="0.25">
      <c r="A3513">
        <v>12.435279047643601</v>
      </c>
      <c r="B3513">
        <v>0.15</v>
      </c>
      <c r="C3513">
        <v>0.18</v>
      </c>
    </row>
    <row r="3514" spans="1:3" x14ac:dyDescent="0.25">
      <c r="A3514">
        <v>12.4388108937663</v>
      </c>
      <c r="B3514">
        <v>0.17</v>
      </c>
      <c r="C3514">
        <v>0.1</v>
      </c>
    </row>
    <row r="3515" spans="1:3" x14ac:dyDescent="0.25">
      <c r="A3515">
        <v>12.442343268708999</v>
      </c>
      <c r="B3515">
        <v>0.12</v>
      </c>
      <c r="C3515">
        <v>0.11</v>
      </c>
    </row>
    <row r="3516" spans="1:3" x14ac:dyDescent="0.25">
      <c r="A3516">
        <v>12.445876849266099</v>
      </c>
      <c r="B3516">
        <v>0.18</v>
      </c>
      <c r="C3516">
        <v>0.21</v>
      </c>
    </row>
    <row r="3517" spans="1:3" x14ac:dyDescent="0.25">
      <c r="A3517">
        <v>12.449411021702799</v>
      </c>
      <c r="B3517">
        <v>0.17</v>
      </c>
      <c r="C3517">
        <v>0.19</v>
      </c>
    </row>
    <row r="3518" spans="1:3" x14ac:dyDescent="0.25">
      <c r="A3518">
        <v>12.452943473209899</v>
      </c>
      <c r="B3518">
        <v>0.18</v>
      </c>
      <c r="C3518">
        <v>0.18</v>
      </c>
    </row>
    <row r="3519" spans="1:3" x14ac:dyDescent="0.25">
      <c r="A3519">
        <v>12.45647772135</v>
      </c>
      <c r="B3519">
        <v>0.17</v>
      </c>
      <c r="C3519">
        <v>0.21</v>
      </c>
    </row>
    <row r="3520" spans="1:3" x14ac:dyDescent="0.25">
      <c r="A3520">
        <v>12.4600107782913</v>
      </c>
      <c r="B3520">
        <v>0.12</v>
      </c>
      <c r="C3520">
        <v>0.08</v>
      </c>
    </row>
    <row r="3521" spans="1:3" x14ac:dyDescent="0.25">
      <c r="A3521">
        <v>12.4635436992126</v>
      </c>
      <c r="B3521">
        <v>0.08</v>
      </c>
      <c r="C3521">
        <v>0.04</v>
      </c>
    </row>
    <row r="3522" spans="1:3" x14ac:dyDescent="0.25">
      <c r="A3522">
        <v>12.4670769923483</v>
      </c>
      <c r="B3522">
        <v>0.16</v>
      </c>
      <c r="C3522">
        <v>0.12</v>
      </c>
    </row>
    <row r="3523" spans="1:3" x14ac:dyDescent="0.25">
      <c r="A3523">
        <v>12.470609301874999</v>
      </c>
      <c r="B3523">
        <v>0.14000000000000001</v>
      </c>
      <c r="C3523">
        <v>0.18</v>
      </c>
    </row>
    <row r="3524" spans="1:3" x14ac:dyDescent="0.25">
      <c r="A3524">
        <v>12.4741425935427</v>
      </c>
      <c r="B3524">
        <v>0.17</v>
      </c>
      <c r="C3524">
        <v>0.15</v>
      </c>
    </row>
    <row r="3525" spans="1:3" x14ac:dyDescent="0.25">
      <c r="A3525">
        <v>12.477675643618401</v>
      </c>
      <c r="B3525">
        <v>0.16</v>
      </c>
      <c r="C3525">
        <v>0.2</v>
      </c>
    </row>
    <row r="3526" spans="1:3" x14ac:dyDescent="0.25">
      <c r="A3526">
        <v>12.481209058745</v>
      </c>
      <c r="B3526">
        <v>0.17</v>
      </c>
      <c r="C3526">
        <v>0.11</v>
      </c>
    </row>
    <row r="3527" spans="1:3" x14ac:dyDescent="0.25">
      <c r="A3527">
        <v>12.4847413045057</v>
      </c>
      <c r="B3527">
        <v>0.11</v>
      </c>
      <c r="C3527">
        <v>0.16</v>
      </c>
    </row>
    <row r="3528" spans="1:3" x14ac:dyDescent="0.25">
      <c r="A3528">
        <v>12.4882739349978</v>
      </c>
      <c r="B3528">
        <v>0.15</v>
      </c>
      <c r="C3528">
        <v>0.16</v>
      </c>
    </row>
    <row r="3529" spans="1:3" x14ac:dyDescent="0.25">
      <c r="A3529">
        <v>12.491807037332499</v>
      </c>
      <c r="B3529">
        <v>0.13</v>
      </c>
      <c r="C3529">
        <v>7.0000000000000007E-2</v>
      </c>
    </row>
    <row r="3530" spans="1:3" x14ac:dyDescent="0.25">
      <c r="A3530">
        <v>12.4953411535973</v>
      </c>
      <c r="B3530">
        <v>0.21</v>
      </c>
      <c r="C3530">
        <v>0.18</v>
      </c>
    </row>
    <row r="3531" spans="1:3" x14ac:dyDescent="0.25">
      <c r="A3531">
        <v>12.498876555738599</v>
      </c>
      <c r="B3531">
        <v>0.13</v>
      </c>
      <c r="C3531">
        <v>0.14000000000000001</v>
      </c>
    </row>
    <row r="3532" spans="1:3" x14ac:dyDescent="0.25">
      <c r="A3532">
        <v>12.502413469481199</v>
      </c>
      <c r="B3532">
        <v>0.2</v>
      </c>
      <c r="C3532">
        <v>0.19</v>
      </c>
    </row>
    <row r="3533" spans="1:3" x14ac:dyDescent="0.25">
      <c r="A3533">
        <v>12.505947693895401</v>
      </c>
      <c r="B3533">
        <v>0.12</v>
      </c>
      <c r="C3533">
        <v>0.22</v>
      </c>
    </row>
    <row r="3534" spans="1:3" x14ac:dyDescent="0.25">
      <c r="A3534">
        <v>12.5094797508584</v>
      </c>
      <c r="B3534">
        <v>0.17</v>
      </c>
      <c r="C3534">
        <v>0.05</v>
      </c>
    </row>
    <row r="3535" spans="1:3" x14ac:dyDescent="0.25">
      <c r="A3535">
        <v>12.513012373524599</v>
      </c>
      <c r="B3535">
        <v>0.19</v>
      </c>
      <c r="C3535">
        <v>0.2</v>
      </c>
    </row>
    <row r="3536" spans="1:3" x14ac:dyDescent="0.25">
      <c r="A3536">
        <v>12.5165458256834</v>
      </c>
      <c r="B3536">
        <v>0.16</v>
      </c>
      <c r="C3536">
        <v>0.21</v>
      </c>
    </row>
    <row r="3537" spans="1:3" x14ac:dyDescent="0.25">
      <c r="A3537">
        <v>12.520081386671</v>
      </c>
      <c r="B3537">
        <v>0.14000000000000001</v>
      </c>
      <c r="C3537">
        <v>0.17</v>
      </c>
    </row>
    <row r="3538" spans="1:3" x14ac:dyDescent="0.25">
      <c r="A3538">
        <v>12.523614473569101</v>
      </c>
      <c r="B3538">
        <v>0.15</v>
      </c>
      <c r="C3538">
        <v>0.18</v>
      </c>
    </row>
    <row r="3539" spans="1:3" x14ac:dyDescent="0.25">
      <c r="A3539">
        <v>12.5271475710912</v>
      </c>
      <c r="B3539">
        <v>0.15</v>
      </c>
      <c r="C3539">
        <v>7.0000000000000007E-2</v>
      </c>
    </row>
    <row r="3540" spans="1:3" x14ac:dyDescent="0.25">
      <c r="A3540">
        <v>12.530681612016901</v>
      </c>
      <c r="B3540">
        <v>0.15</v>
      </c>
      <c r="C3540">
        <v>0.21</v>
      </c>
    </row>
    <row r="3541" spans="1:3" x14ac:dyDescent="0.25">
      <c r="A3541">
        <v>12.534214883590099</v>
      </c>
      <c r="B3541">
        <v>0.12</v>
      </c>
      <c r="C3541">
        <v>0.19</v>
      </c>
    </row>
    <row r="3542" spans="1:3" x14ac:dyDescent="0.25">
      <c r="A3542">
        <v>12.537747056809801</v>
      </c>
      <c r="B3542">
        <v>0.16</v>
      </c>
      <c r="C3542">
        <v>0.12</v>
      </c>
    </row>
    <row r="3543" spans="1:3" x14ac:dyDescent="0.25">
      <c r="A3543">
        <v>12.5412825498867</v>
      </c>
      <c r="B3543">
        <v>0.16</v>
      </c>
      <c r="C3543">
        <v>0.15</v>
      </c>
    </row>
    <row r="3544" spans="1:3" x14ac:dyDescent="0.25">
      <c r="A3544">
        <v>12.544815666664499</v>
      </c>
      <c r="B3544">
        <v>0.15</v>
      </c>
      <c r="C3544">
        <v>0.12</v>
      </c>
    </row>
    <row r="3545" spans="1:3" x14ac:dyDescent="0.25">
      <c r="A3545">
        <v>12.5483499665061</v>
      </c>
      <c r="B3545">
        <v>0.17</v>
      </c>
      <c r="C3545">
        <v>0.16</v>
      </c>
    </row>
    <row r="3546" spans="1:3" x14ac:dyDescent="0.25">
      <c r="A3546">
        <v>12.5518843180548</v>
      </c>
      <c r="B3546">
        <v>0.16</v>
      </c>
      <c r="C3546">
        <v>0.18</v>
      </c>
    </row>
    <row r="3547" spans="1:3" x14ac:dyDescent="0.25">
      <c r="A3547">
        <v>12.555417355425901</v>
      </c>
      <c r="B3547">
        <v>0.19</v>
      </c>
      <c r="C3547">
        <v>0.15</v>
      </c>
    </row>
    <row r="3548" spans="1:3" x14ac:dyDescent="0.25">
      <c r="A3548">
        <v>12.558950983042999</v>
      </c>
      <c r="B3548">
        <v>0.11</v>
      </c>
      <c r="C3548">
        <v>0.11</v>
      </c>
    </row>
    <row r="3549" spans="1:3" x14ac:dyDescent="0.25">
      <c r="A3549">
        <v>12.5624866734224</v>
      </c>
      <c r="B3549">
        <v>0.18</v>
      </c>
      <c r="C3549">
        <v>0.17</v>
      </c>
    </row>
    <row r="3550" spans="1:3" x14ac:dyDescent="0.25">
      <c r="A3550">
        <v>12.566020899497801</v>
      </c>
      <c r="B3550">
        <v>0.15</v>
      </c>
      <c r="C3550">
        <v>0.12</v>
      </c>
    </row>
    <row r="3551" spans="1:3" x14ac:dyDescent="0.25">
      <c r="A3551">
        <v>12.5695529951265</v>
      </c>
      <c r="B3551">
        <v>0.18</v>
      </c>
      <c r="C3551">
        <v>0.18</v>
      </c>
    </row>
    <row r="3552" spans="1:3" x14ac:dyDescent="0.25">
      <c r="A3552">
        <v>12.5730869064949</v>
      </c>
      <c r="B3552">
        <v>0.15</v>
      </c>
      <c r="C3552">
        <v>0.19</v>
      </c>
    </row>
    <row r="3553" spans="1:3" x14ac:dyDescent="0.25">
      <c r="A3553">
        <v>12.5766212225512</v>
      </c>
      <c r="B3553">
        <v>0.13</v>
      </c>
      <c r="C3553">
        <v>0.16</v>
      </c>
    </row>
    <row r="3554" spans="1:3" x14ac:dyDescent="0.25">
      <c r="A3554">
        <v>12.580156608240401</v>
      </c>
      <c r="B3554">
        <v>0.21</v>
      </c>
      <c r="C3554">
        <v>0.23</v>
      </c>
    </row>
    <row r="3555" spans="1:3" x14ac:dyDescent="0.25">
      <c r="A3555">
        <v>12.5836885884514</v>
      </c>
      <c r="B3555">
        <v>0.09</v>
      </c>
      <c r="C3555">
        <v>0.09</v>
      </c>
    </row>
    <row r="3556" spans="1:3" x14ac:dyDescent="0.25">
      <c r="A3556">
        <v>12.5872243162492</v>
      </c>
      <c r="B3556">
        <v>0.15</v>
      </c>
      <c r="C3556">
        <v>0.16</v>
      </c>
    </row>
    <row r="3557" spans="1:3" x14ac:dyDescent="0.25">
      <c r="A3557">
        <v>12.590756344441999</v>
      </c>
      <c r="B3557">
        <v>0.14000000000000001</v>
      </c>
      <c r="C3557">
        <v>0.11</v>
      </c>
    </row>
    <row r="3558" spans="1:3" x14ac:dyDescent="0.25">
      <c r="A3558">
        <v>12.594290823467301</v>
      </c>
      <c r="B3558">
        <v>0.15</v>
      </c>
      <c r="C3558">
        <v>0.18</v>
      </c>
    </row>
    <row r="3559" spans="1:3" x14ac:dyDescent="0.25">
      <c r="A3559">
        <v>12.5978229834249</v>
      </c>
      <c r="B3559">
        <v>0.17</v>
      </c>
      <c r="C3559">
        <v>0.18</v>
      </c>
    </row>
    <row r="3560" spans="1:3" x14ac:dyDescent="0.25">
      <c r="A3560">
        <v>12.601354943552501</v>
      </c>
      <c r="B3560">
        <v>0.09</v>
      </c>
      <c r="C3560">
        <v>0.11</v>
      </c>
    </row>
    <row r="3561" spans="1:3" x14ac:dyDescent="0.25">
      <c r="A3561">
        <v>12.6048869298012</v>
      </c>
      <c r="B3561">
        <v>0.12</v>
      </c>
      <c r="C3561">
        <v>0.13</v>
      </c>
    </row>
    <row r="3562" spans="1:3" x14ac:dyDescent="0.25">
      <c r="A3562">
        <v>12.6084201723944</v>
      </c>
      <c r="B3562">
        <v>0.18</v>
      </c>
      <c r="C3562">
        <v>0.18</v>
      </c>
    </row>
    <row r="3563" spans="1:3" x14ac:dyDescent="0.25">
      <c r="A3563">
        <v>12.611952275838</v>
      </c>
      <c r="B3563">
        <v>0.18</v>
      </c>
      <c r="C3563">
        <v>0.17</v>
      </c>
    </row>
    <row r="3564" spans="1:3" x14ac:dyDescent="0.25">
      <c r="A3564">
        <v>12.615486719100501</v>
      </c>
      <c r="B3564">
        <v>0.21</v>
      </c>
      <c r="C3564">
        <v>0.21</v>
      </c>
    </row>
    <row r="3565" spans="1:3" x14ac:dyDescent="0.25">
      <c r="A3565">
        <v>12.6190184661911</v>
      </c>
      <c r="B3565">
        <v>0.17</v>
      </c>
      <c r="C3565">
        <v>0.17</v>
      </c>
    </row>
    <row r="3566" spans="1:3" x14ac:dyDescent="0.25">
      <c r="A3566">
        <v>12.622550803257299</v>
      </c>
      <c r="B3566">
        <v>0.09</v>
      </c>
      <c r="C3566">
        <v>0.11</v>
      </c>
    </row>
    <row r="3567" spans="1:3" x14ac:dyDescent="0.25">
      <c r="A3567">
        <v>12.6260844536567</v>
      </c>
      <c r="B3567">
        <v>0.14000000000000001</v>
      </c>
      <c r="C3567">
        <v>0.13</v>
      </c>
    </row>
    <row r="3568" spans="1:3" x14ac:dyDescent="0.25">
      <c r="A3568">
        <v>12.6296206802736</v>
      </c>
      <c r="B3568">
        <v>0.16</v>
      </c>
      <c r="C3568">
        <v>0.17</v>
      </c>
    </row>
    <row r="3569" spans="1:3" x14ac:dyDescent="0.25">
      <c r="A3569">
        <v>12.633154097580199</v>
      </c>
      <c r="B3569">
        <v>0.1</v>
      </c>
      <c r="C3569">
        <v>0.14000000000000001</v>
      </c>
    </row>
    <row r="3570" spans="1:3" x14ac:dyDescent="0.25">
      <c r="A3570">
        <v>12.636686345978999</v>
      </c>
      <c r="B3570">
        <v>0.14000000000000001</v>
      </c>
      <c r="C3570">
        <v>0.11</v>
      </c>
    </row>
    <row r="3571" spans="1:3" x14ac:dyDescent="0.25">
      <c r="A3571">
        <v>12.640219889332799</v>
      </c>
      <c r="B3571">
        <v>0.1</v>
      </c>
      <c r="C3571">
        <v>0.1</v>
      </c>
    </row>
    <row r="3572" spans="1:3" x14ac:dyDescent="0.25">
      <c r="A3572">
        <v>12.643755506906199</v>
      </c>
      <c r="B3572">
        <v>0.12</v>
      </c>
      <c r="C3572">
        <v>0.12</v>
      </c>
    </row>
    <row r="3573" spans="1:3" x14ac:dyDescent="0.25">
      <c r="A3573">
        <v>12.6472895887935</v>
      </c>
      <c r="B3573">
        <v>0.11</v>
      </c>
      <c r="C3573">
        <v>0.13</v>
      </c>
    </row>
    <row r="3574" spans="1:3" x14ac:dyDescent="0.25">
      <c r="A3574">
        <v>12.6508227759986</v>
      </c>
      <c r="B3574">
        <v>0.1</v>
      </c>
      <c r="C3574">
        <v>0.12</v>
      </c>
    </row>
    <row r="3575" spans="1:3" x14ac:dyDescent="0.25">
      <c r="A3575">
        <v>12.6543561008793</v>
      </c>
      <c r="B3575">
        <v>0.14000000000000001</v>
      </c>
      <c r="C3575">
        <v>0.17</v>
      </c>
    </row>
    <row r="3576" spans="1:3" x14ac:dyDescent="0.25">
      <c r="A3576">
        <v>12.657890877006199</v>
      </c>
      <c r="B3576">
        <v>0.17</v>
      </c>
      <c r="C3576">
        <v>0.24</v>
      </c>
    </row>
    <row r="3577" spans="1:3" x14ac:dyDescent="0.25">
      <c r="A3577">
        <v>12.6614244108122</v>
      </c>
      <c r="B3577">
        <v>0.09</v>
      </c>
      <c r="C3577">
        <v>0.09</v>
      </c>
    </row>
    <row r="3578" spans="1:3" x14ac:dyDescent="0.25">
      <c r="A3578">
        <v>12.664958486247899</v>
      </c>
      <c r="B3578">
        <v>0.11</v>
      </c>
      <c r="C3578">
        <v>0.1</v>
      </c>
    </row>
    <row r="3579" spans="1:3" x14ac:dyDescent="0.25">
      <c r="A3579">
        <v>12.668494508200199</v>
      </c>
      <c r="B3579">
        <v>0.13</v>
      </c>
      <c r="C3579">
        <v>0.1</v>
      </c>
    </row>
    <row r="3580" spans="1:3" x14ac:dyDescent="0.25">
      <c r="A3580">
        <v>12.672027741609901</v>
      </c>
      <c r="B3580">
        <v>0.19</v>
      </c>
      <c r="C3580">
        <v>0.22</v>
      </c>
    </row>
    <row r="3581" spans="1:3" x14ac:dyDescent="0.25">
      <c r="A3581">
        <v>12.675560980637799</v>
      </c>
      <c r="B3581">
        <v>0.16</v>
      </c>
      <c r="C3581">
        <v>0.16</v>
      </c>
    </row>
    <row r="3582" spans="1:3" x14ac:dyDescent="0.25">
      <c r="A3582">
        <v>12.679093147295401</v>
      </c>
      <c r="B3582">
        <v>0.16</v>
      </c>
      <c r="C3582">
        <v>0.18</v>
      </c>
    </row>
    <row r="3583" spans="1:3" x14ac:dyDescent="0.25">
      <c r="A3583">
        <v>12.682627660312001</v>
      </c>
      <c r="B3583">
        <v>0.17</v>
      </c>
      <c r="C3583">
        <v>0.18</v>
      </c>
    </row>
    <row r="3584" spans="1:3" x14ac:dyDescent="0.25">
      <c r="A3584">
        <v>12.6861601120895</v>
      </c>
      <c r="B3584">
        <v>0.1</v>
      </c>
      <c r="C3584">
        <v>0.1</v>
      </c>
    </row>
    <row r="3585" spans="1:3" x14ac:dyDescent="0.25">
      <c r="A3585">
        <v>12.689694526968101</v>
      </c>
      <c r="B3585">
        <v>0.18</v>
      </c>
      <c r="C3585">
        <v>0.19</v>
      </c>
    </row>
    <row r="3586" spans="1:3" x14ac:dyDescent="0.25">
      <c r="A3586">
        <v>12.693228016396301</v>
      </c>
      <c r="B3586">
        <v>0.11</v>
      </c>
      <c r="C3586">
        <v>0.12</v>
      </c>
    </row>
    <row r="3587" spans="1:3" x14ac:dyDescent="0.25">
      <c r="A3587">
        <v>12.696762210986099</v>
      </c>
      <c r="B3587">
        <v>0.13</v>
      </c>
      <c r="C3587">
        <v>0.15</v>
      </c>
    </row>
    <row r="3588" spans="1:3" x14ac:dyDescent="0.25">
      <c r="A3588">
        <v>12.700299000977299</v>
      </c>
      <c r="B3588">
        <v>0.16</v>
      </c>
      <c r="C3588">
        <v>0.15</v>
      </c>
    </row>
    <row r="3589" spans="1:3" x14ac:dyDescent="0.25">
      <c r="A3589">
        <v>12.7038320613404</v>
      </c>
      <c r="B3589">
        <v>0.13</v>
      </c>
      <c r="C3589">
        <v>0.14000000000000001</v>
      </c>
    </row>
    <row r="3590" spans="1:3" x14ac:dyDescent="0.25">
      <c r="A3590">
        <v>12.7073642819954</v>
      </c>
      <c r="B3590">
        <v>0.12</v>
      </c>
      <c r="C3590">
        <v>0.13</v>
      </c>
    </row>
    <row r="3591" spans="1:3" x14ac:dyDescent="0.25">
      <c r="A3591">
        <v>12.7108966731086</v>
      </c>
      <c r="B3591">
        <v>0.12</v>
      </c>
      <c r="C3591">
        <v>0.08</v>
      </c>
    </row>
    <row r="3592" spans="1:3" x14ac:dyDescent="0.25">
      <c r="A3592">
        <v>12.714431076563001</v>
      </c>
      <c r="B3592">
        <v>0.15</v>
      </c>
      <c r="C3592">
        <v>0.17</v>
      </c>
    </row>
    <row r="3593" spans="1:3" x14ac:dyDescent="0.25">
      <c r="A3593">
        <v>12.7179676317561</v>
      </c>
      <c r="B3593">
        <v>0.13</v>
      </c>
      <c r="C3593">
        <v>0.11</v>
      </c>
    </row>
    <row r="3594" spans="1:3" x14ac:dyDescent="0.25">
      <c r="A3594">
        <v>12.721499594858299</v>
      </c>
      <c r="B3594">
        <v>0.13</v>
      </c>
      <c r="C3594">
        <v>0.11</v>
      </c>
    </row>
    <row r="3595" spans="1:3" x14ac:dyDescent="0.25">
      <c r="A3595">
        <v>12.725032439137999</v>
      </c>
      <c r="B3595">
        <v>0.17</v>
      </c>
      <c r="C3595">
        <v>0.14000000000000001</v>
      </c>
    </row>
    <row r="3596" spans="1:3" x14ac:dyDescent="0.25">
      <c r="A3596">
        <v>12.728568948109899</v>
      </c>
      <c r="B3596">
        <v>0.1</v>
      </c>
      <c r="C3596">
        <v>0.09</v>
      </c>
    </row>
    <row r="3597" spans="1:3" x14ac:dyDescent="0.25">
      <c r="A3597">
        <v>12.732102168930901</v>
      </c>
      <c r="B3597">
        <v>0.11</v>
      </c>
      <c r="C3597">
        <v>0.12</v>
      </c>
    </row>
    <row r="3598" spans="1:3" x14ac:dyDescent="0.25">
      <c r="A3598">
        <v>12.7356344402774</v>
      </c>
      <c r="B3598">
        <v>0.18</v>
      </c>
      <c r="C3598">
        <v>0.15</v>
      </c>
    </row>
    <row r="3599" spans="1:3" x14ac:dyDescent="0.25">
      <c r="A3599">
        <v>12.7391704729254</v>
      </c>
      <c r="B3599">
        <v>0.11</v>
      </c>
      <c r="C3599">
        <v>0.1</v>
      </c>
    </row>
    <row r="3600" spans="1:3" x14ac:dyDescent="0.25">
      <c r="A3600">
        <v>12.742704014833301</v>
      </c>
      <c r="B3600">
        <v>0.13</v>
      </c>
      <c r="C3600">
        <v>0.12</v>
      </c>
    </row>
    <row r="3601" spans="1:3" x14ac:dyDescent="0.25">
      <c r="A3601">
        <v>12.7462374874231</v>
      </c>
      <c r="B3601">
        <v>0.12</v>
      </c>
      <c r="C3601">
        <v>0.09</v>
      </c>
    </row>
    <row r="3602" spans="1:3" x14ac:dyDescent="0.25">
      <c r="A3602">
        <v>12.749770761960001</v>
      </c>
      <c r="B3602">
        <v>0.12</v>
      </c>
      <c r="C3602">
        <v>0.03</v>
      </c>
    </row>
    <row r="3603" spans="1:3" x14ac:dyDescent="0.25">
      <c r="A3603">
        <v>12.753305054842301</v>
      </c>
      <c r="B3603">
        <v>0.15</v>
      </c>
      <c r="C3603">
        <v>0.09</v>
      </c>
    </row>
    <row r="3604" spans="1:3" x14ac:dyDescent="0.25">
      <c r="A3604">
        <v>12.756840497227699</v>
      </c>
      <c r="B3604">
        <v>0.11</v>
      </c>
      <c r="C3604">
        <v>0.08</v>
      </c>
    </row>
    <row r="3605" spans="1:3" x14ac:dyDescent="0.25">
      <c r="A3605">
        <v>12.7603753030355</v>
      </c>
      <c r="B3605">
        <v>0.11</v>
      </c>
      <c r="C3605">
        <v>7.0000000000000007E-2</v>
      </c>
    </row>
    <row r="3606" spans="1:3" x14ac:dyDescent="0.25">
      <c r="A3606">
        <v>12.7639074977956</v>
      </c>
      <c r="B3606">
        <v>0.13</v>
      </c>
      <c r="C3606">
        <v>0.12</v>
      </c>
    </row>
    <row r="3607" spans="1:3" x14ac:dyDescent="0.25">
      <c r="A3607">
        <v>12.767440776024699</v>
      </c>
      <c r="B3607">
        <v>0.14000000000000001</v>
      </c>
      <c r="C3607">
        <v>0.13</v>
      </c>
    </row>
    <row r="3608" spans="1:3" x14ac:dyDescent="0.25">
      <c r="A3608">
        <v>12.7709755381058</v>
      </c>
      <c r="B3608">
        <v>0.11</v>
      </c>
      <c r="C3608">
        <v>0.2</v>
      </c>
    </row>
    <row r="3609" spans="1:3" x14ac:dyDescent="0.25">
      <c r="A3609">
        <v>12.7745086800224</v>
      </c>
      <c r="B3609">
        <v>0.14000000000000001</v>
      </c>
      <c r="C3609">
        <v>0.24</v>
      </c>
    </row>
    <row r="3610" spans="1:3" x14ac:dyDescent="0.25">
      <c r="A3610">
        <v>12.7780411705043</v>
      </c>
      <c r="B3610">
        <v>0.12</v>
      </c>
      <c r="C3610">
        <v>0.18</v>
      </c>
    </row>
    <row r="3611" spans="1:3" x14ac:dyDescent="0.25">
      <c r="A3611">
        <v>12.7815766775332</v>
      </c>
      <c r="B3611">
        <v>7.0000000000000007E-2</v>
      </c>
      <c r="C3611">
        <v>0.04</v>
      </c>
    </row>
    <row r="3612" spans="1:3" x14ac:dyDescent="0.25">
      <c r="A3612">
        <v>12.785110558282399</v>
      </c>
      <c r="B3612">
        <v>0.14000000000000001</v>
      </c>
      <c r="C3612">
        <v>0.23</v>
      </c>
    </row>
    <row r="3613" spans="1:3" x14ac:dyDescent="0.25">
      <c r="A3613">
        <v>12.788643726480201</v>
      </c>
      <c r="B3613">
        <v>0.16</v>
      </c>
      <c r="C3613">
        <v>0.1</v>
      </c>
    </row>
    <row r="3614" spans="1:3" x14ac:dyDescent="0.25">
      <c r="A3614">
        <v>12.792178012265</v>
      </c>
      <c r="B3614">
        <v>0.22</v>
      </c>
      <c r="C3614">
        <v>0.18</v>
      </c>
    </row>
    <row r="3615" spans="1:3" x14ac:dyDescent="0.25">
      <c r="A3615">
        <v>12.795711429450201</v>
      </c>
      <c r="B3615">
        <v>0.11</v>
      </c>
      <c r="C3615">
        <v>0.08</v>
      </c>
    </row>
    <row r="3616" spans="1:3" x14ac:dyDescent="0.25">
      <c r="A3616">
        <v>12.7992459567939</v>
      </c>
      <c r="B3616">
        <v>0.09</v>
      </c>
      <c r="C3616">
        <v>0</v>
      </c>
    </row>
    <row r="3617" spans="1:3" x14ac:dyDescent="0.25">
      <c r="A3617">
        <v>12.802777282932199</v>
      </c>
      <c r="B3617">
        <v>0.06</v>
      </c>
      <c r="C3617">
        <v>0.02</v>
      </c>
    </row>
    <row r="3618" spans="1:3" x14ac:dyDescent="0.25">
      <c r="A3618">
        <v>12.8063108927673</v>
      </c>
      <c r="B3618">
        <v>0.12</v>
      </c>
      <c r="C3618">
        <v>0.13</v>
      </c>
    </row>
    <row r="3619" spans="1:3" x14ac:dyDescent="0.25">
      <c r="A3619">
        <v>12.809843860699001</v>
      </c>
      <c r="B3619">
        <v>7.0000000000000007E-2</v>
      </c>
      <c r="C3619">
        <v>0.13</v>
      </c>
    </row>
    <row r="3620" spans="1:3" x14ac:dyDescent="0.25">
      <c r="A3620">
        <v>12.8133776811648</v>
      </c>
      <c r="B3620">
        <v>0.1</v>
      </c>
      <c r="C3620">
        <v>0.12</v>
      </c>
    </row>
    <row r="3621" spans="1:3" x14ac:dyDescent="0.25">
      <c r="A3621">
        <v>12.816911183717</v>
      </c>
      <c r="B3621">
        <v>0.09</v>
      </c>
      <c r="C3621">
        <v>0.03</v>
      </c>
    </row>
    <row r="3622" spans="1:3" x14ac:dyDescent="0.25">
      <c r="A3622">
        <v>12.820444778286699</v>
      </c>
      <c r="B3622">
        <v>0.13</v>
      </c>
      <c r="C3622">
        <v>0.06</v>
      </c>
    </row>
    <row r="3623" spans="1:3" x14ac:dyDescent="0.25">
      <c r="A3623">
        <v>12.823978009869601</v>
      </c>
      <c r="B3623">
        <v>0.13</v>
      </c>
      <c r="C3623">
        <v>0.11</v>
      </c>
    </row>
    <row r="3624" spans="1:3" x14ac:dyDescent="0.25">
      <c r="A3624">
        <v>12.827510257997901</v>
      </c>
      <c r="B3624">
        <v>0.15</v>
      </c>
      <c r="C3624">
        <v>7.0000000000000007E-2</v>
      </c>
    </row>
    <row r="3625" spans="1:3" x14ac:dyDescent="0.25">
      <c r="A3625">
        <v>12.831043155590599</v>
      </c>
      <c r="B3625">
        <v>0.12</v>
      </c>
      <c r="C3625">
        <v>0.1</v>
      </c>
    </row>
    <row r="3626" spans="1:3" x14ac:dyDescent="0.25">
      <c r="A3626">
        <v>12.834578956923</v>
      </c>
      <c r="B3626">
        <v>0.11</v>
      </c>
      <c r="C3626">
        <v>0.09</v>
      </c>
    </row>
    <row r="3627" spans="1:3" x14ac:dyDescent="0.25">
      <c r="A3627">
        <v>12.8381108445701</v>
      </c>
      <c r="B3627">
        <v>0.09</v>
      </c>
      <c r="C3627">
        <v>0.03</v>
      </c>
    </row>
    <row r="3628" spans="1:3" x14ac:dyDescent="0.25">
      <c r="A3628">
        <v>12.8416446860079</v>
      </c>
      <c r="B3628">
        <v>0.1</v>
      </c>
      <c r="C3628">
        <v>0.09</v>
      </c>
    </row>
    <row r="3629" spans="1:3" x14ac:dyDescent="0.25">
      <c r="A3629">
        <v>12.8451780006455</v>
      </c>
      <c r="B3629">
        <v>0.12</v>
      </c>
      <c r="C3629">
        <v>0.14000000000000001</v>
      </c>
    </row>
    <row r="3630" spans="1:3" x14ac:dyDescent="0.25">
      <c r="A3630">
        <v>12.8487123231093</v>
      </c>
      <c r="B3630">
        <v>0.05</v>
      </c>
      <c r="C3630">
        <v>0.05</v>
      </c>
    </row>
    <row r="3631" spans="1:3" x14ac:dyDescent="0.25">
      <c r="A3631">
        <v>12.852245546811099</v>
      </c>
      <c r="B3631">
        <v>0.08</v>
      </c>
      <c r="C3631">
        <v>0.06</v>
      </c>
    </row>
    <row r="3632" spans="1:3" x14ac:dyDescent="0.25">
      <c r="A3632">
        <v>12.8557809722644</v>
      </c>
      <c r="B3632">
        <v>0.12</v>
      </c>
      <c r="C3632">
        <v>0.1</v>
      </c>
    </row>
    <row r="3633" spans="1:3" x14ac:dyDescent="0.25">
      <c r="A3633">
        <v>12.859315042920599</v>
      </c>
      <c r="B3633">
        <v>0.14000000000000001</v>
      </c>
      <c r="C3633">
        <v>0.1</v>
      </c>
    </row>
    <row r="3634" spans="1:3" x14ac:dyDescent="0.25">
      <c r="A3634">
        <v>12.8628505582169</v>
      </c>
      <c r="B3634">
        <v>0.04</v>
      </c>
      <c r="C3634">
        <v>0.1</v>
      </c>
    </row>
    <row r="3635" spans="1:3" x14ac:dyDescent="0.25">
      <c r="A3635">
        <v>12.8663862843425</v>
      </c>
      <c r="B3635">
        <v>0.11</v>
      </c>
      <c r="C3635">
        <v>0.14000000000000001</v>
      </c>
    </row>
    <row r="3636" spans="1:3" x14ac:dyDescent="0.25">
      <c r="A3636">
        <v>12.8699188334963</v>
      </c>
      <c r="B3636">
        <v>0.1</v>
      </c>
      <c r="C3636">
        <v>0.04</v>
      </c>
    </row>
    <row r="3637" spans="1:3" x14ac:dyDescent="0.25">
      <c r="A3637">
        <v>12.873452328653199</v>
      </c>
      <c r="B3637">
        <v>7.0000000000000007E-2</v>
      </c>
      <c r="C3637">
        <v>0.01</v>
      </c>
    </row>
    <row r="3638" spans="1:3" x14ac:dyDescent="0.25">
      <c r="A3638">
        <v>12.876988147386699</v>
      </c>
      <c r="B3638">
        <v>0.05</v>
      </c>
      <c r="C3638">
        <v>0.15</v>
      </c>
    </row>
    <row r="3639" spans="1:3" x14ac:dyDescent="0.25">
      <c r="A3639">
        <v>12.880522879654601</v>
      </c>
      <c r="B3639">
        <v>0.06</v>
      </c>
      <c r="C3639">
        <v>0.1</v>
      </c>
    </row>
    <row r="3640" spans="1:3" x14ac:dyDescent="0.25">
      <c r="A3640">
        <v>12.884057402467199</v>
      </c>
      <c r="B3640">
        <v>7.0000000000000007E-2</v>
      </c>
      <c r="C3640">
        <v>0.1</v>
      </c>
    </row>
    <row r="3641" spans="1:3" x14ac:dyDescent="0.25">
      <c r="A3641">
        <v>12.8875916981752</v>
      </c>
      <c r="B3641">
        <v>0.11</v>
      </c>
      <c r="C3641">
        <v>0.12</v>
      </c>
    </row>
    <row r="3642" spans="1:3" x14ac:dyDescent="0.25">
      <c r="A3642">
        <v>12.8911242639245</v>
      </c>
      <c r="B3642">
        <v>0.11</v>
      </c>
      <c r="C3642">
        <v>7.0000000000000007E-2</v>
      </c>
    </row>
    <row r="3643" spans="1:3" x14ac:dyDescent="0.25">
      <c r="A3643">
        <v>12.894656456764</v>
      </c>
      <c r="B3643">
        <v>0.08</v>
      </c>
      <c r="C3643">
        <v>0.1</v>
      </c>
    </row>
    <row r="3644" spans="1:3" x14ac:dyDescent="0.25">
      <c r="A3644">
        <v>12.898190741914201</v>
      </c>
      <c r="B3644">
        <v>0.09</v>
      </c>
      <c r="C3644">
        <v>0.08</v>
      </c>
    </row>
    <row r="3645" spans="1:3" x14ac:dyDescent="0.25">
      <c r="A3645">
        <v>12.9017231057197</v>
      </c>
      <c r="B3645">
        <v>0.06</v>
      </c>
      <c r="C3645">
        <v>0.12</v>
      </c>
    </row>
    <row r="3646" spans="1:3" x14ac:dyDescent="0.25">
      <c r="A3646">
        <v>12.9052566575065</v>
      </c>
      <c r="B3646">
        <v>0.11</v>
      </c>
      <c r="C3646">
        <v>0.12</v>
      </c>
    </row>
    <row r="3647" spans="1:3" x14ac:dyDescent="0.25">
      <c r="A3647">
        <v>12.908788915221299</v>
      </c>
      <c r="B3647">
        <v>0.14000000000000001</v>
      </c>
      <c r="C3647">
        <v>0.05</v>
      </c>
    </row>
    <row r="3648" spans="1:3" x14ac:dyDescent="0.25">
      <c r="A3648">
        <v>12.912321002052799</v>
      </c>
      <c r="B3648">
        <v>0.1</v>
      </c>
      <c r="C3648">
        <v>0.09</v>
      </c>
    </row>
    <row r="3649" spans="1:3" x14ac:dyDescent="0.25">
      <c r="A3649">
        <v>12.9158529098607</v>
      </c>
      <c r="B3649">
        <v>0.1</v>
      </c>
      <c r="C3649">
        <v>0.17</v>
      </c>
    </row>
    <row r="3650" spans="1:3" x14ac:dyDescent="0.25">
      <c r="A3650">
        <v>12.919385535043601</v>
      </c>
      <c r="B3650">
        <v>7.0000000000000007E-2</v>
      </c>
      <c r="C3650">
        <v>7.0000000000000007E-2</v>
      </c>
    </row>
    <row r="3651" spans="1:3" x14ac:dyDescent="0.25">
      <c r="A3651">
        <v>12.9229185849538</v>
      </c>
      <c r="B3651">
        <v>0.15</v>
      </c>
      <c r="C3651">
        <v>0.1</v>
      </c>
    </row>
    <row r="3652" spans="1:3" x14ac:dyDescent="0.25">
      <c r="A3652">
        <v>12.926450544402501</v>
      </c>
      <c r="B3652">
        <v>0.08</v>
      </c>
      <c r="C3652">
        <v>0</v>
      </c>
    </row>
    <row r="3653" spans="1:3" x14ac:dyDescent="0.25">
      <c r="A3653">
        <v>12.9299827976745</v>
      </c>
      <c r="B3653">
        <v>0.15</v>
      </c>
      <c r="C3653">
        <v>0.12</v>
      </c>
    </row>
    <row r="3654" spans="1:3" x14ac:dyDescent="0.25">
      <c r="A3654">
        <v>12.9335162028946</v>
      </c>
      <c r="B3654">
        <v>0.08</v>
      </c>
      <c r="C3654">
        <v>0.03</v>
      </c>
    </row>
    <row r="3655" spans="1:3" x14ac:dyDescent="0.25">
      <c r="A3655">
        <v>12.937048374839399</v>
      </c>
      <c r="B3655">
        <v>0.15</v>
      </c>
      <c r="C3655">
        <v>0.11</v>
      </c>
    </row>
    <row r="3656" spans="1:3" x14ac:dyDescent="0.25">
      <c r="A3656">
        <v>12.940580567712001</v>
      </c>
      <c r="B3656">
        <v>7.0000000000000007E-2</v>
      </c>
      <c r="C3656">
        <v>0.17</v>
      </c>
    </row>
    <row r="3657" spans="1:3" x14ac:dyDescent="0.25">
      <c r="A3657">
        <v>12.9441124868282</v>
      </c>
      <c r="B3657">
        <v>0.13</v>
      </c>
      <c r="C3657">
        <v>0.11</v>
      </c>
    </row>
    <row r="3658" spans="1:3" x14ac:dyDescent="0.25">
      <c r="A3658">
        <v>12.9476449315249</v>
      </c>
      <c r="B3658">
        <v>0.09</v>
      </c>
      <c r="C3658">
        <v>0.09</v>
      </c>
    </row>
    <row r="3659" spans="1:3" x14ac:dyDescent="0.25">
      <c r="A3659">
        <v>12.951176536739901</v>
      </c>
      <c r="B3659">
        <v>0.03</v>
      </c>
      <c r="C3659">
        <v>0</v>
      </c>
    </row>
    <row r="3660" spans="1:3" x14ac:dyDescent="0.25">
      <c r="A3660">
        <v>12.954708479515901</v>
      </c>
      <c r="B3660">
        <v>0.09</v>
      </c>
      <c r="C3660">
        <v>0.13</v>
      </c>
    </row>
    <row r="3661" spans="1:3" x14ac:dyDescent="0.25">
      <c r="A3661">
        <v>12.9582405968507</v>
      </c>
      <c r="B3661">
        <v>0</v>
      </c>
      <c r="C3661">
        <v>0</v>
      </c>
    </row>
    <row r="3662" spans="1:3" x14ac:dyDescent="0.25">
      <c r="A3662">
        <v>12.9617764007217</v>
      </c>
      <c r="B3662">
        <v>0.15</v>
      </c>
      <c r="C3662">
        <v>0.15</v>
      </c>
    </row>
    <row r="3663" spans="1:3" x14ac:dyDescent="0.25">
      <c r="A3663">
        <v>12.965310549736</v>
      </c>
      <c r="B3663">
        <v>0.12</v>
      </c>
      <c r="C3663">
        <v>0.16</v>
      </c>
    </row>
    <row r="3664" spans="1:3" x14ac:dyDescent="0.25">
      <c r="A3664">
        <v>12.968844136672899</v>
      </c>
      <c r="B3664">
        <v>0.08</v>
      </c>
      <c r="C3664">
        <v>0.08</v>
      </c>
    </row>
    <row r="3665" spans="1:3" x14ac:dyDescent="0.25">
      <c r="A3665">
        <v>12.9723778038002</v>
      </c>
      <c r="B3665">
        <v>0.06</v>
      </c>
      <c r="C3665">
        <v>0.18</v>
      </c>
    </row>
    <row r="3666" spans="1:3" x14ac:dyDescent="0.25">
      <c r="A3666">
        <v>12.9759112975884</v>
      </c>
      <c r="B3666">
        <v>0.2</v>
      </c>
      <c r="C3666">
        <v>0.19</v>
      </c>
    </row>
    <row r="3667" spans="1:3" x14ac:dyDescent="0.25">
      <c r="A3667">
        <v>12.979443655792201</v>
      </c>
      <c r="B3667">
        <v>0.11</v>
      </c>
      <c r="C3667">
        <v>0.19</v>
      </c>
    </row>
    <row r="3668" spans="1:3" x14ac:dyDescent="0.25">
      <c r="A3668">
        <v>12.9829771623788</v>
      </c>
      <c r="B3668">
        <v>0.08</v>
      </c>
      <c r="C3668">
        <v>7.0000000000000007E-2</v>
      </c>
    </row>
    <row r="3669" spans="1:3" x14ac:dyDescent="0.25">
      <c r="A3669">
        <v>12.9865104149613</v>
      </c>
      <c r="B3669">
        <v>0.11</v>
      </c>
      <c r="C3669">
        <v>0</v>
      </c>
    </row>
    <row r="3670" spans="1:3" x14ac:dyDescent="0.25">
      <c r="A3670">
        <v>12.9900431084522</v>
      </c>
      <c r="B3670">
        <v>7.0000000000000007E-2</v>
      </c>
      <c r="C3670">
        <v>0.04</v>
      </c>
    </row>
    <row r="3671" spans="1:3" x14ac:dyDescent="0.25">
      <c r="A3671">
        <v>12.993575610683999</v>
      </c>
      <c r="B3671">
        <v>0.02</v>
      </c>
      <c r="C3671">
        <v>0</v>
      </c>
    </row>
    <row r="3672" spans="1:3" x14ac:dyDescent="0.25">
      <c r="A3672">
        <v>12.997108133203399</v>
      </c>
      <c r="B3672">
        <v>0</v>
      </c>
      <c r="C3672">
        <v>0</v>
      </c>
    </row>
    <row r="3673" spans="1:3" x14ac:dyDescent="0.25">
      <c r="A3673">
        <v>13.0006399770246</v>
      </c>
      <c r="B3673">
        <v>0.14000000000000001</v>
      </c>
      <c r="C3673">
        <v>7.0000000000000007E-2</v>
      </c>
    </row>
    <row r="3674" spans="1:3" x14ac:dyDescent="0.25">
      <c r="A3674">
        <v>13.0041735998403</v>
      </c>
      <c r="B3674">
        <v>0.15</v>
      </c>
      <c r="C3674">
        <v>0.11</v>
      </c>
    </row>
    <row r="3675" spans="1:3" x14ac:dyDescent="0.25">
      <c r="A3675">
        <v>13.0077063148661</v>
      </c>
      <c r="B3675">
        <v>0.2</v>
      </c>
      <c r="C3675">
        <v>0.15</v>
      </c>
    </row>
    <row r="3676" spans="1:3" x14ac:dyDescent="0.25">
      <c r="A3676">
        <v>13.011238450314099</v>
      </c>
      <c r="B3676">
        <v>0</v>
      </c>
      <c r="C3676">
        <v>0</v>
      </c>
    </row>
    <row r="3677" spans="1:3" x14ac:dyDescent="0.25">
      <c r="A3677">
        <v>13.014771814064799</v>
      </c>
      <c r="B3677">
        <v>0.04</v>
      </c>
      <c r="C3677">
        <v>0.01</v>
      </c>
    </row>
    <row r="3678" spans="1:3" x14ac:dyDescent="0.25">
      <c r="A3678">
        <v>13.0183040827567</v>
      </c>
      <c r="B3678">
        <v>0.19</v>
      </c>
      <c r="C3678">
        <v>0.24</v>
      </c>
    </row>
    <row r="3679" spans="1:3" x14ac:dyDescent="0.25">
      <c r="A3679">
        <v>13.0218374879216</v>
      </c>
      <c r="B3679">
        <v>0.1</v>
      </c>
      <c r="C3679">
        <v>0.02</v>
      </c>
    </row>
    <row r="3680" spans="1:3" x14ac:dyDescent="0.25">
      <c r="A3680">
        <v>13.0253709095826</v>
      </c>
      <c r="B3680">
        <v>0.22</v>
      </c>
      <c r="C3680">
        <v>0.19</v>
      </c>
    </row>
    <row r="3681" spans="1:3" x14ac:dyDescent="0.25">
      <c r="A3681">
        <v>13.028902977230301</v>
      </c>
      <c r="B3681">
        <v>0.12</v>
      </c>
      <c r="C3681">
        <v>0.05</v>
      </c>
    </row>
    <row r="3682" spans="1:3" x14ac:dyDescent="0.25">
      <c r="A3682">
        <v>13.032435189358599</v>
      </c>
      <c r="B3682">
        <v>0.09</v>
      </c>
      <c r="C3682">
        <v>0.03</v>
      </c>
    </row>
    <row r="3683" spans="1:3" x14ac:dyDescent="0.25">
      <c r="A3683">
        <v>13.0359681103682</v>
      </c>
      <c r="B3683">
        <v>0.16</v>
      </c>
      <c r="C3683">
        <v>0.11</v>
      </c>
    </row>
    <row r="3684" spans="1:3" x14ac:dyDescent="0.25">
      <c r="A3684">
        <v>13.0395015327853</v>
      </c>
      <c r="B3684">
        <v>0.18</v>
      </c>
      <c r="C3684">
        <v>0.14000000000000001</v>
      </c>
    </row>
    <row r="3685" spans="1:3" x14ac:dyDescent="0.25">
      <c r="A3685">
        <v>13.043034822499299</v>
      </c>
      <c r="B3685">
        <v>0.14000000000000001</v>
      </c>
      <c r="C3685">
        <v>7.0000000000000007E-2</v>
      </c>
    </row>
    <row r="3686" spans="1:3" x14ac:dyDescent="0.25">
      <c r="A3686">
        <v>13.0465677962755</v>
      </c>
      <c r="B3686">
        <v>0</v>
      </c>
      <c r="C3686">
        <v>0</v>
      </c>
    </row>
    <row r="3687" spans="1:3" x14ac:dyDescent="0.25">
      <c r="A3687">
        <v>13.050101101939299</v>
      </c>
      <c r="B3687">
        <v>0.09</v>
      </c>
      <c r="C3687">
        <v>0.06</v>
      </c>
    </row>
    <row r="3688" spans="1:3" x14ac:dyDescent="0.25">
      <c r="A3688">
        <v>13.053633532071499</v>
      </c>
      <c r="B3688">
        <v>0.21</v>
      </c>
      <c r="C3688">
        <v>0.28999999999999998</v>
      </c>
    </row>
    <row r="3689" spans="1:3" x14ac:dyDescent="0.25">
      <c r="A3689">
        <v>13.057165801712699</v>
      </c>
      <c r="B3689">
        <v>0.1</v>
      </c>
      <c r="C3689">
        <v>0.08</v>
      </c>
    </row>
    <row r="3690" spans="1:3" x14ac:dyDescent="0.25">
      <c r="A3690">
        <v>13.0606988055341</v>
      </c>
      <c r="B3690">
        <v>0.05</v>
      </c>
      <c r="C3690">
        <v>0.08</v>
      </c>
    </row>
    <row r="3691" spans="1:3" x14ac:dyDescent="0.25">
      <c r="A3691">
        <v>13.0642306203698</v>
      </c>
      <c r="B3691">
        <v>0.2</v>
      </c>
      <c r="C3691">
        <v>0.11</v>
      </c>
    </row>
    <row r="3692" spans="1:3" x14ac:dyDescent="0.25">
      <c r="A3692">
        <v>13.067762946078</v>
      </c>
      <c r="B3692">
        <v>0.14000000000000001</v>
      </c>
      <c r="C3692">
        <v>0.09</v>
      </c>
    </row>
    <row r="3693" spans="1:3" x14ac:dyDescent="0.25">
      <c r="A3693">
        <v>13.0712958387864</v>
      </c>
      <c r="B3693">
        <v>0.09</v>
      </c>
      <c r="C3693">
        <v>0</v>
      </c>
    </row>
    <row r="3694" spans="1:3" x14ac:dyDescent="0.25">
      <c r="A3694">
        <v>13.074828499533499</v>
      </c>
      <c r="B3694">
        <v>0.1</v>
      </c>
      <c r="C3694">
        <v>7.0000000000000007E-2</v>
      </c>
    </row>
    <row r="3695" spans="1:3" x14ac:dyDescent="0.25">
      <c r="A3695">
        <v>13.0783621439779</v>
      </c>
      <c r="B3695">
        <v>0.08</v>
      </c>
      <c r="C3695">
        <v>0.14000000000000001</v>
      </c>
    </row>
    <row r="3696" spans="1:3" x14ac:dyDescent="0.25">
      <c r="A3696">
        <v>13.081894614470199</v>
      </c>
      <c r="B3696">
        <v>0.15</v>
      </c>
      <c r="C3696">
        <v>0.2</v>
      </c>
    </row>
    <row r="3697" spans="1:3" x14ac:dyDescent="0.25">
      <c r="A3697">
        <v>13.0854264778947</v>
      </c>
      <c r="B3697">
        <v>0.18</v>
      </c>
      <c r="C3697">
        <v>0.18</v>
      </c>
    </row>
    <row r="3698" spans="1:3" x14ac:dyDescent="0.25">
      <c r="A3698">
        <v>13.0889589146938</v>
      </c>
      <c r="B3698">
        <v>0.16</v>
      </c>
      <c r="C3698">
        <v>0.15</v>
      </c>
    </row>
    <row r="3699" spans="1:3" x14ac:dyDescent="0.25">
      <c r="A3699">
        <v>13.092493019777301</v>
      </c>
      <c r="B3699">
        <v>0.2</v>
      </c>
      <c r="C3699">
        <v>0.17</v>
      </c>
    </row>
    <row r="3700" spans="1:3" x14ac:dyDescent="0.25">
      <c r="A3700">
        <v>13.0960263870601</v>
      </c>
      <c r="B3700">
        <v>0.18</v>
      </c>
      <c r="C3700">
        <v>0.19</v>
      </c>
    </row>
    <row r="3701" spans="1:3" x14ac:dyDescent="0.25">
      <c r="A3701">
        <v>13.0995600357541</v>
      </c>
      <c r="B3701">
        <v>0.18</v>
      </c>
      <c r="C3701">
        <v>0.12</v>
      </c>
    </row>
    <row r="3702" spans="1:3" x14ac:dyDescent="0.25">
      <c r="A3702">
        <v>13.103093239328301</v>
      </c>
      <c r="B3702">
        <v>0.13</v>
      </c>
      <c r="C3702">
        <v>0.16</v>
      </c>
    </row>
    <row r="3703" spans="1:3" x14ac:dyDescent="0.25">
      <c r="A3703">
        <v>13.1066280911531</v>
      </c>
      <c r="B3703">
        <v>0.17</v>
      </c>
      <c r="C3703">
        <v>0.17</v>
      </c>
    </row>
    <row r="3704" spans="1:3" x14ac:dyDescent="0.25">
      <c r="A3704">
        <v>13.1101602304864</v>
      </c>
      <c r="B3704">
        <v>0.12</v>
      </c>
      <c r="C3704">
        <v>0.03</v>
      </c>
    </row>
    <row r="3705" spans="1:3" x14ac:dyDescent="0.25">
      <c r="A3705">
        <v>13.113693261599</v>
      </c>
      <c r="B3705">
        <v>0.12</v>
      </c>
      <c r="C3705">
        <v>0.06</v>
      </c>
    </row>
    <row r="3706" spans="1:3" x14ac:dyDescent="0.25">
      <c r="A3706">
        <v>13.1172270260696</v>
      </c>
      <c r="B3706">
        <v>0.24</v>
      </c>
      <c r="C3706">
        <v>0.25</v>
      </c>
    </row>
    <row r="3707" spans="1:3" x14ac:dyDescent="0.25">
      <c r="A3707">
        <v>13.120761243524299</v>
      </c>
      <c r="B3707">
        <v>0.19</v>
      </c>
      <c r="C3707">
        <v>0.16</v>
      </c>
    </row>
    <row r="3708" spans="1:3" x14ac:dyDescent="0.25">
      <c r="A3708">
        <v>13.1242943882555</v>
      </c>
      <c r="B3708">
        <v>0.19</v>
      </c>
      <c r="C3708">
        <v>0.11</v>
      </c>
    </row>
    <row r="3709" spans="1:3" x14ac:dyDescent="0.25">
      <c r="A3709">
        <v>13.1278263551162</v>
      </c>
      <c r="B3709">
        <v>0.16</v>
      </c>
      <c r="C3709">
        <v>0.12</v>
      </c>
    </row>
    <row r="3710" spans="1:3" x14ac:dyDescent="0.25">
      <c r="A3710">
        <v>13.1313596522476</v>
      </c>
      <c r="B3710">
        <v>0.14000000000000001</v>
      </c>
      <c r="C3710">
        <v>0.11</v>
      </c>
    </row>
    <row r="3711" spans="1:3" x14ac:dyDescent="0.25">
      <c r="A3711">
        <v>13.134897913292599</v>
      </c>
      <c r="B3711">
        <v>0.19</v>
      </c>
      <c r="C3711">
        <v>0.15</v>
      </c>
    </row>
    <row r="3712" spans="1:3" x14ac:dyDescent="0.25">
      <c r="A3712">
        <v>13.1384314459617</v>
      </c>
      <c r="B3712">
        <v>0.14000000000000001</v>
      </c>
      <c r="C3712">
        <v>0</v>
      </c>
    </row>
    <row r="3713" spans="1:3" x14ac:dyDescent="0.25">
      <c r="A3713">
        <v>13.1419648274392</v>
      </c>
      <c r="B3713">
        <v>0.15</v>
      </c>
      <c r="C3713">
        <v>0.17</v>
      </c>
    </row>
    <row r="3714" spans="1:3" x14ac:dyDescent="0.25">
      <c r="A3714">
        <v>13.1454973158295</v>
      </c>
      <c r="B3714">
        <v>0.13</v>
      </c>
      <c r="C3714">
        <v>0.15</v>
      </c>
    </row>
    <row r="3715" spans="1:3" x14ac:dyDescent="0.25">
      <c r="A3715">
        <v>13.1490305265618</v>
      </c>
      <c r="B3715">
        <v>0.16</v>
      </c>
      <c r="C3715">
        <v>0.18</v>
      </c>
    </row>
    <row r="3716" spans="1:3" x14ac:dyDescent="0.25">
      <c r="A3716">
        <v>13.1525626339791</v>
      </c>
      <c r="B3716">
        <v>0.2</v>
      </c>
      <c r="C3716">
        <v>0.14000000000000001</v>
      </c>
    </row>
    <row r="3717" spans="1:3" x14ac:dyDescent="0.25">
      <c r="A3717">
        <v>13.1560946696665</v>
      </c>
      <c r="B3717">
        <v>0.09</v>
      </c>
      <c r="C3717">
        <v>0.04</v>
      </c>
    </row>
    <row r="3718" spans="1:3" x14ac:dyDescent="0.25">
      <c r="A3718">
        <v>13.159627086647101</v>
      </c>
      <c r="B3718">
        <v>0.18</v>
      </c>
      <c r="C3718">
        <v>0.18</v>
      </c>
    </row>
    <row r="3719" spans="1:3" x14ac:dyDescent="0.25">
      <c r="A3719">
        <v>13.1631619616735</v>
      </c>
      <c r="B3719">
        <v>0.22</v>
      </c>
      <c r="C3719">
        <v>0.15</v>
      </c>
    </row>
    <row r="3720" spans="1:3" x14ac:dyDescent="0.25">
      <c r="A3720">
        <v>13.166694284644301</v>
      </c>
      <c r="B3720">
        <v>0.21</v>
      </c>
      <c r="C3720">
        <v>0.13</v>
      </c>
    </row>
    <row r="3721" spans="1:3" x14ac:dyDescent="0.25">
      <c r="A3721">
        <v>13.170228188838101</v>
      </c>
      <c r="B3721">
        <v>0.14000000000000001</v>
      </c>
      <c r="C3721">
        <v>0.17</v>
      </c>
    </row>
    <row r="3722" spans="1:3" x14ac:dyDescent="0.25">
      <c r="A3722">
        <v>13.1737600395524</v>
      </c>
      <c r="B3722">
        <v>0.19</v>
      </c>
      <c r="C3722">
        <v>0.17</v>
      </c>
    </row>
    <row r="3723" spans="1:3" x14ac:dyDescent="0.25">
      <c r="A3723">
        <v>13.1772919738954</v>
      </c>
      <c r="B3723">
        <v>0.21</v>
      </c>
      <c r="C3723">
        <v>0.28999999999999998</v>
      </c>
    </row>
    <row r="3724" spans="1:3" x14ac:dyDescent="0.25">
      <c r="A3724">
        <v>13.180825289912701</v>
      </c>
      <c r="B3724">
        <v>0.16</v>
      </c>
      <c r="C3724">
        <v>0.1</v>
      </c>
    </row>
    <row r="3725" spans="1:3" x14ac:dyDescent="0.25">
      <c r="A3725">
        <v>13.184357656477699</v>
      </c>
      <c r="B3725">
        <v>0.23</v>
      </c>
      <c r="C3725">
        <v>0.22</v>
      </c>
    </row>
    <row r="3726" spans="1:3" x14ac:dyDescent="0.25">
      <c r="A3726">
        <v>13.187889473819</v>
      </c>
      <c r="B3726">
        <v>0.21</v>
      </c>
      <c r="C3726">
        <v>0.25</v>
      </c>
    </row>
    <row r="3727" spans="1:3" x14ac:dyDescent="0.25">
      <c r="A3727">
        <v>13.191421677017599</v>
      </c>
      <c r="B3727">
        <v>0.17</v>
      </c>
      <c r="C3727">
        <v>0.15</v>
      </c>
    </row>
    <row r="3728" spans="1:3" x14ac:dyDescent="0.25">
      <c r="A3728">
        <v>13.1949563529977</v>
      </c>
      <c r="B3728">
        <v>7.0000000000000007E-2</v>
      </c>
      <c r="C3728">
        <v>0.06</v>
      </c>
    </row>
    <row r="3729" spans="1:3" x14ac:dyDescent="0.25">
      <c r="A3729">
        <v>13.198489445591401</v>
      </c>
      <c r="B3729">
        <v>0.19</v>
      </c>
      <c r="C3729">
        <v>0.17</v>
      </c>
    </row>
    <row r="3730" spans="1:3" x14ac:dyDescent="0.25">
      <c r="A3730">
        <v>13.202021041468299</v>
      </c>
      <c r="B3730">
        <v>0.15</v>
      </c>
      <c r="C3730">
        <v>0.13</v>
      </c>
    </row>
    <row r="3731" spans="1:3" x14ac:dyDescent="0.25">
      <c r="A3731">
        <v>13.205553824277899</v>
      </c>
      <c r="B3731">
        <v>0.21</v>
      </c>
      <c r="C3731">
        <v>0.27</v>
      </c>
    </row>
    <row r="3732" spans="1:3" x14ac:dyDescent="0.25">
      <c r="A3732">
        <v>13.209085939708601</v>
      </c>
      <c r="B3732">
        <v>0.14000000000000001</v>
      </c>
      <c r="C3732">
        <v>0.1</v>
      </c>
    </row>
    <row r="3733" spans="1:3" x14ac:dyDescent="0.25">
      <c r="A3733">
        <v>13.2126180264022</v>
      </c>
      <c r="B3733">
        <v>0.18</v>
      </c>
      <c r="C3733">
        <v>0.12</v>
      </c>
    </row>
    <row r="3734" spans="1:3" x14ac:dyDescent="0.25">
      <c r="A3734">
        <v>13.216151289459701</v>
      </c>
      <c r="B3734">
        <v>0.17</v>
      </c>
      <c r="C3734">
        <v>0.2</v>
      </c>
    </row>
    <row r="3735" spans="1:3" x14ac:dyDescent="0.25">
      <c r="A3735">
        <v>13.219683655108501</v>
      </c>
      <c r="B3735">
        <v>0.26</v>
      </c>
      <c r="C3735">
        <v>0.21</v>
      </c>
    </row>
    <row r="3736" spans="1:3" x14ac:dyDescent="0.25">
      <c r="A3736">
        <v>13.223216305330901</v>
      </c>
      <c r="B3736">
        <v>0.14000000000000001</v>
      </c>
      <c r="C3736">
        <v>0.19</v>
      </c>
    </row>
    <row r="3737" spans="1:3" x14ac:dyDescent="0.25">
      <c r="A3737">
        <v>13.226748304626399</v>
      </c>
      <c r="B3737">
        <v>0.22</v>
      </c>
      <c r="C3737">
        <v>0.2</v>
      </c>
    </row>
    <row r="3738" spans="1:3" x14ac:dyDescent="0.25">
      <c r="A3738">
        <v>13.230280600499199</v>
      </c>
      <c r="B3738">
        <v>0.13</v>
      </c>
      <c r="C3738">
        <v>0.12</v>
      </c>
    </row>
    <row r="3739" spans="1:3" x14ac:dyDescent="0.25">
      <c r="A3739">
        <v>13.233813862508001</v>
      </c>
      <c r="B3739">
        <v>0.15</v>
      </c>
      <c r="C3739">
        <v>0.09</v>
      </c>
    </row>
    <row r="3740" spans="1:3" x14ac:dyDescent="0.25">
      <c r="A3740">
        <v>13.2373474559905</v>
      </c>
      <c r="B3740">
        <v>0.14000000000000001</v>
      </c>
      <c r="C3740">
        <v>0.17</v>
      </c>
    </row>
    <row r="3741" spans="1:3" x14ac:dyDescent="0.25">
      <c r="A3741">
        <v>13.240879615672201</v>
      </c>
      <c r="B3741">
        <v>0.1</v>
      </c>
      <c r="C3741">
        <v>0.17</v>
      </c>
    </row>
    <row r="3742" spans="1:3" x14ac:dyDescent="0.25">
      <c r="A3742">
        <v>13.2444120975169</v>
      </c>
      <c r="B3742">
        <v>0.17</v>
      </c>
      <c r="C3742">
        <v>0.21</v>
      </c>
    </row>
    <row r="3743" spans="1:3" x14ac:dyDescent="0.25">
      <c r="A3743">
        <v>13.247945046905</v>
      </c>
      <c r="B3743">
        <v>0.11</v>
      </c>
      <c r="C3743">
        <v>0.15</v>
      </c>
    </row>
    <row r="3744" spans="1:3" x14ac:dyDescent="0.25">
      <c r="A3744">
        <v>13.2514787640339</v>
      </c>
      <c r="B3744">
        <v>0.19</v>
      </c>
      <c r="C3744">
        <v>0.28000000000000003</v>
      </c>
    </row>
    <row r="3745" spans="1:3" x14ac:dyDescent="0.25">
      <c r="A3745">
        <v>13.2550121803029</v>
      </c>
      <c r="B3745">
        <v>0.1</v>
      </c>
      <c r="C3745">
        <v>0.18</v>
      </c>
    </row>
    <row r="3746" spans="1:3" x14ac:dyDescent="0.25">
      <c r="A3746">
        <v>13.258545374820599</v>
      </c>
      <c r="B3746">
        <v>0.16</v>
      </c>
      <c r="C3746">
        <v>0.17</v>
      </c>
    </row>
    <row r="3747" spans="1:3" x14ac:dyDescent="0.25">
      <c r="A3747">
        <v>13.262078578041599</v>
      </c>
      <c r="B3747">
        <v>0.19</v>
      </c>
      <c r="C3747">
        <v>0.28999999999999998</v>
      </c>
    </row>
    <row r="3748" spans="1:3" x14ac:dyDescent="0.25">
      <c r="A3748">
        <v>13.2656106232493</v>
      </c>
      <c r="B3748">
        <v>0.23</v>
      </c>
      <c r="C3748">
        <v>0.24</v>
      </c>
    </row>
    <row r="3749" spans="1:3" x14ac:dyDescent="0.25">
      <c r="A3749">
        <v>13.2691462887271</v>
      </c>
      <c r="B3749">
        <v>0.21</v>
      </c>
      <c r="C3749">
        <v>0.2</v>
      </c>
    </row>
    <row r="3750" spans="1:3" x14ac:dyDescent="0.25">
      <c r="A3750">
        <v>13.2726799565277</v>
      </c>
      <c r="B3750">
        <v>0.14000000000000001</v>
      </c>
      <c r="C3750">
        <v>0.24</v>
      </c>
    </row>
    <row r="3751" spans="1:3" x14ac:dyDescent="0.25">
      <c r="A3751">
        <v>13.276212054849699</v>
      </c>
      <c r="B3751">
        <v>0.11</v>
      </c>
      <c r="C3751">
        <v>0.15</v>
      </c>
    </row>
    <row r="3752" spans="1:3" x14ac:dyDescent="0.25">
      <c r="A3752">
        <v>13.279747096145501</v>
      </c>
      <c r="B3752">
        <v>0.15</v>
      </c>
      <c r="C3752">
        <v>0.28000000000000003</v>
      </c>
    </row>
    <row r="3753" spans="1:3" x14ac:dyDescent="0.25">
      <c r="A3753">
        <v>13.2832804852448</v>
      </c>
      <c r="B3753">
        <v>0.15</v>
      </c>
      <c r="C3753">
        <v>0.18</v>
      </c>
    </row>
    <row r="3754" spans="1:3" x14ac:dyDescent="0.25">
      <c r="A3754">
        <v>13.2868134681383</v>
      </c>
      <c r="B3754">
        <v>0.15</v>
      </c>
      <c r="C3754">
        <v>0.17</v>
      </c>
    </row>
    <row r="3755" spans="1:3" x14ac:dyDescent="0.25">
      <c r="A3755">
        <v>13.290349383712901</v>
      </c>
      <c r="B3755">
        <v>7.0000000000000007E-2</v>
      </c>
      <c r="C3755">
        <v>0.09</v>
      </c>
    </row>
    <row r="3756" spans="1:3" x14ac:dyDescent="0.25">
      <c r="A3756">
        <v>13.293883832996601</v>
      </c>
      <c r="B3756">
        <v>0.05</v>
      </c>
      <c r="C3756">
        <v>0.06</v>
      </c>
    </row>
    <row r="3757" spans="1:3" x14ac:dyDescent="0.25">
      <c r="A3757">
        <v>13.2974171701073</v>
      </c>
      <c r="B3757">
        <v>0.13</v>
      </c>
      <c r="C3757">
        <v>0.14000000000000001</v>
      </c>
    </row>
    <row r="3758" spans="1:3" x14ac:dyDescent="0.25">
      <c r="A3758">
        <v>13.300951803646701</v>
      </c>
      <c r="B3758">
        <v>0.17</v>
      </c>
      <c r="C3758">
        <v>0.25</v>
      </c>
    </row>
    <row r="3759" spans="1:3" x14ac:dyDescent="0.25">
      <c r="A3759">
        <v>13.304484723193699</v>
      </c>
      <c r="B3759">
        <v>0.11</v>
      </c>
      <c r="C3759">
        <v>0.06</v>
      </c>
    </row>
    <row r="3760" spans="1:3" x14ac:dyDescent="0.25">
      <c r="A3760">
        <v>13.308016797044701</v>
      </c>
      <c r="B3760">
        <v>0.06</v>
      </c>
      <c r="C3760">
        <v>7.0000000000000007E-2</v>
      </c>
    </row>
    <row r="3761" spans="1:3" x14ac:dyDescent="0.25">
      <c r="A3761">
        <v>13.3115505768413</v>
      </c>
      <c r="B3761">
        <v>0.11</v>
      </c>
      <c r="C3761">
        <v>0.17</v>
      </c>
    </row>
    <row r="3762" spans="1:3" x14ac:dyDescent="0.25">
      <c r="A3762">
        <v>13.315082531356101</v>
      </c>
      <c r="B3762">
        <v>0.13</v>
      </c>
      <c r="C3762">
        <v>0.15</v>
      </c>
    </row>
    <row r="3763" spans="1:3" x14ac:dyDescent="0.25">
      <c r="A3763">
        <v>13.3186149530995</v>
      </c>
      <c r="B3763">
        <v>0.13</v>
      </c>
      <c r="C3763">
        <v>0.16</v>
      </c>
    </row>
    <row r="3764" spans="1:3" x14ac:dyDescent="0.25">
      <c r="A3764">
        <v>13.3221474911382</v>
      </c>
      <c r="B3764">
        <v>7.0000000000000007E-2</v>
      </c>
      <c r="C3764">
        <v>0.03</v>
      </c>
    </row>
    <row r="3765" spans="1:3" x14ac:dyDescent="0.25">
      <c r="A3765">
        <v>13.325679480786601</v>
      </c>
      <c r="B3765">
        <v>7.0000000000000007E-2</v>
      </c>
      <c r="C3765">
        <v>0.2</v>
      </c>
    </row>
    <row r="3766" spans="1:3" x14ac:dyDescent="0.25">
      <c r="A3766">
        <v>13.329214104700901</v>
      </c>
      <c r="B3766">
        <v>0.17</v>
      </c>
      <c r="C3766">
        <v>0.22</v>
      </c>
    </row>
    <row r="3767" spans="1:3" x14ac:dyDescent="0.25">
      <c r="A3767">
        <v>13.332748154517599</v>
      </c>
      <c r="B3767">
        <v>0.19</v>
      </c>
      <c r="C3767">
        <v>0.27</v>
      </c>
    </row>
    <row r="3768" spans="1:3" x14ac:dyDescent="0.25">
      <c r="A3768">
        <v>13.336283084286499</v>
      </c>
      <c r="B3768">
        <v>0.12</v>
      </c>
      <c r="C3768">
        <v>0.14000000000000001</v>
      </c>
    </row>
    <row r="3769" spans="1:3" x14ac:dyDescent="0.25">
      <c r="A3769">
        <v>13.339815728283501</v>
      </c>
      <c r="B3769">
        <v>0.17</v>
      </c>
      <c r="C3769">
        <v>0.19</v>
      </c>
    </row>
    <row r="3770" spans="1:3" x14ac:dyDescent="0.25">
      <c r="A3770">
        <v>13.343348183963</v>
      </c>
      <c r="B3770">
        <v>0.18</v>
      </c>
      <c r="C3770">
        <v>0.14000000000000001</v>
      </c>
    </row>
    <row r="3771" spans="1:3" x14ac:dyDescent="0.25">
      <c r="A3771">
        <v>13.346880433498701</v>
      </c>
      <c r="B3771">
        <v>0.02</v>
      </c>
      <c r="C3771">
        <v>0</v>
      </c>
    </row>
    <row r="3772" spans="1:3" x14ac:dyDescent="0.25">
      <c r="A3772">
        <v>13.350412433208099</v>
      </c>
      <c r="B3772">
        <v>0.1</v>
      </c>
      <c r="C3772">
        <v>0.08</v>
      </c>
    </row>
    <row r="3773" spans="1:3" x14ac:dyDescent="0.25">
      <c r="A3773">
        <v>13.3539448161092</v>
      </c>
      <c r="B3773">
        <v>0.14000000000000001</v>
      </c>
      <c r="C3773">
        <v>0.14000000000000001</v>
      </c>
    </row>
    <row r="3774" spans="1:3" x14ac:dyDescent="0.25">
      <c r="A3774">
        <v>13.3574772089774</v>
      </c>
      <c r="B3774">
        <v>0.1</v>
      </c>
      <c r="C3774">
        <v>0.18</v>
      </c>
    </row>
    <row r="3775" spans="1:3" x14ac:dyDescent="0.25">
      <c r="A3775">
        <v>13.3610096891555</v>
      </c>
      <c r="B3775">
        <v>0.11</v>
      </c>
      <c r="C3775">
        <v>0.14000000000000001</v>
      </c>
    </row>
    <row r="3776" spans="1:3" x14ac:dyDescent="0.25">
      <c r="A3776">
        <v>13.3645423171531</v>
      </c>
      <c r="B3776">
        <v>0.1</v>
      </c>
      <c r="C3776">
        <v>0.13</v>
      </c>
    </row>
    <row r="3777" spans="1:3" x14ac:dyDescent="0.25">
      <c r="A3777">
        <v>13.368074253355999</v>
      </c>
      <c r="B3777">
        <v>0.11</v>
      </c>
      <c r="C3777">
        <v>0.13</v>
      </c>
    </row>
    <row r="3778" spans="1:3" x14ac:dyDescent="0.25">
      <c r="A3778">
        <v>13.371606998035199</v>
      </c>
      <c r="B3778">
        <v>0.15</v>
      </c>
      <c r="C3778">
        <v>0.23</v>
      </c>
    </row>
    <row r="3779" spans="1:3" x14ac:dyDescent="0.25">
      <c r="A3779">
        <v>13.375139153952899</v>
      </c>
      <c r="B3779">
        <v>0.2</v>
      </c>
      <c r="C3779">
        <v>0.22</v>
      </c>
    </row>
    <row r="3780" spans="1:3" x14ac:dyDescent="0.25">
      <c r="A3780">
        <v>13.3786718504241</v>
      </c>
      <c r="B3780">
        <v>0.14000000000000001</v>
      </c>
      <c r="C3780">
        <v>0.19</v>
      </c>
    </row>
    <row r="3781" spans="1:3" x14ac:dyDescent="0.25">
      <c r="A3781">
        <v>13.382204491203501</v>
      </c>
      <c r="B3781">
        <v>0.12</v>
      </c>
      <c r="C3781">
        <v>0.15</v>
      </c>
    </row>
    <row r="3782" spans="1:3" x14ac:dyDescent="0.25">
      <c r="A3782">
        <v>13.3857384057563</v>
      </c>
      <c r="B3782">
        <v>0.15</v>
      </c>
      <c r="C3782">
        <v>0.23</v>
      </c>
    </row>
    <row r="3783" spans="1:3" x14ac:dyDescent="0.25">
      <c r="A3783">
        <v>13.389270847296199</v>
      </c>
      <c r="B3783">
        <v>0.18</v>
      </c>
      <c r="C3783">
        <v>0.23</v>
      </c>
    </row>
    <row r="3784" spans="1:3" x14ac:dyDescent="0.25">
      <c r="A3784">
        <v>13.3928034656522</v>
      </c>
      <c r="B3784">
        <v>0.18</v>
      </c>
      <c r="C3784">
        <v>0.22</v>
      </c>
    </row>
    <row r="3785" spans="1:3" x14ac:dyDescent="0.25">
      <c r="A3785">
        <v>13.3963376454401</v>
      </c>
      <c r="B3785">
        <v>0.1</v>
      </c>
      <c r="C3785">
        <v>0.16</v>
      </c>
    </row>
    <row r="3786" spans="1:3" x14ac:dyDescent="0.25">
      <c r="A3786">
        <v>13.3998704333051</v>
      </c>
      <c r="B3786">
        <v>7.0000000000000007E-2</v>
      </c>
      <c r="C3786">
        <v>0.08</v>
      </c>
    </row>
    <row r="3787" spans="1:3" x14ac:dyDescent="0.25">
      <c r="A3787">
        <v>13.403402592534199</v>
      </c>
      <c r="B3787">
        <v>0.16</v>
      </c>
      <c r="C3787">
        <v>0.32</v>
      </c>
    </row>
    <row r="3788" spans="1:3" x14ac:dyDescent="0.25">
      <c r="A3788">
        <v>13.406935878406999</v>
      </c>
      <c r="B3788">
        <v>0.12</v>
      </c>
      <c r="C3788">
        <v>0.12</v>
      </c>
    </row>
    <row r="3789" spans="1:3" x14ac:dyDescent="0.25">
      <c r="A3789">
        <v>13.4104702058213</v>
      </c>
      <c r="B3789">
        <v>0.11</v>
      </c>
      <c r="C3789">
        <v>0.21</v>
      </c>
    </row>
    <row r="3790" spans="1:3" x14ac:dyDescent="0.25">
      <c r="A3790">
        <v>13.414002526888099</v>
      </c>
      <c r="B3790">
        <v>0.15</v>
      </c>
      <c r="C3790">
        <v>0.14000000000000001</v>
      </c>
    </row>
    <row r="3791" spans="1:3" x14ac:dyDescent="0.25">
      <c r="A3791">
        <v>13.4175347949509</v>
      </c>
      <c r="B3791">
        <v>0.18</v>
      </c>
      <c r="C3791">
        <v>0.23</v>
      </c>
    </row>
    <row r="3792" spans="1:3" x14ac:dyDescent="0.25">
      <c r="A3792">
        <v>13.4210672771268</v>
      </c>
      <c r="B3792">
        <v>0.1</v>
      </c>
      <c r="C3792">
        <v>0.12</v>
      </c>
    </row>
    <row r="3793" spans="1:3" x14ac:dyDescent="0.25">
      <c r="A3793">
        <v>13.424599578833099</v>
      </c>
      <c r="B3793">
        <v>0.17</v>
      </c>
      <c r="C3793">
        <v>0.12</v>
      </c>
    </row>
    <row r="3794" spans="1:3" x14ac:dyDescent="0.25">
      <c r="A3794">
        <v>13.428132055219599</v>
      </c>
      <c r="B3794">
        <v>0.2</v>
      </c>
      <c r="C3794">
        <v>0.2</v>
      </c>
    </row>
    <row r="3795" spans="1:3" x14ac:dyDescent="0.25">
      <c r="A3795">
        <v>13.431665668046</v>
      </c>
      <c r="B3795">
        <v>0.13</v>
      </c>
      <c r="C3795">
        <v>0.11</v>
      </c>
    </row>
    <row r="3796" spans="1:3" x14ac:dyDescent="0.25">
      <c r="A3796">
        <v>13.435198971458</v>
      </c>
      <c r="B3796">
        <v>0.13</v>
      </c>
      <c r="C3796">
        <v>0.11</v>
      </c>
    </row>
    <row r="3797" spans="1:3" x14ac:dyDescent="0.25">
      <c r="A3797">
        <v>13.438733339414499</v>
      </c>
      <c r="B3797">
        <v>0.1</v>
      </c>
      <c r="C3797">
        <v>0.19</v>
      </c>
    </row>
    <row r="3798" spans="1:3" x14ac:dyDescent="0.25">
      <c r="A3798">
        <v>13.4422665402845</v>
      </c>
      <c r="B3798">
        <v>0.13</v>
      </c>
      <c r="C3798">
        <v>0.15</v>
      </c>
    </row>
    <row r="3799" spans="1:3" x14ac:dyDescent="0.25">
      <c r="A3799">
        <v>13.445801087606799</v>
      </c>
      <c r="B3799">
        <v>0.21</v>
      </c>
      <c r="C3799">
        <v>0.17</v>
      </c>
    </row>
    <row r="3800" spans="1:3" x14ac:dyDescent="0.25">
      <c r="A3800">
        <v>13.4493333652725</v>
      </c>
      <c r="B3800">
        <v>0.04</v>
      </c>
      <c r="C3800">
        <v>0</v>
      </c>
    </row>
    <row r="3801" spans="1:3" x14ac:dyDescent="0.25">
      <c r="A3801">
        <v>13.452865602644501</v>
      </c>
      <c r="B3801">
        <v>0.02</v>
      </c>
      <c r="C3801">
        <v>0.06</v>
      </c>
    </row>
    <row r="3802" spans="1:3" x14ac:dyDescent="0.25">
      <c r="A3802">
        <v>13.4563978697745</v>
      </c>
      <c r="B3802">
        <v>0.2</v>
      </c>
      <c r="C3802">
        <v>0.21</v>
      </c>
    </row>
    <row r="3803" spans="1:3" x14ac:dyDescent="0.25">
      <c r="A3803">
        <v>13.4599321666911</v>
      </c>
      <c r="B3803">
        <v>0.04</v>
      </c>
      <c r="C3803">
        <v>7.0000000000000007E-2</v>
      </c>
    </row>
    <row r="3804" spans="1:3" x14ac:dyDescent="0.25">
      <c r="A3804">
        <v>13.4634656461907</v>
      </c>
      <c r="B3804">
        <v>0.08</v>
      </c>
      <c r="C3804">
        <v>7.0000000000000007E-2</v>
      </c>
    </row>
    <row r="3805" spans="1:3" x14ac:dyDescent="0.25">
      <c r="A3805">
        <v>13.4669977332541</v>
      </c>
      <c r="B3805">
        <v>0.04</v>
      </c>
      <c r="C3805">
        <v>0.05</v>
      </c>
    </row>
    <row r="3806" spans="1:3" x14ac:dyDescent="0.25">
      <c r="A3806">
        <v>13.4705299569997</v>
      </c>
      <c r="B3806">
        <v>0.12</v>
      </c>
      <c r="C3806">
        <v>0.1</v>
      </c>
    </row>
    <row r="3807" spans="1:3" x14ac:dyDescent="0.25">
      <c r="A3807">
        <v>13.4740634612739</v>
      </c>
      <c r="B3807">
        <v>0.1</v>
      </c>
      <c r="C3807">
        <v>0.14000000000000001</v>
      </c>
    </row>
    <row r="3808" spans="1:3" x14ac:dyDescent="0.25">
      <c r="A3808">
        <v>13.4775968117736</v>
      </c>
      <c r="B3808">
        <v>0.08</v>
      </c>
      <c r="C3808">
        <v>0.06</v>
      </c>
    </row>
    <row r="3809" spans="1:3" x14ac:dyDescent="0.25">
      <c r="A3809">
        <v>13.481132610605799</v>
      </c>
      <c r="B3809">
        <v>0.12</v>
      </c>
      <c r="C3809">
        <v>0.13</v>
      </c>
    </row>
    <row r="3810" spans="1:3" x14ac:dyDescent="0.25">
      <c r="A3810">
        <v>13.484664999423201</v>
      </c>
      <c r="B3810">
        <v>0.15</v>
      </c>
      <c r="C3810">
        <v>0.11</v>
      </c>
    </row>
    <row r="3811" spans="1:3" x14ac:dyDescent="0.25">
      <c r="A3811">
        <v>13.4881972358237</v>
      </c>
      <c r="B3811">
        <v>0.11</v>
      </c>
      <c r="C3811">
        <v>0.12</v>
      </c>
    </row>
    <row r="3812" spans="1:3" x14ac:dyDescent="0.25">
      <c r="A3812">
        <v>13.4917325407266</v>
      </c>
      <c r="B3812">
        <v>0.12</v>
      </c>
      <c r="C3812">
        <v>0.05</v>
      </c>
    </row>
    <row r="3813" spans="1:3" x14ac:dyDescent="0.25">
      <c r="A3813">
        <v>13.4952646719029</v>
      </c>
      <c r="B3813">
        <v>0.22</v>
      </c>
      <c r="C3813">
        <v>0.24</v>
      </c>
    </row>
    <row r="3814" spans="1:3" x14ac:dyDescent="0.25">
      <c r="A3814">
        <v>13.4987975411613</v>
      </c>
      <c r="B3814">
        <v>0.13</v>
      </c>
      <c r="C3814">
        <v>0.09</v>
      </c>
    </row>
    <row r="3815" spans="1:3" x14ac:dyDescent="0.25">
      <c r="A3815">
        <v>13.5023332698477</v>
      </c>
      <c r="B3815">
        <v>0.08</v>
      </c>
      <c r="C3815">
        <v>0</v>
      </c>
    </row>
    <row r="3816" spans="1:3" x14ac:dyDescent="0.25">
      <c r="A3816">
        <v>13.5058657935427</v>
      </c>
      <c r="B3816">
        <v>0.06</v>
      </c>
      <c r="C3816">
        <v>0.18</v>
      </c>
    </row>
    <row r="3817" spans="1:3" x14ac:dyDescent="0.25">
      <c r="A3817">
        <v>13.5093977261914</v>
      </c>
      <c r="B3817">
        <v>0.1</v>
      </c>
      <c r="C3817">
        <v>0.14000000000000001</v>
      </c>
    </row>
    <row r="3818" spans="1:3" x14ac:dyDescent="0.25">
      <c r="A3818">
        <v>13.512930239875001</v>
      </c>
      <c r="B3818">
        <v>0.11</v>
      </c>
      <c r="C3818">
        <v>7.0000000000000007E-2</v>
      </c>
    </row>
    <row r="3819" spans="1:3" x14ac:dyDescent="0.25">
      <c r="A3819">
        <v>13.516464509616201</v>
      </c>
      <c r="B3819">
        <v>0.08</v>
      </c>
      <c r="C3819">
        <v>0</v>
      </c>
    </row>
    <row r="3820" spans="1:3" x14ac:dyDescent="0.25">
      <c r="A3820">
        <v>13.5199971243297</v>
      </c>
      <c r="B3820">
        <v>0.18</v>
      </c>
      <c r="C3820">
        <v>0.19</v>
      </c>
    </row>
    <row r="3821" spans="1:3" x14ac:dyDescent="0.25">
      <c r="A3821">
        <v>13.5235298424407</v>
      </c>
      <c r="B3821">
        <v>0.08</v>
      </c>
      <c r="C3821">
        <v>0</v>
      </c>
    </row>
    <row r="3822" spans="1:3" x14ac:dyDescent="0.25">
      <c r="A3822">
        <v>13.5270636778297</v>
      </c>
      <c r="B3822">
        <v>0.06</v>
      </c>
      <c r="C3822">
        <v>0.05</v>
      </c>
    </row>
    <row r="3823" spans="1:3" x14ac:dyDescent="0.25">
      <c r="A3823">
        <v>13.530595815700501</v>
      </c>
      <c r="B3823">
        <v>0.12</v>
      </c>
      <c r="C3823">
        <v>0.03</v>
      </c>
    </row>
    <row r="3824" spans="1:3" x14ac:dyDescent="0.25">
      <c r="A3824">
        <v>13.534128875953099</v>
      </c>
      <c r="B3824">
        <v>0.22</v>
      </c>
      <c r="C3824">
        <v>0.17</v>
      </c>
    </row>
    <row r="3825" spans="1:3" x14ac:dyDescent="0.25">
      <c r="A3825">
        <v>13.537661770996101</v>
      </c>
      <c r="B3825">
        <v>0.14000000000000001</v>
      </c>
      <c r="C3825">
        <v>0.08</v>
      </c>
    </row>
    <row r="3826" spans="1:3" x14ac:dyDescent="0.25">
      <c r="A3826">
        <v>13.541195691995</v>
      </c>
      <c r="B3826">
        <v>0.09</v>
      </c>
      <c r="C3826">
        <v>0.08</v>
      </c>
    </row>
    <row r="3827" spans="1:3" x14ac:dyDescent="0.25">
      <c r="A3827">
        <v>13.5447281560522</v>
      </c>
      <c r="B3827">
        <v>0.13</v>
      </c>
      <c r="C3827">
        <v>7.0000000000000007E-2</v>
      </c>
    </row>
    <row r="3828" spans="1:3" x14ac:dyDescent="0.25">
      <c r="A3828">
        <v>13.548263933216999</v>
      </c>
      <c r="B3828">
        <v>0.1</v>
      </c>
      <c r="C3828">
        <v>0.1</v>
      </c>
    </row>
    <row r="3829" spans="1:3" x14ac:dyDescent="0.25">
      <c r="A3829">
        <v>13.551797440449301</v>
      </c>
      <c r="B3829">
        <v>0.13</v>
      </c>
      <c r="C3829">
        <v>0.14000000000000001</v>
      </c>
    </row>
    <row r="3830" spans="1:3" x14ac:dyDescent="0.25">
      <c r="A3830">
        <v>13.5553305193837</v>
      </c>
      <c r="B3830">
        <v>0.09</v>
      </c>
      <c r="C3830">
        <v>0.05</v>
      </c>
    </row>
    <row r="3831" spans="1:3" x14ac:dyDescent="0.25">
      <c r="A3831">
        <v>13.5588646492472</v>
      </c>
      <c r="B3831">
        <v>0.19</v>
      </c>
      <c r="C3831">
        <v>0.23</v>
      </c>
    </row>
    <row r="3832" spans="1:3" x14ac:dyDescent="0.25">
      <c r="A3832">
        <v>13.5623970119875</v>
      </c>
      <c r="B3832">
        <v>0.12</v>
      </c>
      <c r="C3832">
        <v>0.03</v>
      </c>
    </row>
    <row r="3833" spans="1:3" x14ac:dyDescent="0.25">
      <c r="A3833">
        <v>13.565931336846599</v>
      </c>
      <c r="B3833">
        <v>0.12</v>
      </c>
      <c r="C3833">
        <v>0.05</v>
      </c>
    </row>
    <row r="3834" spans="1:3" x14ac:dyDescent="0.25">
      <c r="A3834">
        <v>13.5694660284121</v>
      </c>
      <c r="B3834">
        <v>0.13</v>
      </c>
      <c r="C3834">
        <v>0.2</v>
      </c>
    </row>
    <row r="3835" spans="1:3" x14ac:dyDescent="0.25">
      <c r="A3835">
        <v>13.5729985349211</v>
      </c>
      <c r="B3835">
        <v>0.16</v>
      </c>
      <c r="C3835">
        <v>0.12</v>
      </c>
    </row>
    <row r="3836" spans="1:3" x14ac:dyDescent="0.25">
      <c r="A3836">
        <v>13.5765321350704</v>
      </c>
      <c r="B3836">
        <v>0.22</v>
      </c>
      <c r="C3836">
        <v>0.2</v>
      </c>
    </row>
    <row r="3837" spans="1:3" x14ac:dyDescent="0.25">
      <c r="A3837">
        <v>13.5800669558125</v>
      </c>
      <c r="B3837">
        <v>0.16</v>
      </c>
      <c r="C3837">
        <v>7.0000000000000007E-2</v>
      </c>
    </row>
    <row r="3838" spans="1:3" x14ac:dyDescent="0.25">
      <c r="A3838">
        <v>13.583600466985301</v>
      </c>
      <c r="B3838">
        <v>0.2</v>
      </c>
      <c r="C3838">
        <v>0.16</v>
      </c>
    </row>
    <row r="3839" spans="1:3" x14ac:dyDescent="0.25">
      <c r="A3839">
        <v>13.587132643190699</v>
      </c>
      <c r="B3839">
        <v>0.15</v>
      </c>
      <c r="C3839">
        <v>0.09</v>
      </c>
    </row>
    <row r="3840" spans="1:3" x14ac:dyDescent="0.25">
      <c r="A3840">
        <v>13.590665877560699</v>
      </c>
      <c r="B3840">
        <v>0.08</v>
      </c>
      <c r="C3840">
        <v>0.01</v>
      </c>
    </row>
    <row r="3841" spans="1:3" x14ac:dyDescent="0.25">
      <c r="A3841">
        <v>13.594197890477</v>
      </c>
      <c r="B3841">
        <v>0.16</v>
      </c>
      <c r="C3841">
        <v>0.19</v>
      </c>
    </row>
    <row r="3842" spans="1:3" x14ac:dyDescent="0.25">
      <c r="A3842">
        <v>13.597729742295201</v>
      </c>
      <c r="B3842">
        <v>0.11</v>
      </c>
      <c r="C3842">
        <v>0.02</v>
      </c>
    </row>
    <row r="3843" spans="1:3" x14ac:dyDescent="0.25">
      <c r="A3843">
        <v>13.6012645251386</v>
      </c>
      <c r="B3843">
        <v>0.16</v>
      </c>
      <c r="C3843">
        <v>0.11</v>
      </c>
    </row>
    <row r="3844" spans="1:3" x14ac:dyDescent="0.25">
      <c r="A3844">
        <v>13.604798098211999</v>
      </c>
      <c r="B3844">
        <v>0.15</v>
      </c>
      <c r="C3844">
        <v>0.12</v>
      </c>
    </row>
    <row r="3845" spans="1:3" x14ac:dyDescent="0.25">
      <c r="A3845">
        <v>13.6083304110445</v>
      </c>
      <c r="B3845">
        <v>0.22</v>
      </c>
      <c r="C3845">
        <v>0.27</v>
      </c>
    </row>
    <row r="3846" spans="1:3" x14ac:dyDescent="0.25">
      <c r="A3846">
        <v>13.6118625189032</v>
      </c>
      <c r="B3846">
        <v>0.09</v>
      </c>
      <c r="C3846">
        <v>0</v>
      </c>
    </row>
    <row r="3847" spans="1:3" x14ac:dyDescent="0.25">
      <c r="A3847">
        <v>13.615394691830399</v>
      </c>
      <c r="B3847">
        <v>0.12</v>
      </c>
      <c r="C3847">
        <v>0.2</v>
      </c>
    </row>
    <row r="3848" spans="1:3" x14ac:dyDescent="0.25">
      <c r="A3848">
        <v>13.6189297739719</v>
      </c>
      <c r="B3848">
        <v>0.13</v>
      </c>
      <c r="C3848">
        <v>0.08</v>
      </c>
    </row>
    <row r="3849" spans="1:3" x14ac:dyDescent="0.25">
      <c r="A3849">
        <v>13.6224644427553</v>
      </c>
      <c r="B3849">
        <v>0.06</v>
      </c>
      <c r="C3849">
        <v>0.08</v>
      </c>
    </row>
    <row r="3850" spans="1:3" x14ac:dyDescent="0.25">
      <c r="A3850">
        <v>13.625998193627099</v>
      </c>
      <c r="B3850">
        <v>0.09</v>
      </c>
      <c r="C3850">
        <v>0.1</v>
      </c>
    </row>
    <row r="3851" spans="1:3" x14ac:dyDescent="0.25">
      <c r="A3851">
        <v>13.6295321041897</v>
      </c>
      <c r="B3851">
        <v>0.1</v>
      </c>
      <c r="C3851">
        <v>0.05</v>
      </c>
    </row>
    <row r="3852" spans="1:3" x14ac:dyDescent="0.25">
      <c r="A3852">
        <v>13.6330659671624</v>
      </c>
      <c r="B3852">
        <v>0.06</v>
      </c>
      <c r="C3852">
        <v>0.16</v>
      </c>
    </row>
    <row r="3853" spans="1:3" x14ac:dyDescent="0.25">
      <c r="A3853">
        <v>13.636600280525499</v>
      </c>
      <c r="B3853">
        <v>7.0000000000000007E-2</v>
      </c>
      <c r="C3853">
        <v>0.03</v>
      </c>
    </row>
    <row r="3854" spans="1:3" x14ac:dyDescent="0.25">
      <c r="A3854">
        <v>13.640132302106499</v>
      </c>
      <c r="B3854">
        <v>0.1</v>
      </c>
      <c r="C3854">
        <v>0.06</v>
      </c>
    </row>
    <row r="3855" spans="1:3" x14ac:dyDescent="0.25">
      <c r="A3855">
        <v>13.6436653876801</v>
      </c>
      <c r="B3855">
        <v>0.1</v>
      </c>
      <c r="C3855">
        <v>0.14000000000000001</v>
      </c>
    </row>
    <row r="3856" spans="1:3" x14ac:dyDescent="0.25">
      <c r="A3856">
        <v>13.647201713439401</v>
      </c>
      <c r="B3856">
        <v>0.12</v>
      </c>
      <c r="C3856">
        <v>0.08</v>
      </c>
    </row>
    <row r="3857" spans="1:3" x14ac:dyDescent="0.25">
      <c r="A3857">
        <v>13.6507337677644</v>
      </c>
      <c r="B3857">
        <v>0.09</v>
      </c>
      <c r="C3857">
        <v>0.11</v>
      </c>
    </row>
    <row r="3858" spans="1:3" x14ac:dyDescent="0.25">
      <c r="A3858">
        <v>13.6542680295253</v>
      </c>
      <c r="B3858">
        <v>0.08</v>
      </c>
      <c r="C3858">
        <v>0.08</v>
      </c>
    </row>
    <row r="3859" spans="1:3" x14ac:dyDescent="0.25">
      <c r="A3859">
        <v>13.6578002186174</v>
      </c>
      <c r="B3859">
        <v>0.09</v>
      </c>
      <c r="C3859">
        <v>0.09</v>
      </c>
    </row>
    <row r="3860" spans="1:3" x14ac:dyDescent="0.25">
      <c r="A3860">
        <v>13.661333844369199</v>
      </c>
      <c r="B3860">
        <v>0.15</v>
      </c>
      <c r="C3860">
        <v>0.12</v>
      </c>
    </row>
    <row r="3861" spans="1:3" x14ac:dyDescent="0.25">
      <c r="A3861">
        <v>13.664865912541099</v>
      </c>
      <c r="B3861">
        <v>0.17</v>
      </c>
      <c r="C3861">
        <v>0.28000000000000003</v>
      </c>
    </row>
    <row r="3862" spans="1:3" x14ac:dyDescent="0.25">
      <c r="A3862">
        <v>13.668397862905699</v>
      </c>
      <c r="B3862">
        <v>0.12</v>
      </c>
      <c r="C3862">
        <v>0.17</v>
      </c>
    </row>
    <row r="3863" spans="1:3" x14ac:dyDescent="0.25">
      <c r="A3863">
        <v>13.6719323335974</v>
      </c>
      <c r="B3863">
        <v>0.13</v>
      </c>
      <c r="C3863">
        <v>0.12</v>
      </c>
    </row>
    <row r="3864" spans="1:3" x14ac:dyDescent="0.25">
      <c r="A3864">
        <v>13.6754645147091</v>
      </c>
      <c r="B3864">
        <v>0.17</v>
      </c>
      <c r="C3864">
        <v>0.18</v>
      </c>
    </row>
    <row r="3865" spans="1:3" x14ac:dyDescent="0.25">
      <c r="A3865">
        <v>13.6789962336365</v>
      </c>
      <c r="B3865">
        <v>0.1</v>
      </c>
      <c r="C3865">
        <v>0.11</v>
      </c>
    </row>
    <row r="3866" spans="1:3" x14ac:dyDescent="0.25">
      <c r="A3866">
        <v>13.682529679305</v>
      </c>
      <c r="B3866">
        <v>7.0000000000000007E-2</v>
      </c>
      <c r="C3866">
        <v>0.08</v>
      </c>
    </row>
    <row r="3867" spans="1:3" x14ac:dyDescent="0.25">
      <c r="A3867">
        <v>13.6860619723852</v>
      </c>
      <c r="B3867">
        <v>7.0000000000000007E-2</v>
      </c>
      <c r="C3867">
        <v>7.0000000000000007E-2</v>
      </c>
    </row>
    <row r="3868" spans="1:3" x14ac:dyDescent="0.25">
      <c r="A3868">
        <v>13.689594299820801</v>
      </c>
      <c r="B3868">
        <v>0.09</v>
      </c>
      <c r="C3868">
        <v>7.0000000000000007E-2</v>
      </c>
    </row>
    <row r="3869" spans="1:3" x14ac:dyDescent="0.25">
      <c r="A3869">
        <v>13.693126382794601</v>
      </c>
      <c r="B3869">
        <v>0.1</v>
      </c>
      <c r="C3869">
        <v>0.13</v>
      </c>
    </row>
    <row r="3870" spans="1:3" x14ac:dyDescent="0.25">
      <c r="A3870">
        <v>13.6966596381752</v>
      </c>
      <c r="B3870">
        <v>0.09</v>
      </c>
      <c r="C3870">
        <v>0.08</v>
      </c>
    </row>
    <row r="3871" spans="1:3" x14ac:dyDescent="0.25">
      <c r="A3871">
        <v>13.7001918407005</v>
      </c>
      <c r="B3871">
        <v>0.1</v>
      </c>
      <c r="C3871">
        <v>0.1</v>
      </c>
    </row>
    <row r="3872" spans="1:3" x14ac:dyDescent="0.25">
      <c r="A3872">
        <v>13.703723937212301</v>
      </c>
      <c r="B3872">
        <v>7.0000000000000007E-2</v>
      </c>
      <c r="C3872">
        <v>7.0000000000000007E-2</v>
      </c>
    </row>
    <row r="3873" spans="1:3" x14ac:dyDescent="0.25">
      <c r="A3873">
        <v>13.7072562118205</v>
      </c>
      <c r="B3873">
        <v>0.11</v>
      </c>
      <c r="C3873">
        <v>0.18</v>
      </c>
    </row>
    <row r="3874" spans="1:3" x14ac:dyDescent="0.25">
      <c r="A3874">
        <v>13.7107881834716</v>
      </c>
      <c r="B3874">
        <v>0.16</v>
      </c>
      <c r="C3874">
        <v>0.21</v>
      </c>
    </row>
    <row r="3875" spans="1:3" x14ac:dyDescent="0.25">
      <c r="A3875">
        <v>13.714320195709099</v>
      </c>
      <c r="B3875">
        <v>0.16</v>
      </c>
      <c r="C3875">
        <v>0.2</v>
      </c>
    </row>
    <row r="3876" spans="1:3" x14ac:dyDescent="0.25">
      <c r="A3876">
        <v>13.717853276265901</v>
      </c>
      <c r="B3876">
        <v>0.01</v>
      </c>
      <c r="C3876">
        <v>0.09</v>
      </c>
    </row>
    <row r="3877" spans="1:3" x14ac:dyDescent="0.25">
      <c r="A3877">
        <v>13.7213859799504</v>
      </c>
      <c r="B3877">
        <v>0.05</v>
      </c>
      <c r="C3877">
        <v>0.08</v>
      </c>
    </row>
    <row r="3878" spans="1:3" x14ac:dyDescent="0.25">
      <c r="A3878">
        <v>13.7249207531191</v>
      </c>
      <c r="B3878">
        <v>0.08</v>
      </c>
      <c r="C3878">
        <v>0.1</v>
      </c>
    </row>
    <row r="3879" spans="1:3" x14ac:dyDescent="0.25">
      <c r="A3879">
        <v>13.7284542998009</v>
      </c>
      <c r="B3879">
        <v>0.11</v>
      </c>
      <c r="C3879">
        <v>0.08</v>
      </c>
    </row>
    <row r="3880" spans="1:3" x14ac:dyDescent="0.25">
      <c r="A3880">
        <v>13.7319890518596</v>
      </c>
      <c r="B3880">
        <v>0.17</v>
      </c>
      <c r="C3880">
        <v>0.25</v>
      </c>
    </row>
    <row r="3881" spans="1:3" x14ac:dyDescent="0.25">
      <c r="A3881">
        <v>13.735521834895501</v>
      </c>
      <c r="B3881">
        <v>0.21</v>
      </c>
      <c r="C3881">
        <v>0.22</v>
      </c>
    </row>
    <row r="3882" spans="1:3" x14ac:dyDescent="0.25">
      <c r="A3882">
        <v>13.739053912256599</v>
      </c>
      <c r="B3882">
        <v>0</v>
      </c>
      <c r="C3882">
        <v>0</v>
      </c>
    </row>
    <row r="3883" spans="1:3" x14ac:dyDescent="0.25">
      <c r="A3883">
        <v>13.7425872029971</v>
      </c>
      <c r="B3883">
        <v>0.11</v>
      </c>
      <c r="C3883">
        <v>0.18</v>
      </c>
    </row>
    <row r="3884" spans="1:3" x14ac:dyDescent="0.25">
      <c r="A3884">
        <v>13.7461191458006</v>
      </c>
      <c r="B3884">
        <v>0</v>
      </c>
      <c r="C3884">
        <v>0</v>
      </c>
    </row>
    <row r="3885" spans="1:3" x14ac:dyDescent="0.25">
      <c r="A3885">
        <v>13.749651047940599</v>
      </c>
      <c r="B3885">
        <v>0</v>
      </c>
      <c r="C3885">
        <v>0.04</v>
      </c>
    </row>
    <row r="3886" spans="1:3" x14ac:dyDescent="0.25">
      <c r="A3886">
        <v>13.7531842799981</v>
      </c>
      <c r="B3886">
        <v>0.08</v>
      </c>
      <c r="C3886">
        <v>0.03</v>
      </c>
    </row>
    <row r="3887" spans="1:3" x14ac:dyDescent="0.25">
      <c r="A3887">
        <v>13.756717580302899</v>
      </c>
      <c r="B3887">
        <v>7.0000000000000007E-2</v>
      </c>
      <c r="C3887">
        <v>0.06</v>
      </c>
    </row>
    <row r="3888" spans="1:3" x14ac:dyDescent="0.25">
      <c r="A3888">
        <v>13.760250864933999</v>
      </c>
      <c r="B3888">
        <v>0.06</v>
      </c>
      <c r="C3888">
        <v>0.05</v>
      </c>
    </row>
    <row r="3889" spans="1:3" x14ac:dyDescent="0.25">
      <c r="A3889">
        <v>13.7637827694967</v>
      </c>
      <c r="B3889">
        <v>0.12</v>
      </c>
      <c r="C3889">
        <v>0.12</v>
      </c>
    </row>
    <row r="3890" spans="1:3" x14ac:dyDescent="0.25">
      <c r="A3890">
        <v>13.767314599526101</v>
      </c>
      <c r="B3890">
        <v>0.04</v>
      </c>
      <c r="C3890">
        <v>0.02</v>
      </c>
    </row>
    <row r="3891" spans="1:3" x14ac:dyDescent="0.25">
      <c r="A3891">
        <v>13.770847943253999</v>
      </c>
      <c r="B3891">
        <v>0.04</v>
      </c>
      <c r="C3891">
        <v>0.05</v>
      </c>
    </row>
    <row r="3892" spans="1:3" x14ac:dyDescent="0.25">
      <c r="A3892">
        <v>13.7743824647201</v>
      </c>
      <c r="B3892">
        <v>0.1</v>
      </c>
      <c r="C3892">
        <v>0.18</v>
      </c>
    </row>
    <row r="3893" spans="1:3" x14ac:dyDescent="0.25">
      <c r="A3893">
        <v>13.7779169062552</v>
      </c>
      <c r="B3893">
        <v>0.06</v>
      </c>
      <c r="C3893">
        <v>0.04</v>
      </c>
    </row>
    <row r="3894" spans="1:3" x14ac:dyDescent="0.25">
      <c r="A3894">
        <v>13.781449140840101</v>
      </c>
      <c r="B3894">
        <v>0.1</v>
      </c>
      <c r="C3894">
        <v>0.11</v>
      </c>
    </row>
    <row r="3895" spans="1:3" x14ac:dyDescent="0.25">
      <c r="A3895">
        <v>13.7849822771162</v>
      </c>
      <c r="B3895">
        <v>0</v>
      </c>
      <c r="C3895">
        <v>0</v>
      </c>
    </row>
    <row r="3896" spans="1:3" x14ac:dyDescent="0.25">
      <c r="A3896">
        <v>13.7885133581525</v>
      </c>
      <c r="B3896">
        <v>0.2</v>
      </c>
      <c r="C3896">
        <v>0.21</v>
      </c>
    </row>
    <row r="3897" spans="1:3" x14ac:dyDescent="0.25">
      <c r="A3897">
        <v>13.792044534379601</v>
      </c>
      <c r="B3897">
        <v>0.22</v>
      </c>
      <c r="C3897">
        <v>0.25</v>
      </c>
    </row>
    <row r="3898" spans="1:3" x14ac:dyDescent="0.25">
      <c r="A3898">
        <v>13.7955742525999</v>
      </c>
      <c r="B3898">
        <v>0.11</v>
      </c>
      <c r="C3898">
        <v>0.11</v>
      </c>
    </row>
    <row r="3899" spans="1:3" x14ac:dyDescent="0.25">
      <c r="A3899">
        <v>13.7991050011195</v>
      </c>
      <c r="B3899">
        <v>0.22</v>
      </c>
      <c r="C3899">
        <v>0.2</v>
      </c>
    </row>
    <row r="3900" spans="1:3" x14ac:dyDescent="0.25">
      <c r="A3900">
        <v>13.8026346044407</v>
      </c>
      <c r="B3900">
        <v>0</v>
      </c>
      <c r="C3900">
        <v>7.0000000000000007E-2</v>
      </c>
    </row>
    <row r="3901" spans="1:3" x14ac:dyDescent="0.25">
      <c r="A3901">
        <v>13.806165661867</v>
      </c>
      <c r="B3901">
        <v>7.0000000000000007E-2</v>
      </c>
      <c r="C3901">
        <v>0.02</v>
      </c>
    </row>
    <row r="3902" spans="1:3" x14ac:dyDescent="0.25">
      <c r="A3902">
        <v>13.8096976067567</v>
      </c>
      <c r="B3902">
        <v>0.04</v>
      </c>
      <c r="C3902">
        <v>0</v>
      </c>
    </row>
    <row r="3903" spans="1:3" x14ac:dyDescent="0.25">
      <c r="A3903">
        <v>13.813230970258999</v>
      </c>
      <c r="B3903">
        <v>7.0000000000000007E-2</v>
      </c>
      <c r="C3903">
        <v>0.15</v>
      </c>
    </row>
    <row r="3904" spans="1:3" x14ac:dyDescent="0.25">
      <c r="A3904">
        <v>13.8167631531203</v>
      </c>
      <c r="B3904">
        <v>0.11</v>
      </c>
      <c r="C3904">
        <v>0.17</v>
      </c>
    </row>
    <row r="3905" spans="1:3" x14ac:dyDescent="0.25">
      <c r="A3905">
        <v>13.8202949961081</v>
      </c>
      <c r="B3905">
        <v>7.0000000000000007E-2</v>
      </c>
      <c r="C3905">
        <v>0.13</v>
      </c>
    </row>
    <row r="3906" spans="1:3" x14ac:dyDescent="0.25">
      <c r="A3906">
        <v>13.823828463995801</v>
      </c>
      <c r="B3906">
        <v>0.01</v>
      </c>
      <c r="C3906">
        <v>0.03</v>
      </c>
    </row>
    <row r="3907" spans="1:3" x14ac:dyDescent="0.25">
      <c r="A3907">
        <v>13.827360701737501</v>
      </c>
      <c r="B3907">
        <v>7.0000000000000007E-2</v>
      </c>
      <c r="C3907">
        <v>0.08</v>
      </c>
    </row>
    <row r="3908" spans="1:3" x14ac:dyDescent="0.25">
      <c r="A3908">
        <v>13.8308941621471</v>
      </c>
      <c r="B3908">
        <v>0.04</v>
      </c>
      <c r="C3908">
        <v>0.08</v>
      </c>
    </row>
    <row r="3909" spans="1:3" x14ac:dyDescent="0.25">
      <c r="A3909">
        <v>13.8344262590452</v>
      </c>
      <c r="B3909">
        <v>0.15</v>
      </c>
      <c r="C3909">
        <v>0.2</v>
      </c>
    </row>
    <row r="3910" spans="1:3" x14ac:dyDescent="0.25">
      <c r="A3910">
        <v>13.837958608026799</v>
      </c>
      <c r="B3910">
        <v>0.01</v>
      </c>
      <c r="C3910">
        <v>0.01</v>
      </c>
    </row>
    <row r="3911" spans="1:3" x14ac:dyDescent="0.25">
      <c r="A3911">
        <v>13.8414904173877</v>
      </c>
      <c r="B3911">
        <v>0.06</v>
      </c>
      <c r="C3911">
        <v>0.12</v>
      </c>
    </row>
    <row r="3912" spans="1:3" x14ac:dyDescent="0.25">
      <c r="A3912">
        <v>13.845022051284699</v>
      </c>
      <c r="B3912">
        <v>0.01</v>
      </c>
      <c r="C3912">
        <v>0.04</v>
      </c>
    </row>
    <row r="3913" spans="1:3" x14ac:dyDescent="0.25">
      <c r="A3913">
        <v>13.8485538691834</v>
      </c>
      <c r="B3913">
        <v>0.06</v>
      </c>
      <c r="C3913">
        <v>0.05</v>
      </c>
    </row>
    <row r="3914" spans="1:3" x14ac:dyDescent="0.25">
      <c r="A3914">
        <v>13.8520856716842</v>
      </c>
      <c r="B3914">
        <v>0.09</v>
      </c>
      <c r="C3914">
        <v>0.1</v>
      </c>
    </row>
    <row r="3915" spans="1:3" x14ac:dyDescent="0.25">
      <c r="A3915">
        <v>13.8556170429896</v>
      </c>
      <c r="B3915">
        <v>0.02</v>
      </c>
      <c r="C3915">
        <v>0</v>
      </c>
    </row>
    <row r="3916" spans="1:3" x14ac:dyDescent="0.25">
      <c r="A3916">
        <v>13.8591496663788</v>
      </c>
      <c r="B3916">
        <v>0</v>
      </c>
      <c r="C3916">
        <v>0</v>
      </c>
    </row>
    <row r="3917" spans="1:3" x14ac:dyDescent="0.25">
      <c r="A3917">
        <v>13.8626861640093</v>
      </c>
      <c r="B3917">
        <v>0.04</v>
      </c>
      <c r="C3917">
        <v>0.1</v>
      </c>
    </row>
    <row r="3918" spans="1:3" x14ac:dyDescent="0.25">
      <c r="A3918">
        <v>13.8662184220552</v>
      </c>
      <c r="B3918">
        <v>0.03</v>
      </c>
      <c r="C3918">
        <v>0.19</v>
      </c>
    </row>
    <row r="3919" spans="1:3" x14ac:dyDescent="0.25">
      <c r="A3919">
        <v>13.869750528550799</v>
      </c>
      <c r="B3919">
        <v>0.05</v>
      </c>
      <c r="C3919">
        <v>0.04</v>
      </c>
    </row>
    <row r="3920" spans="1:3" x14ac:dyDescent="0.25">
      <c r="A3920">
        <v>13.8732883569487</v>
      </c>
      <c r="B3920">
        <v>0.18</v>
      </c>
      <c r="C3920">
        <v>0.2</v>
      </c>
    </row>
    <row r="3921" spans="1:3" x14ac:dyDescent="0.25">
      <c r="A3921">
        <v>13.8768221895893</v>
      </c>
      <c r="B3921">
        <v>0.05</v>
      </c>
      <c r="C3921">
        <v>0.1</v>
      </c>
    </row>
    <row r="3922" spans="1:3" x14ac:dyDescent="0.25">
      <c r="A3922">
        <v>13.880354518940001</v>
      </c>
      <c r="B3922">
        <v>0.16</v>
      </c>
      <c r="C3922">
        <v>0.26</v>
      </c>
    </row>
    <row r="3923" spans="1:3" x14ac:dyDescent="0.25">
      <c r="A3923">
        <v>13.8838865467022</v>
      </c>
      <c r="B3923">
        <v>0.02</v>
      </c>
      <c r="C3923">
        <v>0.04</v>
      </c>
    </row>
    <row r="3924" spans="1:3" x14ac:dyDescent="0.25">
      <c r="A3924">
        <v>13.8874201885969</v>
      </c>
      <c r="B3924">
        <v>0.01</v>
      </c>
      <c r="C3924">
        <v>0.08</v>
      </c>
    </row>
    <row r="3925" spans="1:3" x14ac:dyDescent="0.25">
      <c r="A3925">
        <v>13.8909527814609</v>
      </c>
      <c r="B3925">
        <v>0.12</v>
      </c>
      <c r="C3925">
        <v>0.19</v>
      </c>
    </row>
    <row r="3926" spans="1:3" x14ac:dyDescent="0.25">
      <c r="A3926">
        <v>13.894485084729</v>
      </c>
      <c r="B3926">
        <v>0</v>
      </c>
      <c r="C3926">
        <v>0</v>
      </c>
    </row>
    <row r="3927" spans="1:3" x14ac:dyDescent="0.25">
      <c r="A3927">
        <v>13.8980174141349</v>
      </c>
      <c r="B3927">
        <v>0.1</v>
      </c>
      <c r="C3927">
        <v>0.11</v>
      </c>
    </row>
    <row r="3928" spans="1:3" x14ac:dyDescent="0.25">
      <c r="A3928">
        <v>13.9015506911829</v>
      </c>
      <c r="B3928">
        <v>0</v>
      </c>
      <c r="C3928">
        <v>0</v>
      </c>
    </row>
    <row r="3929" spans="1:3" x14ac:dyDescent="0.25">
      <c r="A3929">
        <v>13.9050836226012</v>
      </c>
      <c r="B3929">
        <v>0.04</v>
      </c>
      <c r="C3929">
        <v>0.1</v>
      </c>
    </row>
    <row r="3930" spans="1:3" x14ac:dyDescent="0.25">
      <c r="A3930">
        <v>13.908615886800799</v>
      </c>
      <c r="B3930">
        <v>0.02</v>
      </c>
      <c r="C3930">
        <v>0.06</v>
      </c>
    </row>
    <row r="3931" spans="1:3" x14ac:dyDescent="0.25">
      <c r="A3931">
        <v>13.91214766743</v>
      </c>
      <c r="B3931">
        <v>0.01</v>
      </c>
      <c r="C3931">
        <v>0.05</v>
      </c>
    </row>
    <row r="3932" spans="1:3" x14ac:dyDescent="0.25">
      <c r="A3932">
        <v>13.9156818903485</v>
      </c>
      <c r="B3932">
        <v>0</v>
      </c>
      <c r="C3932">
        <v>0.05</v>
      </c>
    </row>
    <row r="3933" spans="1:3" x14ac:dyDescent="0.25">
      <c r="A3933">
        <v>13.9192139470798</v>
      </c>
      <c r="B3933">
        <v>0.12</v>
      </c>
      <c r="C3933">
        <v>0.12</v>
      </c>
    </row>
    <row r="3934" spans="1:3" x14ac:dyDescent="0.25">
      <c r="A3934">
        <v>13.922746685942</v>
      </c>
      <c r="B3934">
        <v>0.01</v>
      </c>
      <c r="C3934">
        <v>0.02</v>
      </c>
    </row>
    <row r="3935" spans="1:3" x14ac:dyDescent="0.25">
      <c r="A3935">
        <v>13.926279279368799</v>
      </c>
      <c r="B3935">
        <v>0</v>
      </c>
      <c r="C3935">
        <v>0.05</v>
      </c>
    </row>
    <row r="3936" spans="1:3" x14ac:dyDescent="0.25">
      <c r="A3936">
        <v>13.929813606468599</v>
      </c>
      <c r="B3936">
        <v>0.02</v>
      </c>
      <c r="C3936">
        <v>0.15</v>
      </c>
    </row>
    <row r="3937" spans="1:3" x14ac:dyDescent="0.25">
      <c r="A3937">
        <v>13.9333456356933</v>
      </c>
      <c r="B3937">
        <v>0.01</v>
      </c>
      <c r="C3937">
        <v>0.1</v>
      </c>
    </row>
    <row r="3938" spans="1:3" x14ac:dyDescent="0.25">
      <c r="A3938">
        <v>13.936878064180901</v>
      </c>
      <c r="B3938">
        <v>7.0000000000000007E-2</v>
      </c>
      <c r="C3938">
        <v>0.19</v>
      </c>
    </row>
    <row r="3939" spans="1:3" x14ac:dyDescent="0.25">
      <c r="A3939">
        <v>13.9404117322575</v>
      </c>
      <c r="B3939">
        <v>0.1</v>
      </c>
      <c r="C3939">
        <v>7.0000000000000007E-2</v>
      </c>
    </row>
    <row r="3940" spans="1:3" x14ac:dyDescent="0.25">
      <c r="A3940">
        <v>13.9439438259987</v>
      </c>
      <c r="B3940">
        <v>0.06</v>
      </c>
      <c r="C3940">
        <v>0.02</v>
      </c>
    </row>
    <row r="3941" spans="1:3" x14ac:dyDescent="0.25">
      <c r="A3941">
        <v>13.9474756879442</v>
      </c>
      <c r="B3941">
        <v>0.01</v>
      </c>
      <c r="C3941">
        <v>0.09</v>
      </c>
    </row>
    <row r="3942" spans="1:3" x14ac:dyDescent="0.25">
      <c r="A3942">
        <v>13.9510080130894</v>
      </c>
      <c r="B3942">
        <v>0</v>
      </c>
      <c r="C3942">
        <v>0.03</v>
      </c>
    </row>
    <row r="3943" spans="1:3" x14ac:dyDescent="0.25">
      <c r="A3943">
        <v>13.954539906708099</v>
      </c>
      <c r="B3943">
        <v>0</v>
      </c>
      <c r="C3943">
        <v>0.09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9752-F9A4-481F-9CE3-CA44503790A9}">
  <sheetPr codeName="Sheet14"/>
  <dimension ref="A1:BR41"/>
  <sheetViews>
    <sheetView zoomScale="115" zoomScaleNormal="115" workbookViewId="0">
      <selection activeCell="E23" sqref="E23"/>
    </sheetView>
  </sheetViews>
  <sheetFormatPr defaultRowHeight="15" x14ac:dyDescent="0.25"/>
  <cols>
    <col min="3" max="3" width="12" bestFit="1" customWidth="1"/>
    <col min="4" max="4" width="17.42578125" bestFit="1" customWidth="1"/>
    <col min="5" max="5" width="15" bestFit="1" customWidth="1"/>
    <col min="6" max="6" width="16" bestFit="1" customWidth="1"/>
    <col min="7" max="7" width="13.7109375" bestFit="1" customWidth="1"/>
    <col min="8" max="8" width="21.140625" bestFit="1" customWidth="1"/>
    <col min="9" max="9" width="18.7109375" bestFit="1" customWidth="1"/>
    <col min="10" max="10" width="9.5703125" customWidth="1"/>
    <col min="11" max="11" width="17.5703125" customWidth="1"/>
    <col min="12" max="13" width="16" bestFit="1" customWidth="1"/>
    <col min="14" max="14" width="15.140625" bestFit="1" customWidth="1"/>
    <col min="15" max="15" width="16.5703125" bestFit="1" customWidth="1"/>
    <col min="16" max="16" width="17.85546875" bestFit="1" customWidth="1"/>
    <col min="17" max="17" width="20.140625" bestFit="1" customWidth="1"/>
    <col min="18" max="18" width="14.5703125" bestFit="1" customWidth="1"/>
    <col min="19" max="19" width="14.140625" bestFit="1" customWidth="1"/>
    <col min="20" max="20" width="13.7109375" bestFit="1" customWidth="1"/>
    <col min="21" max="21" width="14.140625" bestFit="1" customWidth="1"/>
    <col min="22" max="22" width="12" bestFit="1" customWidth="1"/>
    <col min="23" max="23" width="13.7109375" bestFit="1" customWidth="1"/>
    <col min="24" max="24" width="11.5703125" bestFit="1" customWidth="1"/>
    <col min="25" max="25" width="13.5703125" bestFit="1" customWidth="1"/>
    <col min="26" max="26" width="17.28515625" bestFit="1" customWidth="1"/>
    <col min="27" max="27" width="18.140625" bestFit="1" customWidth="1"/>
    <col min="28" max="28" width="19.42578125" bestFit="1" customWidth="1"/>
    <col min="29" max="29" width="21" bestFit="1" customWidth="1"/>
    <col min="30" max="30" width="17.28515625" bestFit="1" customWidth="1"/>
    <col min="31" max="31" width="18.85546875" bestFit="1" customWidth="1"/>
    <col min="32" max="32" width="14.5703125" bestFit="1" customWidth="1"/>
    <col min="33" max="33" width="16.140625" bestFit="1" customWidth="1"/>
    <col min="34" max="34" width="19.42578125" bestFit="1" customWidth="1"/>
    <col min="35" max="35" width="21" bestFit="1" customWidth="1"/>
    <col min="36" max="36" width="19.7109375" bestFit="1" customWidth="1"/>
    <col min="37" max="37" width="21.42578125" bestFit="1" customWidth="1"/>
    <col min="38" max="38" width="19.28515625" bestFit="1" customWidth="1"/>
    <col min="39" max="39" width="20.85546875" bestFit="1" customWidth="1"/>
    <col min="40" max="40" width="19" bestFit="1" customWidth="1"/>
    <col min="41" max="41" width="20.5703125" bestFit="1" customWidth="1"/>
    <col min="42" max="42" width="19.42578125" bestFit="1" customWidth="1"/>
    <col min="43" max="43" width="22.140625" bestFit="1" customWidth="1"/>
    <col min="44" max="44" width="12.28515625" bestFit="1" customWidth="1"/>
    <col min="45" max="45" width="14.42578125" bestFit="1" customWidth="1"/>
    <col min="46" max="46" width="21" bestFit="1" customWidth="1"/>
    <col min="47" max="47" width="23.140625" bestFit="1" customWidth="1"/>
    <col min="48" max="48" width="28.42578125" bestFit="1" customWidth="1"/>
    <col min="49" max="49" width="30.5703125" bestFit="1" customWidth="1"/>
    <col min="50" max="50" width="31.28515625" bestFit="1" customWidth="1"/>
    <col min="51" max="51" width="33.28515625" bestFit="1" customWidth="1"/>
    <col min="52" max="52" width="29.28515625" bestFit="1" customWidth="1"/>
    <col min="53" max="53" width="31.42578125" bestFit="1" customWidth="1"/>
    <col min="54" max="54" width="25.85546875" bestFit="1" customWidth="1"/>
    <col min="55" max="55" width="27.85546875" bestFit="1" customWidth="1"/>
    <col min="56" max="56" width="31" bestFit="1" customWidth="1"/>
    <col min="57" max="57" width="33" bestFit="1" customWidth="1"/>
    <col min="58" max="58" width="30.85546875" bestFit="1" customWidth="1"/>
    <col min="59" max="59" width="32.85546875" bestFit="1" customWidth="1"/>
    <col min="60" max="60" width="31.28515625" bestFit="1" customWidth="1"/>
    <col min="61" max="61" width="33.28515625" bestFit="1" customWidth="1"/>
    <col min="62" max="62" width="30.85546875" bestFit="1" customWidth="1"/>
    <col min="63" max="63" width="32.85546875" bestFit="1" customWidth="1"/>
    <col min="64" max="64" width="31.28515625" bestFit="1" customWidth="1"/>
    <col min="65" max="65" width="33.28515625" bestFit="1" customWidth="1"/>
    <col min="66" max="66" width="23.5703125" bestFit="1" customWidth="1"/>
    <col min="67" max="67" width="25.7109375" bestFit="1" customWidth="1"/>
    <col min="68" max="68" width="32.28515625" bestFit="1" customWidth="1"/>
    <col min="69" max="69" width="34.42578125" bestFit="1" customWidth="1"/>
    <col min="70" max="70" width="34.140625" bestFit="1" customWidth="1"/>
  </cols>
  <sheetData>
    <row r="1" spans="1:70" x14ac:dyDescent="0.25">
      <c r="A1" s="93" t="str">
        <f>CellCount_Viability!A1</f>
        <v>Date</v>
      </c>
      <c r="B1" s="93" t="str">
        <f>CellCount_Viability!B1</f>
        <v>Time (h)</v>
      </c>
      <c r="C1" s="93" t="str">
        <f>CellCount_Viability!C1</f>
        <v>Time (days)</v>
      </c>
      <c r="D1" s="93" t="s">
        <v>218</v>
      </c>
      <c r="E1" s="93" t="s">
        <v>219</v>
      </c>
      <c r="F1" s="93" t="s">
        <v>220</v>
      </c>
      <c r="G1" s="93" t="s">
        <v>221</v>
      </c>
      <c r="H1" s="93" t="s">
        <v>222</v>
      </c>
      <c r="I1" s="93" t="s">
        <v>223</v>
      </c>
      <c r="J1" s="93" t="s">
        <v>224</v>
      </c>
      <c r="K1" s="93" t="s">
        <v>225</v>
      </c>
      <c r="L1" s="93" t="s">
        <v>226</v>
      </c>
      <c r="M1" s="93" t="s">
        <v>227</v>
      </c>
      <c r="N1" s="93" t="s">
        <v>228</v>
      </c>
      <c r="O1" s="93" t="s">
        <v>229</v>
      </c>
      <c r="P1" s="93" t="s">
        <v>230</v>
      </c>
      <c r="Q1" s="93" t="s">
        <v>231</v>
      </c>
      <c r="R1" s="93" t="s">
        <v>232</v>
      </c>
      <c r="S1" s="93" t="s">
        <v>233</v>
      </c>
      <c r="T1" s="93" t="s">
        <v>234</v>
      </c>
      <c r="U1" s="93" t="s">
        <v>236</v>
      </c>
      <c r="V1" s="93" t="s">
        <v>235</v>
      </c>
      <c r="W1" s="93" t="s">
        <v>237</v>
      </c>
      <c r="X1" s="93" t="s">
        <v>238</v>
      </c>
      <c r="Y1" s="93" t="s">
        <v>239</v>
      </c>
      <c r="Z1" s="93" t="s">
        <v>240</v>
      </c>
      <c r="AA1" s="93" t="s">
        <v>241</v>
      </c>
      <c r="AB1" s="93" t="s">
        <v>242</v>
      </c>
      <c r="AC1" s="93" t="s">
        <v>243</v>
      </c>
      <c r="AD1" s="93" t="s">
        <v>244</v>
      </c>
      <c r="AE1" s="93" t="s">
        <v>245</v>
      </c>
      <c r="AF1" s="93" t="s">
        <v>246</v>
      </c>
      <c r="AG1" s="93" t="s">
        <v>247</v>
      </c>
      <c r="AH1" s="93" t="s">
        <v>248</v>
      </c>
      <c r="AI1" s="93" t="s">
        <v>249</v>
      </c>
      <c r="AJ1" s="93" t="s">
        <v>250</v>
      </c>
      <c r="AK1" s="93" t="s">
        <v>251</v>
      </c>
      <c r="AL1" s="93" t="s">
        <v>252</v>
      </c>
      <c r="AM1" s="93" t="s">
        <v>253</v>
      </c>
      <c r="AN1" s="93" t="s">
        <v>254</v>
      </c>
      <c r="AO1" s="93" t="s">
        <v>255</v>
      </c>
      <c r="AP1" s="93" t="s">
        <v>256</v>
      </c>
      <c r="AQ1" s="93" t="s">
        <v>257</v>
      </c>
      <c r="AR1" s="93" t="s">
        <v>258</v>
      </c>
      <c r="AS1" s="93" t="s">
        <v>259</v>
      </c>
      <c r="AT1" s="93" t="s">
        <v>260</v>
      </c>
      <c r="AU1" s="93" t="s">
        <v>261</v>
      </c>
      <c r="AV1" s="93" t="s">
        <v>262</v>
      </c>
      <c r="AW1" s="93" t="s">
        <v>263</v>
      </c>
      <c r="AX1" s="93" t="s">
        <v>264</v>
      </c>
      <c r="AY1" s="93" t="s">
        <v>265</v>
      </c>
      <c r="AZ1" s="93" t="s">
        <v>266</v>
      </c>
      <c r="BA1" s="93" t="s">
        <v>267</v>
      </c>
      <c r="BB1" s="93" t="s">
        <v>268</v>
      </c>
      <c r="BC1" s="93" t="s">
        <v>269</v>
      </c>
      <c r="BD1" s="93" t="s">
        <v>270</v>
      </c>
      <c r="BE1" s="93" t="s">
        <v>271</v>
      </c>
      <c r="BF1" s="93" t="s">
        <v>272</v>
      </c>
      <c r="BG1" s="93" t="s">
        <v>273</v>
      </c>
      <c r="BH1" s="93" t="s">
        <v>274</v>
      </c>
      <c r="BI1" s="93" t="s">
        <v>275</v>
      </c>
      <c r="BJ1" s="93" t="s">
        <v>276</v>
      </c>
      <c r="BK1" s="93" t="s">
        <v>277</v>
      </c>
      <c r="BL1" s="93" t="s">
        <v>278</v>
      </c>
      <c r="BM1" s="93" t="s">
        <v>279</v>
      </c>
      <c r="BN1" s="93" t="s">
        <v>280</v>
      </c>
      <c r="BO1" s="93" t="s">
        <v>281</v>
      </c>
      <c r="BP1" s="93" t="s">
        <v>282</v>
      </c>
      <c r="BQ1" s="93" t="s">
        <v>283</v>
      </c>
      <c r="BR1" s="93" t="s">
        <v>284</v>
      </c>
    </row>
    <row r="2" spans="1:70" x14ac:dyDescent="0.25">
      <c r="A2">
        <f>CellCount_Viability!A2</f>
        <v>46268</v>
      </c>
      <c r="B2" s="69">
        <f>CellCount_Viability!B2</f>
        <v>0</v>
      </c>
      <c r="C2" s="63">
        <f>CellCount_Viability!C2</f>
        <v>0</v>
      </c>
      <c r="D2" s="11">
        <f>IF(ISERROR(CellCount_Viability!E2), CellCount_Viability!H2, IF(ISERROR(CellCount_Viability!H2), CellCount_Viability!E2, AVERAGE(CellCount_Viability!E2, CellCount_Viability!H2)))</f>
        <v>4830000</v>
      </c>
      <c r="E2" s="11">
        <f>IF(ISERROR(CellCount_Viability!E2),0,IF(ISERROR(CellCount_Viability!H2),0,STDEV(CellCount_Viability!E2,CellCount_Viability!H2)))</f>
        <v>381837.66184073564</v>
      </c>
      <c r="F2" s="92">
        <f>IF(ISERROR(CellCount_Viability!F2), CellCount_Viability!I2, IF(ISERROR(CellCount_Viability!I2), CellCount_Viability!F2, AVERAGE(CellCount_Viability!F2, CellCount_Viability!I2)))</f>
        <v>0.99256965944272446</v>
      </c>
      <c r="G2" s="92">
        <f>IF(ISERROR(CellCount_Viability!F2),0,IF(ISERROR(CellCount_Viability!I2),0,STDEV(CellCount_Viability!F2,CellCount_Viability!I2)))</f>
        <v>5.8378268828607226E-4</v>
      </c>
      <c r="H2" s="92">
        <f>IF(ISERROR(Cone_viability!E2), Cone_viability!J2, IF(ISERROR(Cone_viability!J2), Cone_viability!E2, AVERAGE(Cone_viability!E2, Cone_viability!J2)))</f>
        <v>0.87855686608626637</v>
      </c>
      <c r="I2" s="92">
        <f>IF(ISERROR(Cone_viability!E2),0,IF(ISERROR(Cone_viability!J2),0,STDEV(Cone_viability!E2,Cone_viability!J2)))</f>
        <v>5.2387313900677081E-3</v>
      </c>
      <c r="J2" s="96">
        <f>IF(ISERROR(Attenuation!D3), Attenuation!E3, IF(ISERROR(Attenuation!E3), Attenuation!D3, AVERAGE(Attenuation!D3, Attenuation!E3)))</f>
        <v>17.683</v>
      </c>
      <c r="K2" s="96">
        <f>IF(ISERROR(Attenuation!D3),0,IF(ISERROR(Attenuation!E3),0,STDEV(Attenuation!D3,Attenuation!E3)))</f>
        <v>0.64629559800450553</v>
      </c>
      <c r="L2" s="96">
        <f>IF(ISERROR(pH!D3), pH!E3, IF(ISERROR(pH!E3), pH!D3, AVERAGE(pH!D3, pH!E3)))</f>
        <v>5.2519499999999999</v>
      </c>
      <c r="M2" s="96">
        <f>IF(ISERROR(pH!D3),0,IF(ISERROR(pH!E3),0,STDEV(pH!D3,pH!E3)))</f>
        <v>0.41302107089106327</v>
      </c>
      <c r="N2" s="96">
        <f>IF(ISERROR(HPLC!D2), HPLC!J2, IF(ISERROR( HPLC!J2), HPLC!D2, AVERAGE(HPLC!D2,  HPLC!J2)))</f>
        <v>26.902534398497334</v>
      </c>
      <c r="O2" s="96">
        <f>IF(ISERROR( HPLC!D2),0,IF(ISERROR( HPLC!J2),0,STDEV( HPLC!D2, HPLC!J2)))</f>
        <v>0.71731179596506955</v>
      </c>
      <c r="P2" s="96">
        <f>IF(ISERROR(HPLC!E2), HPLC!K2, IF(ISERROR( HPLC!K2), HPLC!E2, AVERAGE(HPLC!E2,  HPLC!K2)))</f>
        <v>86.301668781724842</v>
      </c>
      <c r="Q2" s="96">
        <f>IF(ISERROR( HPLC!E2),0,IF(ISERROR( HPLC!K2),0,STDEV( HPLC!E2, HPLC!K2)))</f>
        <v>1.1471718029284284</v>
      </c>
      <c r="R2" s="96">
        <f>IF(ISERROR(HPLC!F2), HPLC!L2, IF(ISERROR( HPLC!L2), HPLC!F2, AVERAGE(HPLC!F2,  HPLC!L2)))</f>
        <v>20.093827215081717</v>
      </c>
      <c r="S2" s="96">
        <f>IF(ISERROR( HPLC!F2),0,IF(ISERROR( HPLC!L2),0,STDEV( HPLC!F2, HPLC!L2)))</f>
        <v>9.8718367723007003E-2</v>
      </c>
      <c r="T2" s="96">
        <f>IF(ISERROR(HPLC!G2), HPLC!M2, IF(ISERROR( HPLC!M2), HPLC!G2, AVERAGE(HPLC!M2,  HPLC!G2)))</f>
        <v>7.7424308704324556</v>
      </c>
      <c r="U2" s="96">
        <f>IF(ISERROR( HPLC!M2),0,IF(ISERROR( HPLC!G2),0,STDEV( HPLC!M2, HPLC!G2)))</f>
        <v>0.15132499724331666</v>
      </c>
      <c r="V2" s="96">
        <f>IF(ISERROR(HPLC!H2), HPLC!N2, IF(ISERROR( HPLC!N2), HPLC!H2, AVERAGE(HPLC!H2,  HPLC!N2)))</f>
        <v>0</v>
      </c>
      <c r="W2" s="96">
        <f>IF(ISERROR( HPLC!H2),0,IF(ISERROR( HPLC!N2),0,STDEV( HPLC!H2, HPLC!N2)))</f>
        <v>0</v>
      </c>
      <c r="X2" s="96">
        <f>IF(ISERROR(HPLC!I2), HPLC!O2, IF(ISERROR( HPLC!O2), HPLC!I2, AVERAGE(HPLC!I2,  HPLC!O2)))</f>
        <v>0.46532151895670093</v>
      </c>
      <c r="Y2" s="96">
        <f>IF(ISERROR( HPLC!I2),0,IF(ISERROR( HPLC!O2),0,STDEV( HPLC!I2, HPLC!O2)))</f>
        <v>0.23379993426068715</v>
      </c>
      <c r="Z2" s="96">
        <f>IF(ISERROR(GC_esters!D2), GC_esters!N2, IF(ISERROR(GC_esters!N2), GC_esters!D2, AVERAGE(GC_esters!D2,  GC_esters!N2)))</f>
        <v>3.5000000000000003E-2</v>
      </c>
      <c r="AA2" s="96">
        <f>IF(ISERROR(GC_esters!D2),0,IF(ISERROR(GC_esters!N2),0,STDEV(GC_esters!D2, GC_esters!N2)))</f>
        <v>4.9497474683058332E-2</v>
      </c>
      <c r="AB2" s="96">
        <f>IF(ISERROR(GC_esters!F2), GC_esters!P2, IF(ISERROR(GC_esters!P2), GC_esters!F2, AVERAGE(GC_esters!F2,  GC_esters!P2)))</f>
        <v>0</v>
      </c>
      <c r="AC2" s="96">
        <f>IF(ISERROR(GC_esters!F2),0,IF(ISERROR(GC_esters!P2),0,STDEV(GC_esters!F2, GC_esters!P2)))</f>
        <v>0</v>
      </c>
      <c r="AD2" s="96">
        <f>IF(ISERROR(GC_esters!G2), GC_esters!Q2, IF(ISERROR(GC_esters!Q2), GC_esters!G2, AVERAGE(GC_esters!G2,  GC_esters!Q2)))</f>
        <v>0</v>
      </c>
      <c r="AE2" s="96">
        <f>IF(ISERROR(GC_esters!G2),0,IF(ISERROR(GC_esters!Q2),0,STDEV(GC_esters!G2, GC_esters!Q2)))</f>
        <v>0</v>
      </c>
      <c r="AF2" s="96">
        <f>IF(ISERROR(GC_esters!H2), GC_esters!R2, IF(ISERROR(GC_esters!R2), GC_esters!H2, AVERAGE(GC_esters!H2,  GC_esters!R2)))</f>
        <v>0.48749999999999999</v>
      </c>
      <c r="AG2" s="96">
        <f>IF(ISERROR(GC_esters!H2),0,IF(ISERROR(GC_esters!R2),0,STDEV(GC_esters!H2, GC_esters!R2)))</f>
        <v>3.5355339059327407E-3</v>
      </c>
      <c r="AH2" s="96">
        <f>IF(ISERROR(GC_esters!I2), GC_esters!S2, IF(ISERROR(GC_esters!S2), GC_esters!I2, AVERAGE(GC_esters!I2,  GC_esters!S2)))</f>
        <v>0</v>
      </c>
      <c r="AI2" s="96">
        <f>IF(ISERROR(GC_esters!I2),0,IF(ISERROR(GC_esters!S2),0,STDEV(GC_esters!I2, GC_esters!S2)))</f>
        <v>0</v>
      </c>
      <c r="AJ2" s="96">
        <f>IF(ISERROR(GC_esters!J2), GC_esters!T2, IF(ISERROR(GC_esters!T2), GC_esters!J2, AVERAGE(GC_esters!J2,  GC_esters!T2)))</f>
        <v>3.5825</v>
      </c>
      <c r="AK2" s="96">
        <f>IF(ISERROR(GC_esters!J2),0,IF(ISERROR(GC_esters!T2),0,STDEV(GC_esters!J2, GC_esters!T2)))</f>
        <v>8.8388347648318447E-2</v>
      </c>
      <c r="AL2" s="96">
        <f>IF(ISERROR(GC_esters!K2), GC_esters!U2, IF(ISERROR(GC_esters!U2), GC_esters!K2, AVERAGE(GC_esters!K2,  GC_esters!U2)))</f>
        <v>0</v>
      </c>
      <c r="AM2" s="96">
        <f>IF(ISERROR(GC_esters!K2),0,IF(ISERROR(GC_esters!U2),0,STDEV(GC_esters!K2, GC_esters!U2)))</f>
        <v>0</v>
      </c>
      <c r="AN2" s="96">
        <f>IF(ISERROR(GC_esters!L2), GC_esters!V2, IF(ISERROR(GC_esters!V2), GC_esters!L2, AVERAGE(GC_esters!L2,  GC_esters!V2)))</f>
        <v>0</v>
      </c>
      <c r="AO2" s="96">
        <f>IF(ISERROR(GC_esters!L2),0,IF(ISERROR(GC_esters!V2),0,STDEV(GC_esters!L2, GC_esters!V2)))</f>
        <v>0</v>
      </c>
      <c r="AP2" s="96">
        <f>IF(ISERROR(GC_esters!M2), GC_esters!W2, IF(ISERROR(GC_esters!W2), GC_esters!M2, AVERAGE(GC_esters!M2,  GC_esters!W2)))</f>
        <v>0</v>
      </c>
      <c r="AQ2" s="96">
        <f>IF(ISERROR(GC_esters!M2),0,IF(ISERROR(GC_esters!W2),0,STDEV(GC_esters!M2, GC_esters!W2)))</f>
        <v>0</v>
      </c>
      <c r="AR2" s="96">
        <f>IF(ISERROR(GC_ketones!D2), GC_ketones!F2, IF(ISERROR(GC_ketones!F2), GC_ketones!D2, AVERAGE(GC_ketones!D2, GC_ketones!F2)))</f>
        <v>97.25</v>
      </c>
      <c r="AS2" s="96">
        <f>IF(ISERROR(GC_ketones!D2),0,IF(ISERROR(GC_ketones!F2),0,STDEV(GC_ketones!D2, GC_ketones!F2)))</f>
        <v>0.35355339059327379</v>
      </c>
      <c r="AT2" s="96">
        <f>IF(ISERROR(GC_ketones!E2), GC_ketones!G2, IF(ISERROR(GC_ketones!G2), GC_ketones!E2, AVERAGE(GC_ketones!E2, GC_ketones!G2)))</f>
        <v>19.25</v>
      </c>
      <c r="AU2" s="96">
        <f>IF(ISERROR(GC_ketones!E2),0,IF(ISERROR(GC_ketones!G2),0,STDEV(GC_ketones!E2, GC_ketones!G2)))</f>
        <v>0.35355339059327379</v>
      </c>
      <c r="AV2">
        <f>Z2*36.6/$X2</f>
        <v>2.7529352239546858</v>
      </c>
      <c r="AW2">
        <f>IF(Z2=0,0,SQRT((AA2/Z2)^2+($Y2/$X2)^2))</f>
        <v>1.5008178233601948</v>
      </c>
      <c r="AX2">
        <f t="shared" ref="AX2:BP17" si="0">AB2*36.6/$X2</f>
        <v>0</v>
      </c>
      <c r="AY2">
        <f>IF(AB2=0,0,SQRT((AC2/AB2)^2+($Y2/$X2)^2))</f>
        <v>0</v>
      </c>
      <c r="AZ2">
        <f t="shared" si="0"/>
        <v>0</v>
      </c>
      <c r="BA2">
        <f>IF(AD2=0,0,SQRT((AE2/AD2)^2+($Y2/$X2)^2))</f>
        <v>0</v>
      </c>
      <c r="BB2">
        <f t="shared" si="0"/>
        <v>38.344454905083126</v>
      </c>
      <c r="BC2">
        <f>IF(AF2=0,0,SQRT((AG2/AF2)^2+($Y2/$X2)^2))</f>
        <v>0.50250048347370424</v>
      </c>
      <c r="BD2">
        <f t="shared" si="0"/>
        <v>0</v>
      </c>
      <c r="BE2">
        <f>IF(AH2=0,0,SQRT((AI2/AH2)^2+($Y2/$X2)^2))</f>
        <v>0</v>
      </c>
      <c r="BF2">
        <f t="shared" si="0"/>
        <v>281.78258399479034</v>
      </c>
      <c r="BG2">
        <f>IF(AJ2=0,0,SQRT((AK2/AJ2)^2+($Y2/$X2)^2))</f>
        <v>0.50305353492575855</v>
      </c>
      <c r="BH2">
        <f t="shared" si="0"/>
        <v>0</v>
      </c>
      <c r="BI2">
        <f>IF(AL2=0,0,SQRT((AM2/AL2)^2+($Y2/$X2)^2))</f>
        <v>0</v>
      </c>
      <c r="BJ2">
        <f t="shared" si="0"/>
        <v>0</v>
      </c>
      <c r="BK2">
        <f>IF(AN2=0,0,SQRT((AO2/AN2)^2+($Y2/$X2)^2))</f>
        <v>0</v>
      </c>
      <c r="BL2">
        <f t="shared" si="0"/>
        <v>0</v>
      </c>
      <c r="BM2">
        <f>IF(AP2=0,0,SQRT((AQ2/AP2)^2+($Y2/$X2)^2))</f>
        <v>0</v>
      </c>
      <c r="BN2">
        <f t="shared" si="0"/>
        <v>7649.2271579883773</v>
      </c>
      <c r="BO2">
        <f>IF(AR2=0,0,SQRT((AS2/AR2)^2+($Y2/$X2)^2))</f>
        <v>0.50246129786463611</v>
      </c>
      <c r="BP2">
        <f t="shared" si="0"/>
        <v>1514.1143731750774</v>
      </c>
      <c r="BQ2">
        <f>IF(AT2=0,0,SQRT((AU2/AT2)^2+($Y2/$X2)^2))</f>
        <v>0.50278371485986129</v>
      </c>
      <c r="BR2">
        <f>IF(AND(Z2&lt;&gt;0,AH2&lt;&gt;0),Z2/AH2,0)</f>
        <v>0</v>
      </c>
    </row>
    <row r="3" spans="1:70" x14ac:dyDescent="0.25">
      <c r="A3">
        <f>CellCount_Viability!A3</f>
        <v>46269</v>
      </c>
      <c r="B3" s="69">
        <f>CellCount_Viability!B3</f>
        <v>24</v>
      </c>
      <c r="C3" s="63">
        <f>CellCount_Viability!C3</f>
        <v>1</v>
      </c>
      <c r="D3" s="11">
        <f>IF(ISERROR(CellCount_Viability!E3), CellCount_Viability!H3, IF(ISERROR(CellCount_Viability!H3), CellCount_Viability!E3, AVERAGE(CellCount_Viability!E3, CellCount_Viability!H3)))</f>
        <v>13700000</v>
      </c>
      <c r="E3" s="11">
        <f>IF(ISERROR(CellCount_Viability!E3),0,IF(ISERROR(CellCount_Viability!H3),0,STDEV(CellCount_Viability!E3,CellCount_Viability!H3)))</f>
        <v>707106.78118654748</v>
      </c>
      <c r="F3" s="92">
        <f>IF(ISERROR(CellCount_Viability!F3), CellCount_Viability!I3, IF(ISERROR(CellCount_Viability!I3), CellCount_Viability!F3, AVERAGE(CellCount_Viability!F3, CellCount_Viability!I3)))</f>
        <v>0.99577144686299612</v>
      </c>
      <c r="G3" s="92">
        <f>IF(ISERROR(CellCount_Viability!F3),0,IF(ISERROR(CellCount_Viability!I3),0,STDEV(CellCount_Viability!F3,CellCount_Viability!I3)))</f>
        <v>1.946580767670767E-4</v>
      </c>
      <c r="J3" s="96">
        <f>IF(ISERROR(Attenuation!D4), Attenuation!E4, IF(ISERROR(Attenuation!E4), Attenuation!D4, AVERAGE(Attenuation!D4, Attenuation!E4)))</f>
        <v>16.766000000000002</v>
      </c>
      <c r="K3" s="96">
        <f>IF(ISERROR(Attenuation!D4),0,IF(ISERROR(Attenuation!E4),0,STDEV(Attenuation!D4,Attenuation!E4)))</f>
        <v>0.23475945135393431</v>
      </c>
      <c r="L3" s="96">
        <f>IF(ISERROR(pH!D4), pH!E4, IF(ISERROR(pH!E4), pH!D4, AVERAGE(pH!D4, pH!E4)))</f>
        <v>4.8378999999999994</v>
      </c>
      <c r="M3" s="96">
        <f>IF(ISERROR(pH!D4),0,IF(ISERROR(pH!E4),0,STDEV(pH!D4,pH!E4)))</f>
        <v>6.7740829637671016E-2</v>
      </c>
      <c r="N3" s="96">
        <f>IF(ISERROR(HPLC!D3), HPLC!J3, IF(ISERROR( HPLC!J3), HPLC!D3, AVERAGE(HPLC!D3,  HPLC!J3)))</f>
        <v>25.225284022607482</v>
      </c>
      <c r="O3" s="96">
        <f>IF(ISERROR( HPLC!D3),0,IF(ISERROR( HPLC!J3),0,STDEV( HPLC!D3, HPLC!J3)))</f>
        <v>0.60719837758122297</v>
      </c>
      <c r="P3" s="96">
        <f>IF(ISERROR(HPLC!E3), HPLC!K3, IF(ISERROR( HPLC!K3), HPLC!E3, AVERAGE(HPLC!E3,  HPLC!K3)))</f>
        <v>73</v>
      </c>
      <c r="Q3" s="96">
        <f>IF(ISERROR( HPLC!E3),0,IF(ISERROR( HPLC!K3),0,STDEV( HPLC!E3, HPLC!K3)))</f>
        <v>4.9497474683058327</v>
      </c>
      <c r="R3" s="96">
        <f>IF(ISERROR(HPLC!F3), HPLC!L3, IF(ISERROR( HPLC!L3), HPLC!F3, AVERAGE(HPLC!F3,  HPLC!L3)))</f>
        <v>14.946589776906603</v>
      </c>
      <c r="S3" s="96">
        <f>IF(ISERROR( HPLC!F3),0,IF(ISERROR( HPLC!L3),0,STDEV( HPLC!F3, HPLC!L3)))</f>
        <v>7.3430657584941661E-2</v>
      </c>
      <c r="T3" s="96">
        <f>IF(ISERROR(HPLC!G3), HPLC!M3, IF(ISERROR( HPLC!M3), HPLC!G3, AVERAGE(HPLC!M3,  HPLC!G3)))</f>
        <v>6.2728056401519279</v>
      </c>
      <c r="U3" s="96">
        <f>IF(ISERROR( HPLC!M3),0,IF(ISERROR( HPLC!G3),0,STDEV( HPLC!M3, HPLC!G3)))</f>
        <v>0.12260132664908541</v>
      </c>
      <c r="V3" s="96">
        <f>IF(ISERROR(HPLC!H3), HPLC!N3, IF(ISERROR( HPLC!N3), HPLC!H3, AVERAGE(HPLC!H3,  HPLC!N3)))</f>
        <v>0.44791637505443749</v>
      </c>
      <c r="W3" s="96">
        <f>IF(ISERROR( HPLC!H3),0,IF(ISERROR( HPLC!N3),0,STDEV( HPLC!H3, HPLC!N3)))</f>
        <v>2.2254082013151771E-3</v>
      </c>
      <c r="X3" s="96">
        <f>IF(ISERROR(HPLC!I3), HPLC!O3, IF(ISERROR( HPLC!O3), HPLC!I3, AVERAGE(HPLC!I3,  HPLC!O3)))</f>
        <v>4.75</v>
      </c>
      <c r="Y3" s="96">
        <f>IF(ISERROR( HPLC!I3),0,IF(ISERROR( HPLC!O3),0,STDEV( HPLC!I3, HPLC!O3)))</f>
        <v>0.141421356237309</v>
      </c>
      <c r="Z3" s="96">
        <f>IF(ISERROR(GC_esters!D3), GC_esters!N3, IF(ISERROR(GC_esters!N3), GC_esters!D3, AVERAGE(GC_esters!D3,  GC_esters!N3)))</f>
        <v>0.48749999999999999</v>
      </c>
      <c r="AA3" s="96">
        <f>IF(ISERROR(GC_esters!D3),0,IF(ISERROR(GC_esters!N3),0,STDEV(GC_esters!D3, GC_esters!N3)))</f>
        <v>2.4748737341529183E-2</v>
      </c>
      <c r="AB3" s="96">
        <f>IF(ISERROR(GC_esters!F3), GC_esters!P3, IF(ISERROR(GC_esters!P3), GC_esters!F3, AVERAGE(GC_esters!F3,  GC_esters!P3)))</f>
        <v>0</v>
      </c>
      <c r="AC3" s="96">
        <f>IF(ISERROR(GC_esters!F3),0,IF(ISERROR(GC_esters!P3),0,STDEV(GC_esters!F3, GC_esters!P3)))</f>
        <v>0</v>
      </c>
      <c r="AD3" s="96">
        <f>IF(ISERROR(GC_esters!G3), GC_esters!Q3, IF(ISERROR(GC_esters!Q3), GC_esters!G3, AVERAGE(GC_esters!G3,  GC_esters!Q3)))</f>
        <v>0.13250000000000001</v>
      </c>
      <c r="AE3" s="96">
        <f>IF(ISERROR(GC_esters!G3),0,IF(ISERROR(GC_esters!Q3),0,STDEV(GC_esters!G3, GC_esters!Q3)))</f>
        <v>3.5355339059327407E-3</v>
      </c>
      <c r="AF3" s="96">
        <f>IF(ISERROR(GC_esters!H3), GC_esters!R3, IF(ISERROR(GC_esters!R3), GC_esters!H3, AVERAGE(GC_esters!H3,  GC_esters!R3)))</f>
        <v>2.0724999999999998</v>
      </c>
      <c r="AG3" s="96">
        <f>IF(ISERROR(GC_esters!H3),0,IF(ISERROR(GC_esters!R3),0,STDEV(GC_esters!H3, GC_esters!R3)))</f>
        <v>0.13081475451951133</v>
      </c>
      <c r="AH3" s="96">
        <f>IF(ISERROR(GC_esters!I3), GC_esters!S3, IF(ISERROR(GC_esters!S3), GC_esters!I3, AVERAGE(GC_esters!I3,  GC_esters!S3)))</f>
        <v>6.5000000000000002E-2</v>
      </c>
      <c r="AI3" s="96">
        <f>IF(ISERROR(GC_esters!I3),0,IF(ISERROR(GC_esters!S3),0,STDEV(GC_esters!I3, GC_esters!S3)))</f>
        <v>7.0710678118654814E-3</v>
      </c>
      <c r="AJ3" s="96">
        <f>IF(ISERROR(GC_esters!J3), GC_esters!T3, IF(ISERROR(GC_esters!T3), GC_esters!J3, AVERAGE(GC_esters!J3,  GC_esters!T3)))</f>
        <v>20.185000000000002</v>
      </c>
      <c r="AK3" s="96">
        <f>IF(ISERROR(GC_esters!J3),0,IF(ISERROR(GC_esters!T3),0,STDEV(GC_esters!J3, GC_esters!T3)))</f>
        <v>1.1384419177103435</v>
      </c>
      <c r="AL3" s="96">
        <f>IF(ISERROR(GC_esters!K3), GC_esters!U3, IF(ISERROR(GC_esters!U3), GC_esters!K3, AVERAGE(GC_esters!K3,  GC_esters!U3)))</f>
        <v>0</v>
      </c>
      <c r="AM3" s="96">
        <f>IF(ISERROR(GC_esters!K3),0,IF(ISERROR(GC_esters!U3),0,STDEV(GC_esters!K3, GC_esters!U3)))</f>
        <v>0</v>
      </c>
      <c r="AN3" s="96">
        <f>IF(ISERROR(GC_esters!L3), GC_esters!V3, IF(ISERROR(GC_esters!V3), GC_esters!L3, AVERAGE(GC_esters!L3,  GC_esters!V3)))</f>
        <v>0</v>
      </c>
      <c r="AO3" s="96">
        <f>IF(ISERROR(GC_esters!L3),0,IF(ISERROR(GC_esters!V3),0,STDEV(GC_esters!L3, GC_esters!V3)))</f>
        <v>0</v>
      </c>
      <c r="AP3" s="96">
        <f>IF(ISERROR(GC_esters!M3), GC_esters!W3, IF(ISERROR(GC_esters!W3), GC_esters!M3, AVERAGE(GC_esters!M3,  GC_esters!W3)))</f>
        <v>0</v>
      </c>
      <c r="AQ3" s="96">
        <f>IF(ISERROR(GC_esters!M3),0,IF(ISERROR(GC_esters!W3),0,STDEV(GC_esters!M3, GC_esters!W3)))</f>
        <v>0</v>
      </c>
      <c r="AR3" s="96">
        <f>IF(ISERROR(GC_ketones!D3), GC_ketones!F3, IF(ISERROR(GC_ketones!F3), GC_ketones!D3, AVERAGE(GC_ketones!D3, GC_ketones!F3)))</f>
        <v>721.75</v>
      </c>
      <c r="AS3" s="96">
        <f>IF(ISERROR(GC_ketones!D3),0,IF(ISERROR(GC_ketones!F3),0,STDEV(GC_ketones!D3, GC_ketones!F3)))</f>
        <v>21.5667568261897</v>
      </c>
      <c r="AT3" s="96">
        <f>IF(ISERROR(GC_ketones!E3), GC_ketones!G3, IF(ISERROR(GC_ketones!G3), GC_ketones!E3, AVERAGE(GC_ketones!E3, GC_ketones!G3)))</f>
        <v>466.75</v>
      </c>
      <c r="AU3" s="96">
        <f>IF(ISERROR(GC_ketones!E3),0,IF(ISERROR(GC_ketones!G3),0,STDEV(GC_ketones!E3, GC_ketones!G3)))</f>
        <v>13.788582233137676</v>
      </c>
      <c r="AV3">
        <f>Z3*36.6/$X3</f>
        <v>3.7563157894736845</v>
      </c>
      <c r="AW3">
        <f t="shared" ref="AW3:AW21" si="1">IF(Z3=0,0,SQRT((AA3/Z3)^2+(Y3/X3)^2))</f>
        <v>5.8853023718572185E-2</v>
      </c>
      <c r="AX3">
        <f t="shared" si="0"/>
        <v>0</v>
      </c>
      <c r="AY3">
        <f t="shared" ref="AY3:AY21" si="2">IF(AB3=0,0,SQRT((AC3/AB3)^2+($Y3/$X3)^2))</f>
        <v>0</v>
      </c>
      <c r="AZ3">
        <f t="shared" si="0"/>
        <v>1.0209473684210528</v>
      </c>
      <c r="BA3">
        <f t="shared" ref="BA3:BA21" si="3">IF(AD3=0,0,SQRT((AE3/AD3)^2+($Y3/$X3)^2))</f>
        <v>3.9980291955026677E-2</v>
      </c>
      <c r="BB3">
        <f t="shared" si="0"/>
        <v>15.969157894736842</v>
      </c>
      <c r="BC3">
        <f t="shared" ref="BC3:BC21" si="4">IF(AF3=0,0,SQRT((AG3/AF3)^2+($Y3/$X3)^2))</f>
        <v>6.9788773783900193E-2</v>
      </c>
      <c r="BD3">
        <f t="shared" si="0"/>
        <v>0.50084210526315787</v>
      </c>
      <c r="BE3">
        <f t="shared" ref="BE3:BE21" si="5">IF(AH3=0,0,SQRT((AI3/AH3)^2+($Y3/$X3)^2))</f>
        <v>0.11278628515659612</v>
      </c>
      <c r="BF3">
        <f t="shared" si="0"/>
        <v>155.53073684210528</v>
      </c>
      <c r="BG3">
        <f t="shared" ref="BG3:BG21" si="6">IF(AJ3=0,0,SQRT((AK3/AJ3)^2+($Y3/$X3)^2))</f>
        <v>6.3776412877778577E-2</v>
      </c>
      <c r="BH3">
        <f t="shared" si="0"/>
        <v>0</v>
      </c>
      <c r="BI3">
        <f t="shared" ref="BI3:BI21" si="7">IF(AL3=0,0,SQRT((AM3/AL3)^2+($Y3/$X3)^2))</f>
        <v>0</v>
      </c>
      <c r="BJ3">
        <f t="shared" si="0"/>
        <v>0</v>
      </c>
      <c r="BK3">
        <f t="shared" ref="BK3:BK21" si="8">IF(AN3=0,0,SQRT((AO3/AN3)^2+($Y3/$X3)^2))</f>
        <v>0</v>
      </c>
      <c r="BL3">
        <f t="shared" si="0"/>
        <v>0</v>
      </c>
      <c r="BM3">
        <f t="shared" ref="BM3:BM21" si="9">IF(AP3=0,0,SQRT((AQ3/AP3)^2+($Y3/$X3)^2))</f>
        <v>0</v>
      </c>
      <c r="BN3">
        <f t="shared" si="0"/>
        <v>5561.273684210526</v>
      </c>
      <c r="BO3">
        <f t="shared" ref="BO3:BO21" si="10">IF(AR3=0,0,SQRT((AS3/AR3)^2+($Y3/$X3)^2))</f>
        <v>4.2181900933549628E-2</v>
      </c>
      <c r="BP3">
        <f t="shared" si="0"/>
        <v>3596.4315789473681</v>
      </c>
      <c r="BQ3">
        <f t="shared" ref="BQ3:BQ21" si="11">IF(AT3=0,0,SQRT((AU3/AT3)^2+($Y3/$X3)^2))</f>
        <v>4.1942077220421543E-2</v>
      </c>
      <c r="BR3">
        <f t="shared" ref="BR3:BR21" si="12">IF(AND(Z3&lt;&gt;0,AH3&lt;&gt;0),Z3/AH3,0)</f>
        <v>7.5</v>
      </c>
    </row>
    <row r="4" spans="1:70" x14ac:dyDescent="0.25">
      <c r="A4">
        <f>CellCount_Viability!A4</f>
        <v>46270</v>
      </c>
      <c r="B4" s="69">
        <f>CellCount_Viability!B4</f>
        <v>48</v>
      </c>
      <c r="C4" s="63">
        <f>CellCount_Viability!C4</f>
        <v>2</v>
      </c>
      <c r="D4" s="11">
        <f>IF(ISERROR(CellCount_Viability!E4), CellCount_Viability!H4, IF(ISERROR(CellCount_Viability!H4), CellCount_Viability!E4, AVERAGE(CellCount_Viability!E4, CellCount_Viability!H4)))</f>
        <v>29190000</v>
      </c>
      <c r="E4" s="11">
        <f>IF(ISERROR(CellCount_Viability!E4),0,IF(ISERROR(CellCount_Viability!H4),0,STDEV(CellCount_Viability!E4,CellCount_Viability!H4)))</f>
        <v>3577960.3128039306</v>
      </c>
      <c r="F4" s="92">
        <f>IF(ISERROR(CellCount_Viability!F4), CellCount_Viability!I4, IF(ISERROR(CellCount_Viability!I4), CellCount_Viability!F4, AVERAGE(CellCount_Viability!F4, CellCount_Viability!I4)))</f>
        <v>0.9948426261672606</v>
      </c>
      <c r="G4" s="92">
        <f>IF(ISERROR(CellCount_Viability!F4),0,IF(ISERROR(CellCount_Viability!I4),0,STDEV(CellCount_Viability!F4,CellCount_Viability!I4)))</f>
        <v>3.0499264079657845E-3</v>
      </c>
      <c r="J4" s="96">
        <f>IF(ISERROR(Attenuation!D5), Attenuation!E5, IF(ISERROR(Attenuation!E5), Attenuation!D5, AVERAGE(Attenuation!D5, Attenuation!E5)))</f>
        <v>14.4815</v>
      </c>
      <c r="K4" s="96">
        <f>IF(ISERROR(Attenuation!D5),0,IF(ISERROR(Attenuation!E5),0,STDEV(Attenuation!D5,Attenuation!E5)))</f>
        <v>1.2989551570396902</v>
      </c>
      <c r="L4" s="96">
        <f>IF(ISERROR(pH!D5), pH!E5, IF(ISERROR(pH!E5), pH!D5, AVERAGE(pH!D5, pH!E5)))</f>
        <v>4.8169000000000004</v>
      </c>
      <c r="M4" s="96">
        <f>IF(ISERROR(pH!D5),0,IF(ISERROR(pH!E5),0,STDEV(pH!D5,pH!E5)))</f>
        <v>0.34379531701289889</v>
      </c>
      <c r="N4" s="96">
        <f>IF(ISERROR(HPLC!D4), HPLC!J4, IF(ISERROR( HPLC!J4), HPLC!D4, AVERAGE(HPLC!D4,  HPLC!J4)))</f>
        <v>20.993471964796413</v>
      </c>
      <c r="O4" s="96">
        <f>IF(ISERROR( HPLC!D4),0,IF(ISERROR( HPLC!J4),0,STDEV( HPLC!D4, HPLC!J4)))</f>
        <v>0.98121374350382395</v>
      </c>
      <c r="P4" s="96">
        <f>IF(ISERROR(HPLC!E4), HPLC!K4, IF(ISERROR( HPLC!K4), HPLC!E4, AVERAGE(HPLC!E4,  HPLC!K4)))</f>
        <v>64.75</v>
      </c>
      <c r="Q4" s="96">
        <f>IF(ISERROR( HPLC!E4),0,IF(ISERROR( HPLC!K4),0,STDEV( HPLC!E4, HPLC!K4)))</f>
        <v>2.4748737341529163</v>
      </c>
      <c r="R4" s="96">
        <f>IF(ISERROR(HPLC!F4), HPLC!L4, IF(ISERROR( HPLC!L4), HPLC!F4, AVERAGE(HPLC!F4,  HPLC!L4)))</f>
        <v>14.199260288061271</v>
      </c>
      <c r="S4" s="96">
        <f>IF(ISERROR( HPLC!F4),0,IF(ISERROR( HPLC!L4),0,STDEV( HPLC!F4, HPLC!L4)))</f>
        <v>6.9759124705694259E-2</v>
      </c>
      <c r="T4" s="96">
        <f>IF(ISERROR(HPLC!G4), HPLC!M4, IF(ISERROR( HPLC!M4), HPLC!G4, AVERAGE(HPLC!M4,  HPLC!G4)))</f>
        <v>5.9591653581443325</v>
      </c>
      <c r="U4" s="96">
        <f>IF(ISERROR( HPLC!M4),0,IF(ISERROR( HPLC!G4),0,STDEV( HPLC!M4, HPLC!G4)))</f>
        <v>0.11647126031663174</v>
      </c>
      <c r="V4" s="96">
        <f>IF(ISERROR(HPLC!H4), HPLC!N4, IF(ISERROR( HPLC!N4), HPLC!H4, AVERAGE(HPLC!H4,  HPLC!N4)))</f>
        <v>0.42552055630171559</v>
      </c>
      <c r="W4" s="96">
        <f>IF(ISERROR( HPLC!H4),0,IF(ISERROR( HPLC!N4),0,STDEV( HPLC!H4, HPLC!N4)))</f>
        <v>2.114137791249371E-3</v>
      </c>
      <c r="X4" s="96">
        <f>IF(ISERROR(HPLC!I4), HPLC!O4, IF(ISERROR( HPLC!O4), HPLC!I4, AVERAGE(HPLC!I4,  HPLC!O4)))</f>
        <v>21.65</v>
      </c>
      <c r="Y4" s="96">
        <f>IF(ISERROR( HPLC!I4),0,IF(ISERROR( HPLC!O4),0,STDEV( HPLC!I4, HPLC!O4)))</f>
        <v>0.56568542494923857</v>
      </c>
      <c r="Z4" s="96">
        <f>IF(ISERROR(GC_esters!D4), GC_esters!N4, IF(ISERROR(GC_esters!N4), GC_esters!D4, AVERAGE(GC_esters!D4,  GC_esters!N4)))</f>
        <v>6.1380249999999998</v>
      </c>
      <c r="AA4" s="96">
        <f>IF(ISERROR(GC_esters!D4),0,IF(ISERROR(GC_esters!N4),0,STDEV(GC_esters!D4, GC_esters!N4)))</f>
        <v>0.52781985681669918</v>
      </c>
      <c r="AB4" s="96">
        <f>IF(ISERROR(GC_esters!F4), GC_esters!P4, IF(ISERROR(GC_esters!P4), GC_esters!F4, AVERAGE(GC_esters!F4,  GC_esters!P4)))</f>
        <v>4.1075E-2</v>
      </c>
      <c r="AC4" s="96">
        <f>IF(ISERROR(GC_esters!F4),0,IF(ISERROR(GC_esters!P4),0,STDEV(GC_esters!F4, GC_esters!P4)))</f>
        <v>5.4800775541957482E-3</v>
      </c>
      <c r="AD4" s="96">
        <f>IF(ISERROR(GC_esters!G4), GC_esters!Q4, IF(ISERROR(GC_esters!Q4), GC_esters!G4, AVERAGE(GC_esters!G4,  GC_esters!Q4)))</f>
        <v>0.24409999999999998</v>
      </c>
      <c r="AE4" s="96">
        <f>IF(ISERROR(GC_esters!G4),0,IF(ISERROR(GC_esters!Q4),0,STDEV(GC_esters!G4, GC_esters!Q4)))</f>
        <v>7.9195959492893431E-3</v>
      </c>
      <c r="AF4" s="96">
        <f>IF(ISERROR(GC_esters!H4), GC_esters!R4, IF(ISERROR(GC_esters!R4), GC_esters!H4, AVERAGE(GC_esters!H4,  GC_esters!R4)))</f>
        <v>4.305275</v>
      </c>
      <c r="AG4" s="96">
        <f>IF(ISERROR(GC_esters!H4),0,IF(ISERROR(GC_esters!R4),0,STDEV(GC_esters!H4, GC_esters!R4)))</f>
        <v>0.18013545250727395</v>
      </c>
      <c r="AH4" s="96">
        <f>IF(ISERROR(GC_esters!I4), GC_esters!S4, IF(ISERROR(GC_esters!S4), GC_esters!I4, AVERAGE(GC_esters!I4,  GC_esters!S4)))</f>
        <v>1.2461000000000002</v>
      </c>
      <c r="AI4" s="96">
        <f>IF(ISERROR(GC_esters!I4),0,IF(ISERROR(GC_esters!S4),0,STDEV(GC_esters!I4, GC_esters!S4)))</f>
        <v>0.11448058787410216</v>
      </c>
      <c r="AJ4" s="96">
        <f>IF(ISERROR(GC_esters!J4), GC_esters!T4, IF(ISERROR(GC_esters!T4), GC_esters!J4, AVERAGE(GC_esters!J4,  GC_esters!T4)))</f>
        <v>33.701774999999998</v>
      </c>
      <c r="AK4" s="96">
        <f>IF(ISERROR(GC_esters!J4),0,IF(ISERROR(GC_esters!T4),0,STDEV(GC_esters!J4, GC_esters!T4)))</f>
        <v>1.2776358875869114</v>
      </c>
      <c r="AL4" s="96">
        <f>IF(ISERROR(GC_esters!K4), GC_esters!U4, IF(ISERROR(GC_esters!U4), GC_esters!K4, AVERAGE(GC_esters!K4,  GC_esters!U4)))</f>
        <v>0.17127500000000001</v>
      </c>
      <c r="AM4" s="96">
        <f>IF(ISERROR(GC_esters!K4),0,IF(ISERROR(GC_esters!U4),0,STDEV(GC_esters!K4, GC_esters!U4)))</f>
        <v>5.4800775541957482E-3</v>
      </c>
      <c r="AN4" s="96">
        <f>IF(ISERROR(GC_esters!L4), GC_esters!V4, IF(ISERROR(GC_esters!V4), GC_esters!L4, AVERAGE(GC_esters!L4,  GC_esters!V4)))</f>
        <v>1.160175</v>
      </c>
      <c r="AO4" s="96">
        <f>IF(ISERROR(GC_esters!L4),0,IF(ISERROR(GC_esters!V4),0,STDEV(GC_esters!L4, GC_esters!V4)))</f>
        <v>2.3016325727622178E-2</v>
      </c>
      <c r="AP4" s="96">
        <f>IF(ISERROR(GC_esters!M4), GC_esters!W4, IF(ISERROR(GC_esters!W4), GC_esters!M4, AVERAGE(GC_esters!M4,  GC_esters!W4)))</f>
        <v>2.2203750000000002</v>
      </c>
      <c r="AQ4" s="96">
        <f>IF(ISERROR(GC_esters!M4),0,IF(ISERROR(GC_esters!W4),0,STDEV(GC_esters!M4, GC_esters!W4)))</f>
        <v>0.28167598628566104</v>
      </c>
      <c r="AR4" s="96">
        <f>IF(ISERROR(GC_ketones!D4), GC_ketones!F4, IF(ISERROR(GC_ketones!F4), GC_ketones!D4, AVERAGE(GC_ketones!D4, GC_ketones!F4)))</f>
        <v>2692</v>
      </c>
      <c r="AS4" s="96">
        <f>IF(ISERROR(GC_ketones!D4),0,IF(ISERROR(GC_ketones!F4),0,STDEV(GC_ketones!D4, GC_ketones!F4)))</f>
        <v>165.46298679765212</v>
      </c>
      <c r="AT4" s="96">
        <f>IF(ISERROR(GC_ketones!E4), GC_ketones!G4, IF(ISERROR(GC_ketones!G4), GC_ketones!E4, AVERAGE(GC_ketones!E4, GC_ketones!G4)))</f>
        <v>1392.5</v>
      </c>
      <c r="AU4" s="96">
        <f>IF(ISERROR(GC_ketones!E4),0,IF(ISERROR(GC_ketones!G4),0,STDEV(GC_ketones!E4, GC_ketones!G4)))</f>
        <v>24.041630560342615</v>
      </c>
      <c r="AV4">
        <f>Z4*36.6/X4</f>
        <v>10.376522632794458</v>
      </c>
      <c r="AW4">
        <f t="shared" si="1"/>
        <v>8.9873786323877158E-2</v>
      </c>
      <c r="AX4">
        <f t="shared" si="0"/>
        <v>6.9438568129330261E-2</v>
      </c>
      <c r="AY4">
        <f t="shared" si="2"/>
        <v>0.13595085700016385</v>
      </c>
      <c r="AZ4">
        <f t="shared" si="0"/>
        <v>0.4126586605080832</v>
      </c>
      <c r="BA4">
        <f t="shared" si="3"/>
        <v>4.1657220120833234E-2</v>
      </c>
      <c r="BB4">
        <f t="shared" si="0"/>
        <v>7.2782016166281762</v>
      </c>
      <c r="BC4">
        <f t="shared" si="4"/>
        <v>4.9328953992792794E-2</v>
      </c>
      <c r="BD4">
        <f t="shared" si="0"/>
        <v>2.1065709006928413</v>
      </c>
      <c r="BE4">
        <f t="shared" si="5"/>
        <v>9.5514434682616861E-2</v>
      </c>
      <c r="BF4">
        <f t="shared" si="0"/>
        <v>56.973901385681295</v>
      </c>
      <c r="BG4">
        <f t="shared" si="6"/>
        <v>4.6042137356753957E-2</v>
      </c>
      <c r="BH4">
        <f t="shared" si="0"/>
        <v>0.28954572748267904</v>
      </c>
      <c r="BI4">
        <f t="shared" si="7"/>
        <v>4.1309039950732311E-2</v>
      </c>
      <c r="BJ4">
        <f t="shared" si="0"/>
        <v>1.9613120092378753</v>
      </c>
      <c r="BK4">
        <f t="shared" si="8"/>
        <v>3.2806698026006949E-2</v>
      </c>
      <c r="BL4">
        <f t="shared" si="0"/>
        <v>3.7536131639722874</v>
      </c>
      <c r="BM4">
        <f t="shared" si="9"/>
        <v>0.12952249410432221</v>
      </c>
      <c r="BN4">
        <f t="shared" si="0"/>
        <v>4550.9099307159358</v>
      </c>
      <c r="BO4">
        <f t="shared" si="10"/>
        <v>6.6787848612968603E-2</v>
      </c>
      <c r="BP4">
        <f t="shared" si="0"/>
        <v>2354.0646651270208</v>
      </c>
      <c r="BQ4">
        <f t="shared" si="11"/>
        <v>3.1317564901484976E-2</v>
      </c>
      <c r="BR4">
        <f t="shared" si="12"/>
        <v>4.925788459995184</v>
      </c>
    </row>
    <row r="5" spans="1:70" x14ac:dyDescent="0.25">
      <c r="A5">
        <f>CellCount_Viability!A5</f>
        <v>46271</v>
      </c>
      <c r="B5" s="69">
        <f>CellCount_Viability!B5</f>
        <v>72</v>
      </c>
      <c r="C5" s="63">
        <f>CellCount_Viability!C5</f>
        <v>3</v>
      </c>
      <c r="D5" s="11">
        <f>IF(ISERROR(CellCount_Viability!E5), CellCount_Viability!H5, IF(ISERROR(CellCount_Viability!H5), CellCount_Viability!E5, AVERAGE(CellCount_Viability!E5, CellCount_Viability!H5)))</f>
        <v>36490000</v>
      </c>
      <c r="E5" s="11">
        <f>IF(ISERROR(CellCount_Viability!E5),0,IF(ISERROR(CellCount_Viability!H5),0,STDEV(CellCount_Viability!E5,CellCount_Viability!H5)))</f>
        <v>2305168.1066681449</v>
      </c>
      <c r="F5" s="92">
        <f>IF(ISERROR(CellCount_Viability!F5), CellCount_Viability!I5, IF(ISERROR(CellCount_Viability!I5), CellCount_Viability!F5, AVERAGE(CellCount_Viability!F5, CellCount_Viability!I5)))</f>
        <v>0.99194952497743938</v>
      </c>
      <c r="G5" s="92">
        <f>IF(ISERROR(CellCount_Viability!F5),0,IF(ISERROR(CellCount_Viability!I5),0,STDEV(CellCount_Viability!F5,CellCount_Viability!I5)))</f>
        <v>3.6770996566390679E-3</v>
      </c>
      <c r="J5" s="96">
        <f>IF(ISERROR(Attenuation!D6), Attenuation!E6, IF(ISERROR(Attenuation!E6), Attenuation!D6, AVERAGE(Attenuation!D6, Attenuation!E6)))</f>
        <v>12.050999999999998</v>
      </c>
      <c r="K5" s="96">
        <f>IF(ISERROR(Attenuation!D6),0,IF(ISERROR(Attenuation!E6),0,STDEV(Attenuation!D6,Attenuation!E6)))</f>
        <v>0.16546298679765212</v>
      </c>
      <c r="L5" s="96">
        <f>IF(ISERROR(pH!D6), pH!E6, IF(ISERROR(pH!E6), pH!D6, AVERAGE(pH!D6, pH!E6)))</f>
        <v>4.6401000000000003</v>
      </c>
      <c r="M5" s="96">
        <f>IF(ISERROR(pH!D6),0,IF(ISERROR(pH!E6),0,STDEV(pH!D6,pH!E6)))</f>
        <v>5.6427121138686247E-2</v>
      </c>
      <c r="N5" s="96">
        <f>IF(ISERROR(HPLC!D5), HPLC!J5, IF(ISERROR( HPLC!J5), HPLC!D5, AVERAGE(HPLC!D5,  HPLC!J5)))</f>
        <v>13.297147972132441</v>
      </c>
      <c r="O5" s="96">
        <f>IF(ISERROR( HPLC!D5),0,IF(ISERROR( HPLC!J5),0,STDEV( HPLC!D5, HPLC!J5)))</f>
        <v>0.1023232383968954</v>
      </c>
      <c r="P5" s="96">
        <f>IF(ISERROR(HPLC!E5), HPLC!K5, IF(ISERROR( HPLC!K5), HPLC!E5, AVERAGE(HPLC!E5,  HPLC!K5)))</f>
        <v>46.75</v>
      </c>
      <c r="Q5" s="96">
        <f>IF(ISERROR( HPLC!E5),0,IF(ISERROR( HPLC!K5),0,STDEV( HPLC!E5, HPLC!K5)))</f>
        <v>1.0606601717798212</v>
      </c>
      <c r="R5" s="96">
        <f>IF(ISERROR(HPLC!F5), HPLC!L5, IF(ISERROR( HPLC!L5), HPLC!F5, AVERAGE(HPLC!F5,  HPLC!L5)))</f>
        <v>2.2000000000000002</v>
      </c>
      <c r="S5" s="96">
        <f>IF(ISERROR( HPLC!F5),0,IF(ISERROR( HPLC!L5),0,STDEV( HPLC!F5, HPLC!L5)))</f>
        <v>7.0710678118654502E-2</v>
      </c>
      <c r="T5" s="96">
        <f>IF(ISERROR(HPLC!G5), HPLC!M5, IF(ISERROR( HPLC!M5), HPLC!G5, AVERAGE(HPLC!M5,  HPLC!G5)))</f>
        <v>2.3499999999999996</v>
      </c>
      <c r="U5" s="96">
        <f>IF(ISERROR( HPLC!M5),0,IF(ISERROR( HPLC!G5),0,STDEV( HPLC!M5, HPLC!G5)))</f>
        <v>7.0710678118654821E-2</v>
      </c>
      <c r="V5" s="96">
        <f>IF(ISERROR(HPLC!H5), HPLC!N5, IF(ISERROR( HPLC!N5), HPLC!H5, AVERAGE(HPLC!H5,  HPLC!N5)))</f>
        <v>1.5136484398391337</v>
      </c>
      <c r="W5" s="96">
        <f>IF(ISERROR( HPLC!H5),0,IF(ISERROR( HPLC!N5),0,STDEV( HPLC!H5, HPLC!N5)))</f>
        <v>7.5203449561682262E-3</v>
      </c>
      <c r="X5" s="96">
        <f>IF(ISERROR(HPLC!I5), HPLC!O5, IF(ISERROR( HPLC!O5), HPLC!I5, AVERAGE(HPLC!I5,  HPLC!O5)))</f>
        <v>28.1</v>
      </c>
      <c r="Y5" s="96">
        <f>IF(ISERROR( HPLC!I5),0,IF(ISERROR( HPLC!O5),0,STDEV( HPLC!I5, HPLC!O5)))</f>
        <v>0.56568542494923857</v>
      </c>
      <c r="Z5" s="96">
        <f>IF(ISERROR(GC_esters!D5), GC_esters!N5, IF(ISERROR(GC_esters!N5), GC_esters!D5, AVERAGE(GC_esters!D5,  GC_esters!N5)))</f>
        <v>11.423999999999999</v>
      </c>
      <c r="AA5" s="96">
        <f>IF(ISERROR(GC_esters!D5),0,IF(ISERROR(GC_esters!N5),0,STDEV(GC_esters!D5, GC_esters!N5)))</f>
        <v>0.99843477503540445</v>
      </c>
      <c r="AB5" s="96">
        <f>IF(ISERROR(GC_esters!F5), GC_esters!P5, IF(ISERROR(GC_esters!P5), GC_esters!F5, AVERAGE(GC_esters!F5,  GC_esters!P5)))</f>
        <v>7.9499999999999987E-2</v>
      </c>
      <c r="AC5" s="96">
        <f>IF(ISERROR(GC_esters!F5),0,IF(ISERROR(GC_esters!P5),0,STDEV(GC_esters!F5, GC_esters!P5)))</f>
        <v>1.0606601717798213E-2</v>
      </c>
      <c r="AD5" s="96">
        <f>IF(ISERROR(GC_esters!G5), GC_esters!Q5, IF(ISERROR(GC_esters!Q5), GC_esters!G5, AVERAGE(GC_esters!G5,  GC_esters!Q5)))</f>
        <v>0.34849999999999998</v>
      </c>
      <c r="AE5" s="96">
        <f>IF(ISERROR(GC_esters!G5),0,IF(ISERROR(GC_esters!Q5),0,STDEV(GC_esters!G5, GC_esters!Q5)))</f>
        <v>1.2020815280171319E-2</v>
      </c>
      <c r="AF5" s="96">
        <f>IF(ISERROR(GC_esters!H5), GC_esters!R5, IF(ISERROR(GC_esters!R5), GC_esters!H5, AVERAGE(GC_esters!H5,  GC_esters!R5)))</f>
        <v>6.3940000000000001</v>
      </c>
      <c r="AG5" s="96">
        <f>IF(ISERROR(GC_esters!H5),0,IF(ISERROR(GC_esters!R5),0,STDEV(GC_esters!H5, GC_esters!R5)))</f>
        <v>0.22627416997969604</v>
      </c>
      <c r="AH5" s="96">
        <f>IF(ISERROR(GC_esters!I5), GC_esters!S5, IF(ISERROR(GC_esters!S5), GC_esters!I5, AVERAGE(GC_esters!I5,  GC_esters!S5)))</f>
        <v>2.351</v>
      </c>
      <c r="AI5" s="96">
        <f>IF(ISERROR(GC_esters!I5),0,IF(ISERROR(GC_esters!S5),0,STDEV(GC_esters!I5, GC_esters!S5)))</f>
        <v>0.21496046148071063</v>
      </c>
      <c r="AJ5" s="96">
        <f>IF(ISERROR(GC_esters!J5), GC_esters!T5, IF(ISERROR(GC_esters!T5), GC_esters!J5, AVERAGE(GC_esters!J5,  GC_esters!T5)))</f>
        <v>46.346499999999999</v>
      </c>
      <c r="AK5" s="96">
        <f>IF(ISERROR(GC_esters!J5),0,IF(ISERROR(GC_esters!T5),0,STDEV(GC_esters!J5, GC_esters!T5)))</f>
        <v>1.407849601342416</v>
      </c>
      <c r="AL5" s="96">
        <f>IF(ISERROR(GC_esters!K5), GC_esters!U5, IF(ISERROR(GC_esters!U5), GC_esters!K5, AVERAGE(GC_esters!K5,  GC_esters!U5)))</f>
        <v>0.33150000000000002</v>
      </c>
      <c r="AM5" s="96">
        <f>IF(ISERROR(GC_esters!K5),0,IF(ISERROR(GC_esters!U5),0,STDEV(GC_esters!K5, GC_esters!U5)))</f>
        <v>1.0606601717798184E-2</v>
      </c>
      <c r="AN5" s="96">
        <f>IF(ISERROR(GC_esters!L5), GC_esters!V5, IF(ISERROR(GC_esters!V5), GC_esters!L5, AVERAGE(GC_esters!L5,  GC_esters!V5)))</f>
        <v>2.2454999999999998</v>
      </c>
      <c r="AO5" s="96">
        <f>IF(ISERROR(GC_esters!L5),0,IF(ISERROR(GC_esters!V5),0,STDEV(GC_esters!L5, GC_esters!V5)))</f>
        <v>4.4547727214752614E-2</v>
      </c>
      <c r="AP5" s="96">
        <f>IF(ISERROR(GC_esters!M5), GC_esters!W5, IF(ISERROR(GC_esters!W5), GC_esters!M5, AVERAGE(GC_esters!M5,  GC_esters!W5)))</f>
        <v>4.2974999999999994</v>
      </c>
      <c r="AQ5" s="96">
        <f>IF(ISERROR(GC_esters!M5),0,IF(ISERROR(GC_esters!W5),0,STDEV(GC_esters!M5, GC_esters!W5)))</f>
        <v>0.54517932829482807</v>
      </c>
      <c r="AR5" s="96">
        <f>IF(ISERROR(GC_ketones!D5), GC_ketones!F5, IF(ISERROR(GC_ketones!F5), GC_ketones!D5, AVERAGE(GC_ketones!D5, GC_ketones!F5)))</f>
        <v>4949</v>
      </c>
      <c r="AS5" s="96">
        <f>IF(ISERROR(GC_ketones!D5),0,IF(ISERROR(GC_ketones!F5),0,STDEV(GC_ketones!D5, GC_ketones!F5)))</f>
        <v>211.42492757477771</v>
      </c>
      <c r="AT5" s="96">
        <f>IF(ISERROR(GC_ketones!E5), GC_ketones!G5, IF(ISERROR(GC_ketones!G5), GC_ketones!E5, AVERAGE(GC_ketones!E5, GC_ketones!G5)))</f>
        <v>1988.5</v>
      </c>
      <c r="AU5" s="96">
        <f>IF(ISERROR(GC_ketones!E5),0,IF(ISERROR(GC_ketones!G5),0,STDEV(GC_ketones!E5, GC_ketones!G5)))</f>
        <v>122.32947314527271</v>
      </c>
      <c r="AV5">
        <f t="shared" ref="AV5:AV21" si="13">Z5*36.6/X5</f>
        <v>14.879658362989323</v>
      </c>
      <c r="AW5">
        <f t="shared" si="1"/>
        <v>8.9686532513636882E-2</v>
      </c>
      <c r="AX5">
        <f t="shared" si="0"/>
        <v>0.10354804270462631</v>
      </c>
      <c r="AY5">
        <f t="shared" si="2"/>
        <v>0.13492661767844405</v>
      </c>
      <c r="AZ5">
        <f t="shared" si="0"/>
        <v>0.45391814946619208</v>
      </c>
      <c r="BA5">
        <f t="shared" si="3"/>
        <v>3.9937843621071237E-2</v>
      </c>
      <c r="BB5">
        <f t="shared" si="0"/>
        <v>8.3281281138790035</v>
      </c>
      <c r="BC5">
        <f t="shared" si="4"/>
        <v>4.0713761897954892E-2</v>
      </c>
      <c r="BD5">
        <f t="shared" si="0"/>
        <v>3.0621565836298932</v>
      </c>
      <c r="BE5">
        <f t="shared" si="5"/>
        <v>9.362356459122928E-2</v>
      </c>
      <c r="BF5">
        <f t="shared" si="0"/>
        <v>60.365903914590746</v>
      </c>
      <c r="BG5">
        <f t="shared" si="6"/>
        <v>3.6441759743757136E-2</v>
      </c>
      <c r="BH5">
        <f t="shared" si="0"/>
        <v>0.43177580071174382</v>
      </c>
      <c r="BI5">
        <f t="shared" si="7"/>
        <v>3.7802029320093793E-2</v>
      </c>
      <c r="BJ5">
        <f t="shared" si="0"/>
        <v>2.9247437722419924</v>
      </c>
      <c r="BK5">
        <f t="shared" si="8"/>
        <v>2.8263688266672624E-2</v>
      </c>
      <c r="BL5">
        <f t="shared" si="0"/>
        <v>5.597455516014235</v>
      </c>
      <c r="BM5">
        <f t="shared" si="9"/>
        <v>0.12844700509576018</v>
      </c>
      <c r="BN5">
        <f t="shared" si="0"/>
        <v>6446.0284697508896</v>
      </c>
      <c r="BO5">
        <f t="shared" si="10"/>
        <v>4.7226313962412662E-2</v>
      </c>
      <c r="BP5">
        <f t="shared" si="0"/>
        <v>2590.0035587188613</v>
      </c>
      <c r="BQ5">
        <f t="shared" si="11"/>
        <v>6.472855037522153E-2</v>
      </c>
      <c r="BR5">
        <f t="shared" si="12"/>
        <v>4.8592088472990218</v>
      </c>
    </row>
    <row r="6" spans="1:70" x14ac:dyDescent="0.25">
      <c r="A6">
        <f>CellCount_Viability!A6</f>
        <v>46272</v>
      </c>
      <c r="B6" s="69">
        <f>CellCount_Viability!B6</f>
        <v>96</v>
      </c>
      <c r="C6" s="63">
        <f>CellCount_Viability!C6</f>
        <v>4</v>
      </c>
      <c r="D6" s="11">
        <f>IF(ISERROR(CellCount_Viability!E6), CellCount_Viability!H6, IF(ISERROR(CellCount_Viability!H6), CellCount_Viability!E6, AVERAGE(CellCount_Viability!E6, CellCount_Viability!H6)))</f>
        <v>38050000</v>
      </c>
      <c r="E6" s="11">
        <f>IF(ISERROR(CellCount_Viability!E6),0,IF(ISERROR(CellCount_Viability!H6),0,STDEV(CellCount_Viability!E6,CellCount_Viability!H6)))</f>
        <v>1569777.0542341354</v>
      </c>
      <c r="F6" s="92">
        <f>IF(ISERROR(CellCount_Viability!F6), CellCount_Viability!I6, IF(ISERROR(CellCount_Viability!I6), CellCount_Viability!F6, AVERAGE(CellCount_Viability!F6, CellCount_Viability!I6)))</f>
        <v>0.99245010128784605</v>
      </c>
      <c r="G6" s="92">
        <f>IF(ISERROR(CellCount_Viability!F6),0,IF(ISERROR(CellCount_Viability!I6),0,STDEV(CellCount_Viability!F6,CellCount_Viability!I6)))</f>
        <v>3.4864313593964088E-4</v>
      </c>
      <c r="J6" s="96">
        <f>IF(ISERROR(Attenuation!D7), Attenuation!E7, IF(ISERROR(Attenuation!E7), Attenuation!D7, AVERAGE(Attenuation!D7, Attenuation!E7)))</f>
        <v>8.827</v>
      </c>
      <c r="K6" s="96">
        <f>IF(ISERROR(Attenuation!D7),0,IF(ISERROR(Attenuation!E7),0,STDEV(Attenuation!D7,Attenuation!E7)))</f>
        <v>0.25738686835190383</v>
      </c>
      <c r="L6" s="96">
        <f>IF(ISERROR(pH!D7), pH!E7, IF(ISERROR(pH!E7), pH!D7, AVERAGE(pH!D7, pH!E7)))</f>
        <v>4.2632499999999993</v>
      </c>
      <c r="M6" s="96">
        <f>IF(ISERROR(pH!D7),0,IF(ISERROR(pH!E7),0,STDEV(pH!D7,pH!E7)))</f>
        <v>0.13116830791010473</v>
      </c>
      <c r="N6" s="96">
        <f>IF(ISERROR(HPLC!D6), HPLC!J6, IF(ISERROR( HPLC!J6), HPLC!D6, AVERAGE(HPLC!D6,  HPLC!J6)))</f>
        <v>7.1892751520225593</v>
      </c>
      <c r="O6" s="96">
        <f>IF(ISERROR( HPLC!D6),0,IF(ISERROR( HPLC!J6),0,STDEV( HPLC!D6, HPLC!J6)))</f>
        <v>0.12763733346366166</v>
      </c>
      <c r="P6" s="96">
        <f>IF(ISERROR(HPLC!E6), HPLC!K6, IF(ISERROR( HPLC!K6), HPLC!E6, AVERAGE(HPLC!E6,  HPLC!K6)))</f>
        <v>31</v>
      </c>
      <c r="Q6" s="96">
        <f>IF(ISERROR( HPLC!E6),0,IF(ISERROR( HPLC!K6),0,STDEV( HPLC!E6, HPLC!K6)))</f>
        <v>0.70710678118654757</v>
      </c>
      <c r="R6" s="96">
        <f>IF(ISERROR(HPLC!F6), HPLC!L6, IF(ISERROR( HPLC!L6), HPLC!F6, AVERAGE(HPLC!F6,  HPLC!L6)))</f>
        <v>0</v>
      </c>
      <c r="S6" s="96">
        <f>IF(ISERROR( HPLC!F6),0,IF(ISERROR( HPLC!L6),0,STDEV( HPLC!F6, HPLC!L6)))</f>
        <v>0</v>
      </c>
      <c r="T6" s="96">
        <f>IF(ISERROR(HPLC!G6), HPLC!M6, IF(ISERROR( HPLC!M6), HPLC!G6, AVERAGE(HPLC!M6,  HPLC!G6)))</f>
        <v>1.125</v>
      </c>
      <c r="U6" s="96">
        <f>IF(ISERROR( HPLC!M6),0,IF(ISERROR( HPLC!G6),0,STDEV( HPLC!M6, HPLC!G6)))</f>
        <v>0.17677669529663689</v>
      </c>
      <c r="V6" s="96">
        <f>IF(ISERROR(HPLC!H6), HPLC!N6, IF(ISERROR( HPLC!N6), HPLC!H6, AVERAGE(HPLC!H6,  HPLC!N6)))</f>
        <v>1.9770102071368276</v>
      </c>
      <c r="W6" s="96">
        <f>IF(ISERROR( HPLC!H6),0,IF(ISERROR( HPLC!N6),0,STDEV( HPLC!H6, HPLC!N6)))</f>
        <v>9.8224913713219446E-3</v>
      </c>
      <c r="X6" s="96">
        <f>IF(ISERROR(HPLC!I6), HPLC!O6, IF(ISERROR( HPLC!O6), HPLC!I6, AVERAGE(HPLC!I6,  HPLC!O6)))</f>
        <v>34.450000000000003</v>
      </c>
      <c r="Y6" s="96">
        <f>IF(ISERROR( HPLC!I6),0,IF(ISERROR( HPLC!O6),0,STDEV( HPLC!I6, HPLC!O6)))</f>
        <v>0.70710678118654757</v>
      </c>
      <c r="Z6" s="96">
        <f>IF(ISERROR(GC_esters!D6), GC_esters!N6, IF(ISERROR(GC_esters!N6), GC_esters!D6, AVERAGE(GC_esters!D6,  GC_esters!N6)))</f>
        <v>18.714999999999996</v>
      </c>
      <c r="AA6" s="96">
        <f>IF(ISERROR(GC_esters!D6),0,IF(ISERROR(GC_esters!N6),0,STDEV(GC_esters!D6, GC_esters!N6)))</f>
        <v>1.6475588001646571</v>
      </c>
      <c r="AB6" s="96">
        <f>IF(ISERROR(GC_esters!F6), GC_esters!P6, IF(ISERROR(GC_esters!P6), GC_esters!F6, AVERAGE(GC_esters!F6,  GC_esters!P6)))</f>
        <v>0.13250000000000001</v>
      </c>
      <c r="AC6" s="96">
        <f>IF(ISERROR(GC_esters!F6),0,IF(ISERROR(GC_esters!P6),0,STDEV(GC_esters!F6, GC_esters!P6)))</f>
        <v>1.7677669529663705E-2</v>
      </c>
      <c r="AD6" s="96">
        <f>IF(ISERROR(GC_esters!G6), GC_esters!Q6, IF(ISERROR(GC_esters!Q6), GC_esters!G6, AVERAGE(GC_esters!G6,  GC_esters!Q6)))</f>
        <v>0.49249999999999999</v>
      </c>
      <c r="AE6" s="96">
        <f>IF(ISERROR(GC_esters!G6),0,IF(ISERROR(GC_esters!Q6),0,STDEV(GC_esters!G6, GC_esters!Q6)))</f>
        <v>1.7677669529663705E-2</v>
      </c>
      <c r="AF6" s="96">
        <f>IF(ISERROR(GC_esters!H6), GC_esters!R6, IF(ISERROR(GC_esters!R6), GC_esters!H6, AVERAGE(GC_esters!H6,  GC_esters!R6)))</f>
        <v>9.2750000000000004</v>
      </c>
      <c r="AG6" s="96">
        <f>IF(ISERROR(GC_esters!H6),0,IF(ISERROR(GC_esters!R6),0,STDEV(GC_esters!H6, GC_esters!R6)))</f>
        <v>0.28991378028648457</v>
      </c>
      <c r="AH6" s="96">
        <f>IF(ISERROR(GC_esters!I6), GC_esters!S6, IF(ISERROR(GC_esters!S6), GC_esters!I6, AVERAGE(GC_esters!I6,  GC_esters!S6)))</f>
        <v>3.875</v>
      </c>
      <c r="AI6" s="96">
        <f>IF(ISERROR(GC_esters!I6),0,IF(ISERROR(GC_esters!S6),0,STDEV(GC_esters!I6, GC_esters!S6)))</f>
        <v>0.35355339059327379</v>
      </c>
      <c r="AJ6" s="96">
        <f>IF(ISERROR(GC_esters!J6), GC_esters!T6, IF(ISERROR(GC_esters!T6), GC_esters!J6, AVERAGE(GC_esters!J6,  GC_esters!T6)))</f>
        <v>63.787500000000001</v>
      </c>
      <c r="AK6" s="96">
        <f>IF(ISERROR(GC_esters!J6),0,IF(ISERROR(GC_esters!T6),0,STDEV(GC_esters!J6, GC_esters!T6)))</f>
        <v>1.5874547237637924</v>
      </c>
      <c r="AL6" s="96">
        <f>IF(ISERROR(GC_esters!K6), GC_esters!U6, IF(ISERROR(GC_esters!U6), GC_esters!K6, AVERAGE(GC_esters!K6,  GC_esters!U6)))</f>
        <v>0.55249999999999999</v>
      </c>
      <c r="AM6" s="96">
        <f>IF(ISERROR(GC_esters!K6),0,IF(ISERROR(GC_esters!U6),0,STDEV(GC_esters!K6, GC_esters!U6)))</f>
        <v>1.7677669529663625E-2</v>
      </c>
      <c r="AN6" s="96">
        <f>IF(ISERROR(GC_esters!L6), GC_esters!V6, IF(ISERROR(GC_esters!V6), GC_esters!L6, AVERAGE(GC_esters!L6,  GC_esters!V6)))</f>
        <v>3.7424999999999997</v>
      </c>
      <c r="AO6" s="96">
        <f>IF(ISERROR(GC_esters!L6),0,IF(ISERROR(GC_esters!V6),0,STDEV(GC_esters!L6, GC_esters!V6)))</f>
        <v>7.4246212024587477E-2</v>
      </c>
      <c r="AP6" s="96">
        <f>IF(ISERROR(GC_esters!M6), GC_esters!W6, IF(ISERROR(GC_esters!W6), GC_esters!M6, AVERAGE(GC_esters!M6,  GC_esters!W6)))</f>
        <v>7.1624999999999996</v>
      </c>
      <c r="AQ6" s="96">
        <f>IF(ISERROR(GC_esters!M6),0,IF(ISERROR(GC_esters!W6),0,STDEV(GC_esters!M6, GC_esters!W6)))</f>
        <v>0.90863221382471371</v>
      </c>
      <c r="AR6" s="96">
        <f>IF(ISERROR(GC_ketones!D6), GC_ketones!F6, IF(ISERROR(GC_ketones!F6), GC_ketones!D6, AVERAGE(GC_ketones!D6, GC_ketones!F6)))</f>
        <v>5940.25</v>
      </c>
      <c r="AS6" s="96">
        <f>IF(ISERROR(GC_ketones!D6),0,IF(ISERROR(GC_ketones!F6),0,STDEV(GC_ketones!D6, GC_ketones!F6)))</f>
        <v>56.214989104330527</v>
      </c>
      <c r="AT6" s="96">
        <f>IF(ISERROR(GC_ketones!E6), GC_ketones!G6, IF(ISERROR(GC_ketones!G6), GC_ketones!E6, AVERAGE(GC_ketones!E6, GC_ketones!G6)))</f>
        <v>2139</v>
      </c>
      <c r="AU6" s="96">
        <f>IF(ISERROR(GC_ketones!E6),0,IF(ISERROR(GC_ketones!G6),0,STDEV(GC_ketones!E6, GC_ketones!G6)))</f>
        <v>112.42997820866105</v>
      </c>
      <c r="AV6">
        <f t="shared" si="13"/>
        <v>19.882989840348326</v>
      </c>
      <c r="AW6">
        <f t="shared" si="1"/>
        <v>9.0395291210728757E-2</v>
      </c>
      <c r="AX6">
        <f t="shared" si="0"/>
        <v>0.14076923076923079</v>
      </c>
      <c r="AY6">
        <f t="shared" si="2"/>
        <v>0.13498603220419661</v>
      </c>
      <c r="AZ6">
        <f t="shared" si="0"/>
        <v>0.52323657474600871</v>
      </c>
      <c r="BA6">
        <f t="shared" si="3"/>
        <v>4.1348047561529912E-2</v>
      </c>
      <c r="BB6">
        <f t="shared" si="0"/>
        <v>9.8538461538461544</v>
      </c>
      <c r="BC6">
        <f t="shared" si="4"/>
        <v>3.739431172192733E-2</v>
      </c>
      <c r="BD6">
        <f t="shared" si="0"/>
        <v>4.116835994194485</v>
      </c>
      <c r="BE6">
        <f t="shared" si="5"/>
        <v>9.3519847629054201E-2</v>
      </c>
      <c r="BF6">
        <f t="shared" si="0"/>
        <v>67.768432510885333</v>
      </c>
      <c r="BG6">
        <f t="shared" si="6"/>
        <v>3.2259006745546513E-2</v>
      </c>
      <c r="BH6">
        <f t="shared" si="0"/>
        <v>0.58698113207547165</v>
      </c>
      <c r="BI6">
        <f t="shared" si="7"/>
        <v>3.8013552225549613E-2</v>
      </c>
      <c r="BJ6">
        <f t="shared" si="0"/>
        <v>3.9760667634252531</v>
      </c>
      <c r="BK6">
        <f t="shared" si="8"/>
        <v>2.8545977063730094E-2</v>
      </c>
      <c r="BL6">
        <f t="shared" si="0"/>
        <v>7.6095065312046435</v>
      </c>
      <c r="BM6">
        <f t="shared" si="9"/>
        <v>0.12850941541442637</v>
      </c>
      <c r="BN6">
        <f t="shared" si="0"/>
        <v>6310.9767779390413</v>
      </c>
      <c r="BO6">
        <f t="shared" si="10"/>
        <v>2.260212636778287E-2</v>
      </c>
      <c r="BP6">
        <f t="shared" si="0"/>
        <v>2272.4934687953555</v>
      </c>
      <c r="BQ6">
        <f t="shared" si="11"/>
        <v>5.6427449558885408E-2</v>
      </c>
      <c r="BR6">
        <f t="shared" si="12"/>
        <v>4.8296774193548382</v>
      </c>
    </row>
    <row r="7" spans="1:70" x14ac:dyDescent="0.25">
      <c r="A7">
        <f>CellCount_Viability!A7</f>
        <v>46273</v>
      </c>
      <c r="B7" s="69">
        <f>CellCount_Viability!B7</f>
        <v>120</v>
      </c>
      <c r="C7" s="63">
        <f>CellCount_Viability!C7</f>
        <v>5</v>
      </c>
      <c r="D7" s="11">
        <f>IF(ISERROR(CellCount_Viability!E7), CellCount_Viability!H7, IF(ISERROR(CellCount_Viability!H7), CellCount_Viability!E7, AVERAGE(CellCount_Viability!E7, CellCount_Viability!H7)))</f>
        <v>39340000</v>
      </c>
      <c r="E7" s="11">
        <f>IF(ISERROR(CellCount_Viability!E7),0,IF(ISERROR(CellCount_Viability!H7),0,STDEV(CellCount_Viability!E7,CellCount_Viability!H7)))</f>
        <v>3167838.3797157328</v>
      </c>
      <c r="F7" s="92">
        <f>IF(ISERROR(CellCount_Viability!F7), CellCount_Viability!I7, IF(ISERROR(CellCount_Viability!I7), CellCount_Viability!F7, AVERAGE(CellCount_Viability!F7, CellCount_Viability!I7)))</f>
        <v>0.99243858168386478</v>
      </c>
      <c r="G7" s="92">
        <f>IF(ISERROR(CellCount_Viability!F7),0,IF(ISERROR(CellCount_Viability!I7),0,STDEV(CellCount_Viability!F7,CellCount_Viability!I7)))</f>
        <v>2.2310503375835189E-3</v>
      </c>
      <c r="J7" s="96">
        <f>IF(ISERROR(Attenuation!D8), Attenuation!E8, IF(ISERROR(Attenuation!E8), Attenuation!D8, AVERAGE(Attenuation!D8, Attenuation!E8)))</f>
        <v>6.9579999999999993</v>
      </c>
      <c r="K7" s="96">
        <f>IF(ISERROR(Attenuation!D8),0,IF(ISERROR(Attenuation!E8),0,STDEV(Attenuation!D8,Attenuation!E8)))</f>
        <v>0</v>
      </c>
      <c r="L7" s="96">
        <f>IF(ISERROR(pH!D8), pH!E8, IF(ISERROR(pH!E8), pH!D8, AVERAGE(pH!D8, pH!E8)))</f>
        <v>4.2972999999999999</v>
      </c>
      <c r="M7" s="96">
        <f>IF(ISERROR(pH!D8),0,IF(ISERROR(pH!E8),0,STDEV(pH!D8,pH!E8)))</f>
        <v>6.9296464556283443E-3</v>
      </c>
      <c r="N7" s="96">
        <f>IF(ISERROR(HPLC!D7), HPLC!J7, IF(ISERROR( HPLC!J7), HPLC!D7, AVERAGE(HPLC!D7,  HPLC!J7)))</f>
        <v>4.3966452562264369</v>
      </c>
      <c r="O7" s="96">
        <f>IF(ISERROR( HPLC!D7),0,IF(ISERROR( HPLC!J7),0,STDEV( HPLC!D7, HPLC!J7)))</f>
        <v>0.13209194030604335</v>
      </c>
      <c r="P7" s="96">
        <f>IF(ISERROR(HPLC!E7), HPLC!K7, IF(ISERROR( HPLC!K7), HPLC!E7, AVERAGE(HPLC!E7,  HPLC!K7)))</f>
        <v>16.75</v>
      </c>
      <c r="Q7" s="96">
        <f>IF(ISERROR( HPLC!E7),0,IF(ISERROR( HPLC!K7),0,STDEV( HPLC!E7, HPLC!K7)))</f>
        <v>0.35355339059327379</v>
      </c>
      <c r="R7" s="96">
        <f>IF(ISERROR(HPLC!F7), HPLC!L7, IF(ISERROR( HPLC!L7), HPLC!F7, AVERAGE(HPLC!F7,  HPLC!L7)))</f>
        <v>0</v>
      </c>
      <c r="S7" s="96">
        <f>IF(ISERROR( HPLC!F7),0,IF(ISERROR( HPLC!L7),0,STDEV( HPLC!F7, HPLC!L7)))</f>
        <v>0</v>
      </c>
      <c r="T7" s="96">
        <f>IF(ISERROR(HPLC!G7), HPLC!M7, IF(ISERROR( HPLC!M7), HPLC!G7, AVERAGE(HPLC!M7,  HPLC!G7)))</f>
        <v>0</v>
      </c>
      <c r="U7" s="96">
        <f>IF(ISERROR( HPLC!M7),0,IF(ISERROR( HPLC!G7),0,STDEV( HPLC!M7, HPLC!G7)))</f>
        <v>0</v>
      </c>
      <c r="V7" s="96">
        <f>IF(ISERROR(HPLC!H7), HPLC!N7, IF(ISERROR( HPLC!N7), HPLC!H7, AVERAGE(HPLC!H7,  HPLC!N7)))</f>
        <v>2.2653241956776156</v>
      </c>
      <c r="W7" s="96">
        <f>IF(ISERROR( HPLC!H7),0,IF(ISERROR( HPLC!N7),0,STDEV( HPLC!H7, HPLC!N7)))</f>
        <v>1.1254938029639911E-2</v>
      </c>
      <c r="X7" s="96">
        <f>IF(ISERROR(HPLC!I7), HPLC!O7, IF(ISERROR( HPLC!O7), HPLC!I7, AVERAGE(HPLC!I7,  HPLC!O7)))</f>
        <v>51.325000000000003</v>
      </c>
      <c r="Y7" s="96">
        <f>IF(ISERROR( HPLC!I7),0,IF(ISERROR( HPLC!O7),0,STDEV( HPLC!I7, HPLC!O7)))</f>
        <v>0.10606601717798113</v>
      </c>
      <c r="Z7" s="96">
        <f>IF(ISERROR(GC_esters!D7), GC_esters!N7, IF(ISERROR(GC_esters!N7), GC_esters!D7, AVERAGE(GC_esters!D7,  GC_esters!N7)))</f>
        <v>25.952500000000001</v>
      </c>
      <c r="AA7" s="96">
        <f>IF(ISERROR(GC_esters!D7),0,IF(ISERROR(GC_esters!N7),0,STDEV(GC_esters!D7, GC_esters!N7)))</f>
        <v>2.1814244199604969</v>
      </c>
      <c r="AB7" s="96">
        <f>IF(ISERROR(GC_esters!F7), GC_esters!P7, IF(ISERROR(GC_esters!P7), GC_esters!F7, AVERAGE(GC_esters!F7,  GC_esters!P7)))</f>
        <v>0.16999999999999998</v>
      </c>
      <c r="AC7" s="96">
        <f>IF(ISERROR(GC_esters!F7),0,IF(ISERROR(GC_esters!P7),0,STDEV(GC_esters!F7, GC_esters!P7)))</f>
        <v>1.4142135623730944E-2</v>
      </c>
      <c r="AD7" s="96">
        <f>IF(ISERROR(GC_esters!G7), GC_esters!Q7, IF(ISERROR(GC_esters!Q7), GC_esters!G7, AVERAGE(GC_esters!G7,  GC_esters!Q7)))</f>
        <v>0.57000000000000006</v>
      </c>
      <c r="AE7" s="96">
        <f>IF(ISERROR(GC_esters!G7),0,IF(ISERROR(GC_esters!Q7),0,STDEV(GC_esters!G7, GC_esters!Q7)))</f>
        <v>2.8284271247461849E-2</v>
      </c>
      <c r="AF7" s="96">
        <f>IF(ISERROR(GC_esters!H7), GC_esters!R7, IF(ISERROR(GC_esters!R7), GC_esters!H7, AVERAGE(GC_esters!H7,  GC_esters!R7)))</f>
        <v>10.940000000000001</v>
      </c>
      <c r="AG7" s="96">
        <f>IF(ISERROR(GC_esters!H7),0,IF(ISERROR(GC_esters!R7),0,STDEV(GC_esters!H7, GC_esters!R7)))</f>
        <v>0.32526911934581121</v>
      </c>
      <c r="AH7" s="96">
        <f>IF(ISERROR(GC_esters!I7), GC_esters!S7, IF(ISERROR(GC_esters!S7), GC_esters!I7, AVERAGE(GC_esters!I7,  GC_esters!S7)))</f>
        <v>5.0175000000000001</v>
      </c>
      <c r="AI7" s="96">
        <f>IF(ISERROR(GC_esters!I7),0,IF(ISERROR(GC_esters!S7),0,STDEV(GC_esters!I7, GC_esters!S7)))</f>
        <v>0.42072853480599498</v>
      </c>
      <c r="AJ7" s="96">
        <f>IF(ISERROR(GC_esters!J7), GC_esters!T7, IF(ISERROR(GC_esters!T7), GC_esters!J7, AVERAGE(GC_esters!J7,  GC_esters!T7)))</f>
        <v>68.325000000000003</v>
      </c>
      <c r="AK7" s="96">
        <f>IF(ISERROR(GC_esters!J7),0,IF(ISERROR(GC_esters!T7),0,STDEV(GC_esters!J7, GC_esters!T7)))</f>
        <v>2.0647518010647099</v>
      </c>
      <c r="AL7" s="96">
        <f>IF(ISERROR(GC_esters!K7), GC_esters!U7, IF(ISERROR(GC_esters!U7), GC_esters!K7, AVERAGE(GC_esters!K7,  GC_esters!U7)))</f>
        <v>0.72750000000000004</v>
      </c>
      <c r="AM7" s="96">
        <f>IF(ISERROR(GC_esters!K7),0,IF(ISERROR(GC_esters!U7),0,STDEV(GC_esters!K7, GC_esters!U7)))</f>
        <v>3.1819805153394672E-2</v>
      </c>
      <c r="AN7" s="96">
        <f>IF(ISERROR(GC_esters!L7), GC_esters!V7, IF(ISERROR(GC_esters!V7), GC_esters!L7, AVERAGE(GC_esters!L7,  GC_esters!V7)))</f>
        <v>5.3424999999999994</v>
      </c>
      <c r="AO7" s="96">
        <f>IF(ISERROR(GC_esters!L7),0,IF(ISERROR(GC_esters!V7),0,STDEV(GC_esters!L7, GC_esters!V7)))</f>
        <v>0.10253048327204972</v>
      </c>
      <c r="AP7" s="96">
        <f>IF(ISERROR(GC_esters!M7), GC_esters!W7, IF(ISERROR(GC_esters!W7), GC_esters!M7, AVERAGE(GC_esters!M7,  GC_esters!W7)))</f>
        <v>11.62</v>
      </c>
      <c r="AQ7" s="96">
        <f>IF(ISERROR(GC_esters!M7),0,IF(ISERROR(GC_esters!W7),0,STDEV(GC_esters!M7, GC_esters!W7)))</f>
        <v>1.3505739520663058</v>
      </c>
      <c r="AR7" s="96">
        <f>IF(ISERROR(GC_ketones!D7), GC_ketones!F7, IF(ISERROR(GC_ketones!F7), GC_ketones!D7, AVERAGE(GC_ketones!D7, GC_ketones!F7)))</f>
        <v>4840.25</v>
      </c>
      <c r="AS7" s="96">
        <f>IF(ISERROR(GC_ketones!D7),0,IF(ISERROR(GC_ketones!F7),0,STDEV(GC_ketones!D7, GC_ketones!F7)))</f>
        <v>146.7246570962086</v>
      </c>
      <c r="AT7" s="96">
        <f>IF(ISERROR(GC_ketones!E7), GC_ketones!G7, IF(ISERROR(GC_ketones!G7), GC_ketones!E7, AVERAGE(GC_ketones!E7, GC_ketones!G7)))</f>
        <v>1824.75</v>
      </c>
      <c r="AU7" s="96">
        <f>IF(ISERROR(GC_ketones!E7),0,IF(ISERROR(GC_ketones!G7),0,STDEV(GC_ketones!E7, GC_ketones!G7)))</f>
        <v>127.63277400417182</v>
      </c>
      <c r="AV7">
        <f t="shared" si="13"/>
        <v>18.506799805163176</v>
      </c>
      <c r="AW7">
        <f t="shared" si="1"/>
        <v>8.4079900587645084E-2</v>
      </c>
      <c r="AX7">
        <f t="shared" si="0"/>
        <v>0.12122747199220651</v>
      </c>
      <c r="AY7">
        <f t="shared" si="2"/>
        <v>8.3214697506323751E-2</v>
      </c>
      <c r="AZ7">
        <f t="shared" si="0"/>
        <v>0.40646858256210427</v>
      </c>
      <c r="BA7">
        <f t="shared" si="3"/>
        <v>4.966454215293261E-2</v>
      </c>
      <c r="BB7">
        <f t="shared" si="0"/>
        <v>7.8013443740867032</v>
      </c>
      <c r="BC7">
        <f t="shared" si="4"/>
        <v>2.9803827430273204E-2</v>
      </c>
      <c r="BD7">
        <f t="shared" si="0"/>
        <v>3.5779931807111542</v>
      </c>
      <c r="BE7">
        <f t="shared" si="5"/>
        <v>8.3877685682874348E-2</v>
      </c>
      <c r="BF7">
        <f t="shared" si="0"/>
        <v>48.722747199220656</v>
      </c>
      <c r="BG7">
        <f t="shared" si="6"/>
        <v>3.029014336041486E-2</v>
      </c>
      <c r="BH7">
        <f t="shared" si="0"/>
        <v>0.51878226984900155</v>
      </c>
      <c r="BI7">
        <f t="shared" si="7"/>
        <v>4.3787356829418256E-2</v>
      </c>
      <c r="BJ7">
        <f t="shared" si="0"/>
        <v>3.8097515830491959</v>
      </c>
      <c r="BK7">
        <f t="shared" si="8"/>
        <v>1.9302423956677216E-2</v>
      </c>
      <c r="BL7">
        <f t="shared" si="0"/>
        <v>8.2862542620555271</v>
      </c>
      <c r="BM7">
        <f t="shared" si="9"/>
        <v>0.11624676556260911</v>
      </c>
      <c r="BN7">
        <f t="shared" si="0"/>
        <v>3451.595713589868</v>
      </c>
      <c r="BO7">
        <f t="shared" si="10"/>
        <v>3.038380597845948E-2</v>
      </c>
      <c r="BP7">
        <f t="shared" si="0"/>
        <v>1301.2342912810523</v>
      </c>
      <c r="BQ7">
        <f t="shared" si="11"/>
        <v>6.9975869994488224E-2</v>
      </c>
      <c r="BR7">
        <f t="shared" si="12"/>
        <v>5.1723966118584954</v>
      </c>
    </row>
    <row r="8" spans="1:70" x14ac:dyDescent="0.25">
      <c r="A8">
        <f>CellCount_Viability!A8</f>
        <v>46274</v>
      </c>
      <c r="B8" s="69">
        <f>CellCount_Viability!B8</f>
        <v>144</v>
      </c>
      <c r="C8" s="63">
        <f>CellCount_Viability!C8</f>
        <v>6</v>
      </c>
      <c r="D8" s="11">
        <f>IF(ISERROR(CellCount_Viability!E8), CellCount_Viability!H8, IF(ISERROR(CellCount_Viability!H8), CellCount_Viability!E8, AVERAGE(CellCount_Viability!E8, CellCount_Viability!H8)))</f>
        <v>44360000</v>
      </c>
      <c r="E8" s="11">
        <f>IF(ISERROR(CellCount_Viability!E8),0,IF(ISERROR(CellCount_Viability!H8),0,STDEV(CellCount_Viability!E8,CellCount_Viability!H8)))</f>
        <v>1725340.5460951759</v>
      </c>
      <c r="F8" s="92">
        <f>IF(ISERROR(CellCount_Viability!F8), CellCount_Viability!I8, IF(ISERROR(CellCount_Viability!I8), CellCount_Viability!F8, AVERAGE(CellCount_Viability!F8, CellCount_Viability!I8)))</f>
        <v>0.99561012717556019</v>
      </c>
      <c r="G8" s="92">
        <f>IF(ISERROR(CellCount_Viability!F8),0,IF(ISERROR(CellCount_Viability!I8),0,STDEV(CellCount_Viability!F8,CellCount_Viability!I8)))</f>
        <v>3.0746568664089853E-4</v>
      </c>
      <c r="J8" s="96">
        <f>IF(ISERROR(Attenuation!D9), Attenuation!E9, IF(ISERROR(Attenuation!E9), Attenuation!D9, AVERAGE(Attenuation!D9, Attenuation!E9)))</f>
        <v>5.7129999999999992</v>
      </c>
      <c r="K8" s="96">
        <f>IF(ISERROR(Attenuation!D9),0,IF(ISERROR(Attenuation!E9),0,STDEV(Attenuation!D9,Attenuation!E9)))</f>
        <v>0.28708535316173811</v>
      </c>
      <c r="L8" s="96">
        <f>IF(ISERROR(pH!D9), pH!E9, IF(ISERROR(pH!E9), pH!D9, AVERAGE(pH!D9, pH!E9)))</f>
        <v>4.3044499999999992</v>
      </c>
      <c r="M8" s="96">
        <f>IF(ISERROR(pH!D9),0,IF(ISERROR(pH!E9),0,STDEV(pH!D9,pH!E9)))</f>
        <v>0.2163039643649651</v>
      </c>
      <c r="N8" s="96">
        <f>IF(ISERROR(HPLC!D8), HPLC!J8, IF(ISERROR( HPLC!J8), HPLC!D8, AVERAGE(HPLC!D8,  HPLC!J8)))</f>
        <v>3.7212579785267392</v>
      </c>
      <c r="O8" s="96">
        <f>IF(ISERROR( HPLC!D8),0,IF(ISERROR( HPLC!J8),0,STDEV( HPLC!D8, HPLC!J8)))</f>
        <v>0.21303444010762429</v>
      </c>
      <c r="P8" s="96">
        <f>IF(ISERROR(HPLC!E8), HPLC!K8, IF(ISERROR( HPLC!K8), HPLC!E8, AVERAGE(HPLC!E8,  HPLC!K8)))</f>
        <v>4.2249999999999996</v>
      </c>
      <c r="Q8" s="96">
        <f>IF(ISERROR( HPLC!E8),0,IF(ISERROR( HPLC!K8),0,STDEV( HPLC!E8, HPLC!K8)))</f>
        <v>0.17677669529663689</v>
      </c>
      <c r="R8" s="96">
        <f>IF(ISERROR(HPLC!F8), HPLC!L8, IF(ISERROR( HPLC!L8), HPLC!F8, AVERAGE(HPLC!F8,  HPLC!L8)))</f>
        <v>0</v>
      </c>
      <c r="S8" s="96">
        <f>IF(ISERROR( HPLC!F8),0,IF(ISERROR( HPLC!L8),0,STDEV( HPLC!F8, HPLC!L8)))</f>
        <v>0</v>
      </c>
      <c r="T8" s="96">
        <f>IF(ISERROR(HPLC!G8), HPLC!M8, IF(ISERROR( HPLC!M8), HPLC!G8, AVERAGE(HPLC!M8,  HPLC!G8)))</f>
        <v>0</v>
      </c>
      <c r="U8" s="96">
        <f>IF(ISERROR( HPLC!M8),0,IF(ISERROR( HPLC!G8),0,STDEV( HPLC!M8, HPLC!G8)))</f>
        <v>0</v>
      </c>
      <c r="V8" s="96">
        <f>IF(ISERROR(HPLC!H8), HPLC!N8, IF(ISERROR( HPLC!N8), HPLC!H8, AVERAGE(HPLC!H8,  HPLC!N8)))</f>
        <v>2.5124504715697182</v>
      </c>
      <c r="W8" s="96">
        <f>IF(ISERROR( HPLC!H8),0,IF(ISERROR( HPLC!N8),0,STDEV( HPLC!H8, HPLC!N8)))</f>
        <v>1.2482749451055311E-2</v>
      </c>
      <c r="X8" s="96">
        <f>IF(ISERROR(HPLC!I8), HPLC!O8, IF(ISERROR( HPLC!O8), HPLC!I8, AVERAGE(HPLC!I8,  HPLC!O8)))</f>
        <v>55.125</v>
      </c>
      <c r="Y8" s="96">
        <f>IF(ISERROR( HPLC!I8),0,IF(ISERROR( HPLC!O8),0,STDEV( HPLC!I8, HPLC!O8)))</f>
        <v>0.24748737341528762</v>
      </c>
      <c r="Z8" s="96">
        <f>IF(ISERROR(GC_esters!D8), GC_esters!N8, IF(ISERROR(GC_esters!N8), GC_esters!D8, AVERAGE(GC_esters!D8,  GC_esters!N8)))</f>
        <v>30.821375</v>
      </c>
      <c r="AA8" s="96">
        <f>IF(ISERROR(GC_esters!D8),0,IF(ISERROR(GC_esters!N8),0,STDEV(GC_esters!D8, GC_esters!N8)))</f>
        <v>2.1444780906435019</v>
      </c>
      <c r="AB8" s="96">
        <f>IF(ISERROR(GC_esters!F8), GC_esters!P8, IF(ISERROR(GC_esters!P8), GC_esters!F8, AVERAGE(GC_esters!F8,  GC_esters!P8)))</f>
        <v>0.192</v>
      </c>
      <c r="AC8" s="96">
        <f>IF(ISERROR(GC_esters!F8),0,IF(ISERROR(GC_esters!P8),0,STDEV(GC_esters!F8, GC_esters!P8)))</f>
        <v>1.4142135623730963E-2</v>
      </c>
      <c r="AD8" s="96">
        <f>IF(ISERROR(GC_esters!G8), GC_esters!Q8, IF(ISERROR(GC_esters!Q8), GC_esters!G8, AVERAGE(GC_esters!G8,  GC_esters!Q8)))</f>
        <v>0.63462499999999999</v>
      </c>
      <c r="AE8" s="96">
        <f>IF(ISERROR(GC_esters!G8),0,IF(ISERROR(GC_esters!Q8),0,STDEV(GC_esters!G8, GC_esters!Q8)))</f>
        <v>2.2450640302672766E-2</v>
      </c>
      <c r="AF8" s="96">
        <f>IF(ISERROR(GC_esters!H8), GC_esters!R8, IF(ISERROR(GC_esters!R8), GC_esters!H8, AVERAGE(GC_esters!H8,  GC_esters!R8)))</f>
        <v>11.967124999999999</v>
      </c>
      <c r="AG8" s="96">
        <f>IF(ISERROR(GC_esters!H8),0,IF(ISERROR(GC_esters!R8),0,STDEV(GC_esters!H8, GC_esters!R8)))</f>
        <v>0.16387199653998233</v>
      </c>
      <c r="AH8" s="96">
        <f>IF(ISERROR(GC_esters!I8), GC_esters!S8, IF(ISERROR(GC_esters!S8), GC_esters!I8, AVERAGE(GC_esters!I8,  GC_esters!S8)))</f>
        <v>5.7008749999999999</v>
      </c>
      <c r="AI8" s="96">
        <f>IF(ISERROR(GC_esters!I8),0,IF(ISERROR(GC_esters!S8),0,STDEV(GC_esters!I8, GC_esters!S8)))</f>
        <v>0.40711672926815429</v>
      </c>
      <c r="AJ8" s="96">
        <f>IF(ISERROR(GC_esters!J8), GC_esters!T8, IF(ISERROR(GC_esters!T8), GC_esters!J8, AVERAGE(GC_esters!J8,  GC_esters!T8)))</f>
        <v>71.257874999999999</v>
      </c>
      <c r="AK8" s="96">
        <f>IF(ISERROR(GC_esters!J8),0,IF(ISERROR(GC_esters!T8),0,STDEV(GC_esters!J8, GC_esters!T8)))</f>
        <v>1.1138699570641168</v>
      </c>
      <c r="AL8" s="96">
        <f>IF(ISERROR(GC_esters!K8), GC_esters!U8, IF(ISERROR(GC_esters!U8), GC_esters!K8, AVERAGE(GC_esters!K8,  GC_esters!U8)))</f>
        <v>0.77287499999999998</v>
      </c>
      <c r="AM8" s="96">
        <f>IF(ISERROR(GC_esters!K8),0,IF(ISERROR(GC_esters!U8),0,STDEV(GC_esters!K8, GC_esters!U8)))</f>
        <v>2.5986174208605585E-2</v>
      </c>
      <c r="AN8" s="96">
        <f>IF(ISERROR(GC_esters!L8), GC_esters!V8, IF(ISERROR(GC_esters!V8), GC_esters!L8, AVERAGE(GC_esters!L8,  GC_esters!V8)))</f>
        <v>6.3435000000000006</v>
      </c>
      <c r="AO8" s="96">
        <f>IF(ISERROR(GC_esters!L8),0,IF(ISERROR(GC_esters!V8),0,STDEV(GC_esters!L8, GC_esters!V8)))</f>
        <v>4.4194173824159848E-2</v>
      </c>
      <c r="AP8" s="96">
        <f>IF(ISERROR(GC_esters!M8), GC_esters!W8, IF(ISERROR(GC_esters!W8), GC_esters!M8, AVERAGE(GC_esters!M8,  GC_esters!W8)))</f>
        <v>13.568375</v>
      </c>
      <c r="AQ8" s="96">
        <f>IF(ISERROR(GC_esters!M8),0,IF(ISERROR(GC_esters!W8),0,STDEV(GC_esters!M8, GC_esters!W8)))</f>
        <v>1.0063897263237545</v>
      </c>
      <c r="AR8" s="96">
        <f>IF(ISERROR(GC_ketones!D8), GC_ketones!F8, IF(ISERROR(GC_ketones!F8), GC_ketones!D8, AVERAGE(GC_ketones!D8, GC_ketones!F8)))</f>
        <v>3602.5</v>
      </c>
      <c r="AS8" s="96">
        <f>IF(ISERROR(GC_ketones!D8),0,IF(ISERROR(GC_ketones!F8),0,STDEV(GC_ketones!D8, GC_ketones!F8)))</f>
        <v>89.802561210691536</v>
      </c>
      <c r="AT8" s="96">
        <f>IF(ISERROR(GC_ketones!E8), GC_ketones!G8, IF(ISERROR(GC_ketones!G8), GC_ketones!E8, AVERAGE(GC_ketones!E8, GC_ketones!G8)))</f>
        <v>1645.75</v>
      </c>
      <c r="AU8" s="96">
        <f>IF(ISERROR(GC_ketones!E8),0,IF(ISERROR(GC_ketones!G8),0,STDEV(GC_ketones!E8, GC_ketones!G8)))</f>
        <v>71.771338290434571</v>
      </c>
      <c r="AV8">
        <f t="shared" si="13"/>
        <v>20.463715646258507</v>
      </c>
      <c r="AW8">
        <f t="shared" si="1"/>
        <v>6.9722322083001054E-2</v>
      </c>
      <c r="AX8">
        <f t="shared" si="0"/>
        <v>0.12747755102040817</v>
      </c>
      <c r="AY8">
        <f t="shared" si="2"/>
        <v>7.3793654421329694E-2</v>
      </c>
      <c r="AZ8">
        <f t="shared" si="0"/>
        <v>0.42135646258503406</v>
      </c>
      <c r="BA8">
        <f t="shared" si="3"/>
        <v>3.5659976127737317E-2</v>
      </c>
      <c r="BB8">
        <f t="shared" si="0"/>
        <v>7.9455197278911571</v>
      </c>
      <c r="BC8">
        <f t="shared" si="4"/>
        <v>1.4410709307233845E-2</v>
      </c>
      <c r="BD8">
        <f t="shared" si="0"/>
        <v>3.78507074829932</v>
      </c>
      <c r="BE8">
        <f t="shared" si="5"/>
        <v>7.1554010087379563E-2</v>
      </c>
      <c r="BF8">
        <f t="shared" si="0"/>
        <v>47.311351020408168</v>
      </c>
      <c r="BG8">
        <f t="shared" si="6"/>
        <v>1.6263489560693241E-2</v>
      </c>
      <c r="BH8">
        <f t="shared" si="0"/>
        <v>0.51314693877551021</v>
      </c>
      <c r="BI8">
        <f t="shared" si="7"/>
        <v>3.3921155219707282E-2</v>
      </c>
      <c r="BJ8">
        <f t="shared" si="0"/>
        <v>4.2117387755102049</v>
      </c>
      <c r="BK8">
        <f t="shared" si="8"/>
        <v>8.2881314877884197E-3</v>
      </c>
      <c r="BL8">
        <f t="shared" si="0"/>
        <v>9.0086625850340134</v>
      </c>
      <c r="BM8">
        <f t="shared" si="9"/>
        <v>7.4307472181770737E-2</v>
      </c>
      <c r="BN8">
        <f t="shared" si="0"/>
        <v>2391.8639455782313</v>
      </c>
      <c r="BO8">
        <f t="shared" si="10"/>
        <v>2.5328909597843348E-2</v>
      </c>
      <c r="BP8">
        <f t="shared" si="0"/>
        <v>1092.6884353741498</v>
      </c>
      <c r="BQ8">
        <f t="shared" si="11"/>
        <v>4.3840596392107842E-2</v>
      </c>
      <c r="BR8">
        <f t="shared" si="12"/>
        <v>5.4064288376784262</v>
      </c>
    </row>
    <row r="9" spans="1:70" x14ac:dyDescent="0.25">
      <c r="A9">
        <f>CellCount_Viability!A9</f>
        <v>46275</v>
      </c>
      <c r="B9" s="69">
        <f>CellCount_Viability!B9</f>
        <v>168</v>
      </c>
      <c r="C9" s="63">
        <f>CellCount_Viability!C9</f>
        <v>7</v>
      </c>
      <c r="D9" s="11">
        <f>IF(ISERROR(CellCount_Viability!E9), CellCount_Viability!H9, IF(ISERROR(CellCount_Viability!H9), CellCount_Viability!E9, AVERAGE(CellCount_Viability!E9, CellCount_Viability!H9)))</f>
        <v>48010000</v>
      </c>
      <c r="E9" s="11">
        <f>IF(ISERROR(CellCount_Viability!E9),0,IF(ISERROR(CellCount_Viability!H9),0,STDEV(CellCount_Viability!E9,CellCount_Viability!H9)))</f>
        <v>777817.45930520224</v>
      </c>
      <c r="F9" s="92">
        <f>IF(ISERROR(CellCount_Viability!F9), CellCount_Viability!I9, IF(ISERROR(CellCount_Viability!I9), CellCount_Viability!F9, AVERAGE(CellCount_Viability!F9, CellCount_Viability!I9)))</f>
        <v>0.98452717661834011</v>
      </c>
      <c r="G9" s="92">
        <f>IF(ISERROR(CellCount_Viability!F9),0,IF(ISERROR(CellCount_Viability!I9),0,STDEV(CellCount_Viability!F9,CellCount_Viability!I9)))</f>
        <v>4.7575444118742758E-3</v>
      </c>
      <c r="J9" s="96">
        <f>IF(ISERROR(Attenuation!D10), Attenuation!E10, IF(ISERROR(Attenuation!E10), Attenuation!D10, AVERAGE(Attenuation!D10, Attenuation!E10)))</f>
        <v>5.2185000000000006</v>
      </c>
      <c r="K9" s="96">
        <f>IF(ISERROR(Attenuation!D10),0,IF(ISERROR(Attenuation!E10),0,STDEV(Attenuation!D10,Attenuation!E10)))</f>
        <v>0.17324116139070422</v>
      </c>
      <c r="L9" s="96">
        <f>IF(ISERROR(pH!D10), pH!E10, IF(ISERROR(pH!E10), pH!D10, AVERAGE(pH!D10, pH!E10)))</f>
        <v>4.6649500000000002</v>
      </c>
      <c r="M9" s="96">
        <f>IF(ISERROR(pH!D10),0,IF(ISERROR(pH!E10),0,STDEV(pH!D10,pH!E10)))</f>
        <v>0.16991775951912702</v>
      </c>
      <c r="N9" s="96">
        <f>IF(ISERROR(HPLC!D9), HPLC!J9, IF(ISERROR( HPLC!J9), HPLC!D9, AVERAGE(HPLC!D9,  HPLC!J9)))</f>
        <v>3.5977479065771454</v>
      </c>
      <c r="O9" s="96">
        <f>IF(ISERROR( HPLC!D9),0,IF(ISERROR( HPLC!J9),0,STDEV( HPLC!D9, HPLC!J9)))</f>
        <v>0.31516031881409068</v>
      </c>
      <c r="P9" s="96">
        <f>IF(ISERROR(HPLC!E9), HPLC!K9, IF(ISERROR( HPLC!K9), HPLC!E9, AVERAGE(HPLC!E9,  HPLC!K9)))</f>
        <v>3.375</v>
      </c>
      <c r="Q9" s="96">
        <f>IF(ISERROR( HPLC!E9),0,IF(ISERROR( HPLC!K9),0,STDEV( HPLC!E9, HPLC!K9)))</f>
        <v>0.10606601717798238</v>
      </c>
      <c r="R9" s="96">
        <f>IF(ISERROR(HPLC!F9), HPLC!L9, IF(ISERROR( HPLC!L9), HPLC!F9, AVERAGE(HPLC!F9,  HPLC!L9)))</f>
        <v>0</v>
      </c>
      <c r="S9" s="96">
        <f>IF(ISERROR( HPLC!F9),0,IF(ISERROR( HPLC!L9),0,STDEV( HPLC!F9, HPLC!L9)))</f>
        <v>0</v>
      </c>
      <c r="T9" s="96">
        <f>IF(ISERROR(HPLC!G9), HPLC!M9, IF(ISERROR( HPLC!M9), HPLC!G9, AVERAGE(HPLC!M9,  HPLC!G9)))</f>
        <v>0</v>
      </c>
      <c r="U9" s="96">
        <f>IF(ISERROR( HPLC!M9),0,IF(ISERROR( HPLC!G9),0,STDEV( HPLC!M9, HPLC!G9)))</f>
        <v>0</v>
      </c>
      <c r="V9" s="96">
        <f>IF(ISERROR(HPLC!H9), HPLC!N9, IF(ISERROR( HPLC!N9), HPLC!H9, AVERAGE(HPLC!H9,  HPLC!N9)))</f>
        <v>2.5124504715697187</v>
      </c>
      <c r="W9" s="96">
        <f>IF(ISERROR( HPLC!H9),0,IF(ISERROR( HPLC!N9),0,STDEV( HPLC!H9, HPLC!N9)))</f>
        <v>1.2482749451054997E-2</v>
      </c>
      <c r="X9" s="96">
        <f>IF(ISERROR(HPLC!I9), HPLC!O9, IF(ISERROR( HPLC!O9), HPLC!I9, AVERAGE(HPLC!I9,  HPLC!O9)))</f>
        <v>61.125</v>
      </c>
      <c r="Y9" s="96">
        <f>IF(ISERROR( HPLC!I9),0,IF(ISERROR( HPLC!O9),0,STDEV( HPLC!I9, HPLC!O9)))</f>
        <v>0.88388347648318444</v>
      </c>
      <c r="Z9" s="96">
        <f>IF(ISERROR(GC_esters!D9), GC_esters!N9, IF(ISERROR(GC_esters!N9), GC_esters!D9, AVERAGE(GC_esters!D9,  GC_esters!N9)))</f>
        <v>34.805</v>
      </c>
      <c r="AA9" s="96">
        <f>IF(ISERROR(GC_esters!D9),0,IF(ISERROR(GC_esters!N9),0,STDEV(GC_esters!D9, GC_esters!N9)))</f>
        <v>2.1142492757477735</v>
      </c>
      <c r="AB9" s="96">
        <f>IF(ISERROR(GC_esters!F9), GC_esters!P9, IF(ISERROR(GC_esters!P9), GC_esters!F9, AVERAGE(GC_esters!F9,  GC_esters!P9)))</f>
        <v>0.21000000000000002</v>
      </c>
      <c r="AC9" s="96">
        <f>IF(ISERROR(GC_esters!F9),0,IF(ISERROR(GC_esters!P9),0,STDEV(GC_esters!F9, GC_esters!P9)))</f>
        <v>1.4142135623730944E-2</v>
      </c>
      <c r="AD9" s="96">
        <f>IF(ISERROR(GC_esters!G9), GC_esters!Q9, IF(ISERROR(GC_esters!Q9), GC_esters!G9, AVERAGE(GC_esters!G9,  GC_esters!Q9)))</f>
        <v>0.6875</v>
      </c>
      <c r="AE9" s="96">
        <f>IF(ISERROR(GC_esters!G9),0,IF(ISERROR(GC_esters!Q9),0,STDEV(GC_esters!G9, GC_esters!Q9)))</f>
        <v>1.7677669529663625E-2</v>
      </c>
      <c r="AF9" s="96">
        <f>IF(ISERROR(GC_esters!H9), GC_esters!R9, IF(ISERROR(GC_esters!R9), GC_esters!H9, AVERAGE(GC_esters!H9,  GC_esters!R9)))</f>
        <v>12.807500000000001</v>
      </c>
      <c r="AG9" s="96">
        <f>IF(ISERROR(GC_esters!H9),0,IF(ISERROR(GC_esters!R9),0,STDEV(GC_esters!H9, GC_esters!R9)))</f>
        <v>3.1819805153394588E-2</v>
      </c>
      <c r="AH9" s="96">
        <f>IF(ISERROR(GC_esters!I9), GC_esters!S9, IF(ISERROR(GC_esters!S9), GC_esters!I9, AVERAGE(GC_esters!I9,  GC_esters!S9)))</f>
        <v>6.26</v>
      </c>
      <c r="AI9" s="96">
        <f>IF(ISERROR(GC_esters!I9),0,IF(ISERROR(GC_esters!S9),0,STDEV(GC_esters!I9, GC_esters!S9)))</f>
        <v>0.39597979746446632</v>
      </c>
      <c r="AJ9" s="96">
        <f>IF(ISERROR(GC_esters!J9), GC_esters!T9, IF(ISERROR(GC_esters!T9), GC_esters!J9, AVERAGE(GC_esters!J9,  GC_esters!T9)))</f>
        <v>73.657499999999999</v>
      </c>
      <c r="AK9" s="96">
        <f>IF(ISERROR(GC_esters!J9),0,IF(ISERROR(GC_esters!T9),0,STDEV(GC_esters!J9, GC_esters!T9)))</f>
        <v>0.33587572106360608</v>
      </c>
      <c r="AL9" s="96">
        <f>IF(ISERROR(GC_esters!K9), GC_esters!U9, IF(ISERROR(GC_esters!U9), GC_esters!K9, AVERAGE(GC_esters!K9,  GC_esters!U9)))</f>
        <v>0.81</v>
      </c>
      <c r="AM9" s="96">
        <f>IF(ISERROR(GC_esters!K9),0,IF(ISERROR(GC_esters!U9),0,STDEV(GC_esters!K9, GC_esters!U9)))</f>
        <v>2.1213203435596368E-2</v>
      </c>
      <c r="AN9" s="96">
        <f>IF(ISERROR(GC_esters!L9), GC_esters!V9, IF(ISERROR(GC_esters!V9), GC_esters!L9, AVERAGE(GC_esters!L9,  GC_esters!V9)))</f>
        <v>7.1624999999999996</v>
      </c>
      <c r="AO9" s="96">
        <f>IF(ISERROR(GC_esters!L9),0,IF(ISERROR(GC_esters!V9),0,STDEV(GC_esters!L9, GC_esters!V9)))</f>
        <v>3.5355339059326622E-3</v>
      </c>
      <c r="AP9" s="96">
        <f>IF(ISERROR(GC_esters!M9), GC_esters!W9, IF(ISERROR(GC_esters!W9), GC_esters!M9, AVERAGE(GC_esters!M9,  GC_esters!W9)))</f>
        <v>15.162500000000001</v>
      </c>
      <c r="AQ9" s="96">
        <f>IF(ISERROR(GC_esters!M9),0,IF(ISERROR(GC_esters!W9),0,STDEV(GC_esters!M9, GC_esters!W9)))</f>
        <v>0.72478445071621145</v>
      </c>
      <c r="AR9" s="96">
        <f>IF(ISERROR(GC_ketones!D9), GC_ketones!F9, IF(ISERROR(GC_ketones!F9), GC_ketones!D9, AVERAGE(GC_ketones!D9, GC_ketones!F9)))</f>
        <v>2626.25</v>
      </c>
      <c r="AS9" s="96">
        <f>IF(ISERROR(GC_ketones!D9),0,IF(ISERROR(GC_ketones!F9),0,STDEV(GC_ketones!D9, GC_ketones!F9)))</f>
        <v>215.31401487130373</v>
      </c>
      <c r="AT9" s="96">
        <f>IF(ISERROR(GC_ketones!E9), GC_ketones!G9, IF(ISERROR(GC_ketones!G9), GC_ketones!E9, AVERAGE(GC_ketones!E9, GC_ketones!G9)))</f>
        <v>1427</v>
      </c>
      <c r="AU9" s="96">
        <f>IF(ISERROR(GC_ketones!E9),0,IF(ISERROR(GC_ketones!G9),0,STDEV(GC_ketones!E9, GC_ketones!G9)))</f>
        <v>46.669047558312137</v>
      </c>
      <c r="AV9">
        <f t="shared" si="13"/>
        <v>20.840294478527607</v>
      </c>
      <c r="AW9">
        <f t="shared" si="1"/>
        <v>6.2442953389248324E-2</v>
      </c>
      <c r="AX9">
        <f t="shared" si="0"/>
        <v>0.12574233128834358</v>
      </c>
      <c r="AY9">
        <f t="shared" si="2"/>
        <v>6.8878491209472842E-2</v>
      </c>
      <c r="AZ9">
        <f t="shared" si="0"/>
        <v>0.41165644171779142</v>
      </c>
      <c r="BA9">
        <f t="shared" si="3"/>
        <v>2.9500104809925105E-2</v>
      </c>
      <c r="BB9">
        <f t="shared" si="0"/>
        <v>7.6687852760736206</v>
      </c>
      <c r="BC9">
        <f t="shared" si="4"/>
        <v>1.4672141390035521E-2</v>
      </c>
      <c r="BD9">
        <f t="shared" si="0"/>
        <v>3.7483190184049082</v>
      </c>
      <c r="BE9">
        <f t="shared" si="5"/>
        <v>6.4887324382364331E-2</v>
      </c>
      <c r="BF9">
        <f t="shared" si="0"/>
        <v>44.104122699386508</v>
      </c>
      <c r="BG9">
        <f t="shared" si="6"/>
        <v>1.5162204723309643E-2</v>
      </c>
      <c r="BH9">
        <f t="shared" si="0"/>
        <v>0.48500613496932521</v>
      </c>
      <c r="BI9">
        <f t="shared" si="7"/>
        <v>2.991605280187554E-2</v>
      </c>
      <c r="BJ9">
        <f t="shared" si="0"/>
        <v>4.2887116564417171</v>
      </c>
      <c r="BK9">
        <f t="shared" si="8"/>
        <v>1.4468684012076181E-2</v>
      </c>
      <c r="BL9">
        <f t="shared" si="0"/>
        <v>9.0788957055214734</v>
      </c>
      <c r="BM9">
        <f t="shared" si="9"/>
        <v>4.9940424858102427E-2</v>
      </c>
      <c r="BN9">
        <f t="shared" si="0"/>
        <v>1572.5276073619632</v>
      </c>
      <c r="BO9">
        <f t="shared" si="10"/>
        <v>8.3250802482150832E-2</v>
      </c>
      <c r="BP9">
        <f t="shared" si="0"/>
        <v>854.44907975460126</v>
      </c>
      <c r="BQ9">
        <f t="shared" si="11"/>
        <v>3.5758508395925641E-2</v>
      </c>
      <c r="BR9">
        <f t="shared" si="12"/>
        <v>5.5599041533546325</v>
      </c>
    </row>
    <row r="10" spans="1:70" x14ac:dyDescent="0.25">
      <c r="A10">
        <f>CellCount_Viability!A10</f>
        <v>46276</v>
      </c>
      <c r="B10" s="69">
        <f>CellCount_Viability!B10</f>
        <v>192</v>
      </c>
      <c r="C10" s="63">
        <f>CellCount_Viability!C10</f>
        <v>8</v>
      </c>
      <c r="D10" s="11">
        <f>IF(ISERROR(CellCount_Viability!E10), CellCount_Viability!H10, IF(ISERROR(CellCount_Viability!H10), CellCount_Viability!E10, AVERAGE(CellCount_Viability!E10, CellCount_Viability!H10)))</f>
        <v>46120000</v>
      </c>
      <c r="E10" s="11">
        <f>IF(ISERROR(CellCount_Viability!E10),0,IF(ISERROR(CellCount_Viability!H10),0,STDEV(CellCount_Viability!E10,CellCount_Viability!H10)))</f>
        <v>1499066.3761154807</v>
      </c>
      <c r="F10" s="92">
        <f>IF(ISERROR(CellCount_Viability!F10), CellCount_Viability!I10, IF(ISERROR(CellCount_Viability!I10), CellCount_Viability!F10, AVERAGE(CellCount_Viability!F10, CellCount_Viability!I10)))</f>
        <v>0.98215077367522974</v>
      </c>
      <c r="G10" s="92">
        <f>IF(ISERROR(CellCount_Viability!F10),0,IF(ISERROR(CellCount_Viability!I10),0,STDEV(CellCount_Viability!F10,CellCount_Viability!I10)))</f>
        <v>7.7297203031216708E-3</v>
      </c>
      <c r="J10" s="96">
        <f>IF(ISERROR(Attenuation!D11), Attenuation!E11, IF(ISERROR(Attenuation!E11), Attenuation!D11, AVERAGE(Attenuation!D11, Attenuation!E11)))</f>
        <v>4.1204999999999998</v>
      </c>
      <c r="K10" s="96">
        <f>IF(ISERROR(Attenuation!D11),0,IF(ISERROR(Attenuation!E11),0,STDEV(Attenuation!D11,Attenuation!E11)))</f>
        <v>8.6974134085945495E-2</v>
      </c>
      <c r="L10" s="96">
        <f>IF(ISERROR(pH!D11), pH!E11, IF(ISERROR(pH!E11), pH!D11, AVERAGE(pH!D11, pH!E11)))</f>
        <v>4.4271000000000003</v>
      </c>
      <c r="M10" s="96">
        <f>IF(ISERROR(pH!D11),0,IF(ISERROR(pH!E11),0,STDEV(pH!D11,pH!E11)))</f>
        <v>0.1005505842847276</v>
      </c>
      <c r="N10" s="96">
        <f>IF(ISERROR(HPLC!D10), HPLC!J10, IF(ISERROR( HPLC!J10), HPLC!D10, AVERAGE(HPLC!D10,  HPLC!J10)))</f>
        <v>3.539189435282255</v>
      </c>
      <c r="O10" s="96">
        <f>IF(ISERROR( HPLC!D10),0,IF(ISERROR( HPLC!J10),0,STDEV( HPLC!D10, HPLC!J10)))</f>
        <v>0.1785060494263524</v>
      </c>
      <c r="P10" s="96">
        <f>IF(ISERROR(HPLC!E10), HPLC!K10, IF(ISERROR( HPLC!K10), HPLC!E10, AVERAGE(HPLC!E10,  HPLC!K10)))</f>
        <v>3.4384960973593093</v>
      </c>
      <c r="Q10" s="96">
        <f>IF(ISERROR( HPLC!E10),0,IF(ISERROR( HPLC!K10),0,STDEV( HPLC!E10, HPLC!K10)))</f>
        <v>4.5706483119655993E-2</v>
      </c>
      <c r="R10" s="96">
        <f>IF(ISERROR(HPLC!F10), HPLC!L10, IF(ISERROR( HPLC!L10), HPLC!F10, AVERAGE(HPLC!F10,  HPLC!L10)))</f>
        <v>0</v>
      </c>
      <c r="S10" s="96">
        <f>IF(ISERROR( HPLC!F10),0,IF(ISERROR( HPLC!L10),0,STDEV( HPLC!F10, HPLC!L10)))</f>
        <v>0</v>
      </c>
      <c r="T10" s="96">
        <f>IF(ISERROR(HPLC!G10), HPLC!M10, IF(ISERROR( HPLC!M10), HPLC!G10, AVERAGE(HPLC!M10,  HPLC!G10)))</f>
        <v>0</v>
      </c>
      <c r="U10" s="96">
        <f>IF(ISERROR( HPLC!M10),0,IF(ISERROR( HPLC!G10),0,STDEV( HPLC!M10, HPLC!G10)))</f>
        <v>0</v>
      </c>
      <c r="V10" s="96">
        <f>IF(ISERROR(HPLC!H10), HPLC!N10, IF(ISERROR( HPLC!N10), HPLC!H10, AVERAGE(HPLC!H10,  HPLC!N10)))</f>
        <v>2.5742320405427441</v>
      </c>
      <c r="W10" s="96">
        <f>IF(ISERROR( HPLC!H10),0,IF(ISERROR( HPLC!N10),0,STDEV( HPLC!H10, HPLC!N10)))</f>
        <v>1.2789702306408846E-2</v>
      </c>
      <c r="X10" s="96">
        <f>IF(ISERROR(HPLC!I10), HPLC!O10, IF(ISERROR( HPLC!O10), HPLC!I10, AVERAGE(HPLC!I10,  HPLC!O10)))</f>
        <v>62.475000000000001</v>
      </c>
      <c r="Y10" s="96">
        <f>IF(ISERROR( HPLC!I10),0,IF(ISERROR( HPLC!O10),0,STDEV( HPLC!I10, HPLC!O10)))</f>
        <v>1.0253048327204959</v>
      </c>
      <c r="Z10" s="96">
        <f>IF(ISERROR(GC_esters!D10), GC_esters!N10, IF(ISERROR(GC_esters!N10), GC_esters!D10, AVERAGE(GC_esters!D10,  GC_esters!N10)))</f>
        <v>36.035249999999998</v>
      </c>
      <c r="AA10" s="96">
        <f>IF(ISERROR(GC_esters!D10),0,IF(ISERROR(GC_esters!N10),0,STDEV(GC_esters!D10, GC_esters!N10)))</f>
        <v>2.0944502858745562</v>
      </c>
      <c r="AB10" s="96">
        <f>IF(ISERROR(GC_esters!F10), GC_esters!P10, IF(ISERROR(GC_esters!P10), GC_esters!F10, AVERAGE(GC_esters!F10,  GC_esters!P10)))</f>
        <v>0.21174999999999999</v>
      </c>
      <c r="AC10" s="96">
        <f>IF(ISERROR(GC_esters!F10),0,IF(ISERROR(GC_esters!P10),0,STDEV(GC_esters!F10, GC_esters!P10)))</f>
        <v>1.4142135623730944E-2</v>
      </c>
      <c r="AD10" s="96">
        <f>IF(ISERROR(GC_esters!G10), GC_esters!Q10, IF(ISERROR(GC_esters!Q10), GC_esters!G10, AVERAGE(GC_esters!G10,  GC_esters!Q10)))</f>
        <v>0.69450000000000001</v>
      </c>
      <c r="AE10" s="96">
        <f>IF(ISERROR(GC_esters!G10),0,IF(ISERROR(GC_esters!Q10),0,STDEV(GC_esters!G10, GC_esters!Q10)))</f>
        <v>1.5202795795510668E-2</v>
      </c>
      <c r="AF10" s="96">
        <f>IF(ISERROR(GC_esters!H10), GC_esters!R10, IF(ISERROR(GC_esters!R10), GC_esters!H10, AVERAGE(GC_esters!H10,  GC_esters!R10)))</f>
        <v>12.919499999999999</v>
      </c>
      <c r="AG10" s="96">
        <f>IF(ISERROR(GC_esters!H10),0,IF(ISERROR(GC_esters!R10),0,STDEV(GC_esters!H10, GC_esters!R10)))</f>
        <v>2.1920310216783385E-2</v>
      </c>
      <c r="AH10" s="96">
        <f>IF(ISERROR(GC_esters!I10), GC_esters!S10, IF(ISERROR(GC_esters!S10), GC_esters!I10, AVERAGE(GC_esters!I10,  GC_esters!S10)))</f>
        <v>6.3238750000000001</v>
      </c>
      <c r="AI10" s="96">
        <f>IF(ISERROR(GC_esters!I10),0,IF(ISERROR(GC_esters!S10),0,STDEV(GC_esters!I10, GC_esters!S10)))</f>
        <v>0.38484286566077841</v>
      </c>
      <c r="AJ10" s="96">
        <f>IF(ISERROR(GC_esters!J10), GC_esters!T10, IF(ISERROR(GC_esters!T10), GC_esters!J10, AVERAGE(GC_esters!J10,  GC_esters!T10)))</f>
        <v>73.908625000000001</v>
      </c>
      <c r="AK10" s="96">
        <f>IF(ISERROR(GC_esters!J10),0,IF(ISERROR(GC_esters!T10),0,STDEV(GC_esters!J10, GC_esters!T10)))</f>
        <v>0.30246492565254796</v>
      </c>
      <c r="AL10" s="96">
        <f>IF(ISERROR(GC_esters!K10), GC_esters!U10, IF(ISERROR(GC_esters!U10), GC_esters!K10, AVERAGE(GC_esters!K10,  GC_esters!U10)))</f>
        <v>0.79599999999999993</v>
      </c>
      <c r="AM10" s="96">
        <f>IF(ISERROR(GC_esters!K10),0,IF(ISERROR(GC_esters!U10),0,STDEV(GC_esters!K10, GC_esters!U10)))</f>
        <v>1.6263455967290529E-2</v>
      </c>
      <c r="AN10" s="96">
        <f>IF(ISERROR(GC_esters!L10), GC_esters!V10, IF(ISERROR(GC_esters!V10), GC_esters!L10, AVERAGE(GC_esters!L10,  GC_esters!V10)))</f>
        <v>7.2928749999999996</v>
      </c>
      <c r="AO10" s="96">
        <f>IF(ISERROR(GC_esters!L10),0,IF(ISERROR(GC_esters!V10),0,STDEV(GC_esters!L10, GC_esters!V10)))</f>
        <v>7.4422988719884023E-2</v>
      </c>
      <c r="AP10" s="96">
        <f>IF(ISERROR(GC_esters!M10), GC_esters!W10, IF(ISERROR(GC_esters!W10), GC_esters!M10, AVERAGE(GC_esters!M10,  GC_esters!W10)))</f>
        <v>15.807375</v>
      </c>
      <c r="AQ10" s="96">
        <f>IF(ISERROR(GC_esters!M10),0,IF(ISERROR(GC_esters!W10),0,STDEV(GC_esters!M10, GC_esters!W10)))</f>
        <v>1.1121021901111421</v>
      </c>
      <c r="AR10" s="96">
        <f>IF(ISERROR(GC_ketones!D10), GC_ketones!F10, IF(ISERROR(GC_ketones!F10), GC_ketones!D10, AVERAGE(GC_ketones!D10, GC_ketones!F10)))</f>
        <v>2210.5</v>
      </c>
      <c r="AS10" s="96">
        <f>IF(ISERROR(GC_ketones!D10),0,IF(ISERROR(GC_ketones!F10),0,STDEV(GC_ketones!D10, GC_ketones!F10)))</f>
        <v>13.435028842544403</v>
      </c>
      <c r="AT10" s="96">
        <f>IF(ISERROR(GC_ketones!E10), GC_ketones!G10, IF(ISERROR(GC_ketones!G10), GC_ketones!E10, AVERAGE(GC_ketones!E10, GC_ketones!G10)))</f>
        <v>1198.25</v>
      </c>
      <c r="AU10" s="96">
        <f>IF(ISERROR(GC_ketones!E10),0,IF(ISERROR(GC_ketones!G10),0,STDEV(GC_ketones!E10, GC_ketones!G10)))</f>
        <v>117.73327906756016</v>
      </c>
      <c r="AV10">
        <f t="shared" si="13"/>
        <v>21.110686674669868</v>
      </c>
      <c r="AW10">
        <f t="shared" si="1"/>
        <v>6.0394808614891812E-2</v>
      </c>
      <c r="AX10">
        <f t="shared" si="0"/>
        <v>0.12405042016806722</v>
      </c>
      <c r="AY10">
        <f t="shared" si="2"/>
        <v>6.8773770147373195E-2</v>
      </c>
      <c r="AZ10">
        <f t="shared" si="0"/>
        <v>0.40686194477791116</v>
      </c>
      <c r="BA10">
        <f t="shared" si="3"/>
        <v>2.7359085377975437E-2</v>
      </c>
      <c r="BB10">
        <f t="shared" si="0"/>
        <v>7.568686674669868</v>
      </c>
      <c r="BC10">
        <f t="shared" si="4"/>
        <v>1.6498913969660692E-2</v>
      </c>
      <c r="BD10">
        <f t="shared" si="0"/>
        <v>3.7047430972388957</v>
      </c>
      <c r="BE10">
        <f t="shared" si="5"/>
        <v>6.3029619215344376E-2</v>
      </c>
      <c r="BF10">
        <f t="shared" si="0"/>
        <v>43.298210084033613</v>
      </c>
      <c r="BG10">
        <f t="shared" si="6"/>
        <v>1.6913997265746262E-2</v>
      </c>
      <c r="BH10">
        <f t="shared" si="0"/>
        <v>0.46632412965186071</v>
      </c>
      <c r="BI10">
        <f t="shared" si="7"/>
        <v>2.6206500944998368E-2</v>
      </c>
      <c r="BJ10">
        <f t="shared" si="0"/>
        <v>4.2724165666266503</v>
      </c>
      <c r="BK10">
        <f t="shared" si="8"/>
        <v>1.9325506708172156E-2</v>
      </c>
      <c r="BL10">
        <f t="shared" si="0"/>
        <v>9.2605030012004796</v>
      </c>
      <c r="BM10">
        <f t="shared" si="9"/>
        <v>7.2242182130572014E-2</v>
      </c>
      <c r="BN10">
        <f t="shared" si="0"/>
        <v>1294.9867947178873</v>
      </c>
      <c r="BO10">
        <f t="shared" si="10"/>
        <v>1.7500724662726272E-2</v>
      </c>
      <c r="BP10">
        <f t="shared" si="0"/>
        <v>701.97599039615852</v>
      </c>
      <c r="BQ10">
        <f t="shared" si="11"/>
        <v>9.9615527929554776E-2</v>
      </c>
      <c r="BR10">
        <f t="shared" si="12"/>
        <v>5.6982862564487746</v>
      </c>
    </row>
    <row r="11" spans="1:70" x14ac:dyDescent="0.25">
      <c r="A11">
        <f>CellCount_Viability!A11</f>
        <v>46277</v>
      </c>
      <c r="B11" s="69">
        <f>CellCount_Viability!B11</f>
        <v>216</v>
      </c>
      <c r="C11" s="63">
        <f>CellCount_Viability!C11</f>
        <v>9</v>
      </c>
      <c r="D11" s="11">
        <f>IF(ISERROR(CellCount_Viability!E11), CellCount_Viability!H11, IF(ISERROR(CellCount_Viability!H11), CellCount_Viability!E11, AVERAGE(CellCount_Viability!E11, CellCount_Viability!H11)))</f>
        <v>47840000</v>
      </c>
      <c r="E11" s="11">
        <f>IF(ISERROR(CellCount_Viability!E11),0,IF(ISERROR(CellCount_Viability!H11),0,STDEV(CellCount_Viability!E11,CellCount_Viability!H11)))</f>
        <v>452548.3399593904</v>
      </c>
      <c r="F11" s="92">
        <f>IF(ISERROR(CellCount_Viability!F11), CellCount_Viability!I11, IF(ISERROR(CellCount_Viability!I11), CellCount_Viability!F11, AVERAGE(CellCount_Viability!F11, CellCount_Viability!I11)))</f>
        <v>0.98504850554269163</v>
      </c>
      <c r="G11" s="92">
        <f>IF(ISERROR(CellCount_Viability!F11),0,IF(ISERROR(CellCount_Viability!I11),0,STDEV(CellCount_Viability!F11,CellCount_Viability!I11)))</f>
        <v>1.235204343736884E-3</v>
      </c>
      <c r="J11" s="96">
        <f>IF(ISERROR(Attenuation!D12), Attenuation!E12, IF(ISERROR(Attenuation!E12), Attenuation!D12, AVERAGE(Attenuation!D12, Attenuation!E12)))</f>
        <v>3.9065000000000003</v>
      </c>
      <c r="K11" s="96">
        <f>IF(ISERROR(Attenuation!D12),0,IF(ISERROR(Attenuation!E12),0,STDEV(Attenuation!D12,Attenuation!E12)))</f>
        <v>0.17889801564019658</v>
      </c>
      <c r="L11" s="96">
        <f>IF(ISERROR(pH!D12), pH!E12, IF(ISERROR(pH!E12), pH!D12, AVERAGE(pH!D12, pH!E12)))</f>
        <v>4.7292000000000005</v>
      </c>
      <c r="M11" s="96">
        <f>IF(ISERROR(pH!D12),0,IF(ISERROR(pH!E12),0,STDEV(pH!D12,pH!E12)))</f>
        <v>0.10988439379639027</v>
      </c>
      <c r="N11" s="96">
        <f>IF(ISERROR(HPLC!D11), HPLC!J11, IF(ISERROR( HPLC!J11), HPLC!D11, AVERAGE(HPLC!D11,  HPLC!J11)))</f>
        <v>3.3907528313850142</v>
      </c>
      <c r="O11" s="96">
        <f>IF(ISERROR( HPLC!D11),0,IF(ISERROR( HPLC!J11),0,STDEV( HPLC!D11, HPLC!J11)))</f>
        <v>4.8672566277354154E-2</v>
      </c>
      <c r="P11" s="96">
        <f>IF(ISERROR(HPLC!E11), HPLC!K11, IF(ISERROR( HPLC!K11), HPLC!E11, AVERAGE(HPLC!E11,  HPLC!K11)))</f>
        <v>3.3013481048720434</v>
      </c>
      <c r="Q11" s="96">
        <f>IF(ISERROR( HPLC!E11),0,IF(ISERROR( HPLC!K11),0,STDEV( HPLC!E11, HPLC!K11)))</f>
        <v>4.3883432510895055E-2</v>
      </c>
      <c r="R11" s="96">
        <f>IF(ISERROR(HPLC!F11), HPLC!L11, IF(ISERROR( HPLC!L11), HPLC!F11, AVERAGE(HPLC!F11,  HPLC!L11)))</f>
        <v>0</v>
      </c>
      <c r="S11" s="96">
        <f>IF(ISERROR( HPLC!F11),0,IF(ISERROR( HPLC!L11),0,STDEV( HPLC!F11, HPLC!L11)))</f>
        <v>0</v>
      </c>
      <c r="T11" s="96">
        <f>IF(ISERROR(HPLC!G11), HPLC!M11, IF(ISERROR( HPLC!M11), HPLC!G11, AVERAGE(HPLC!M11,  HPLC!G11)))</f>
        <v>0</v>
      </c>
      <c r="U11" s="96">
        <f>IF(ISERROR( HPLC!M11),0,IF(ISERROR( HPLC!G11),0,STDEV( HPLC!M11, HPLC!G11)))</f>
        <v>0</v>
      </c>
      <c r="V11" s="96">
        <f>IF(ISERROR(HPLC!H11), HPLC!N11, IF(ISERROR( HPLC!N11), HPLC!H11, AVERAGE(HPLC!H11,  HPLC!N11)))</f>
        <v>2.5639351123805731</v>
      </c>
      <c r="W11" s="96">
        <f>IF(ISERROR( HPLC!H11),0,IF(ISERROR( HPLC!N11),0,STDEV( HPLC!H11, HPLC!N11)))</f>
        <v>1.2738543497183362E-2</v>
      </c>
      <c r="X11" s="96">
        <f>IF(ISERROR(HPLC!I11), HPLC!O11, IF(ISERROR( HPLC!O11), HPLC!I11, AVERAGE(HPLC!I11,  HPLC!O11)))</f>
        <v>65.075000000000003</v>
      </c>
      <c r="Y11" s="96">
        <f>IF(ISERROR( HPLC!I11),0,IF(ISERROR( HPLC!O11),0,STDEV( HPLC!I11, HPLC!O11)))</f>
        <v>0.60104076400856143</v>
      </c>
      <c r="Z11" s="96">
        <f>IF(ISERROR(GC_esters!D11), GC_esters!N11, IF(ISERROR(GC_esters!N11), GC_esters!D11, AVERAGE(GC_esters!D11,  GC_esters!N11)))</f>
        <v>37.265500000000003</v>
      </c>
      <c r="AA11" s="96">
        <f>IF(ISERROR(GC_esters!D11),0,IF(ISERROR(GC_esters!N11),0,STDEV(GC_esters!D11, GC_esters!N11)))</f>
        <v>2.0746512960013335</v>
      </c>
      <c r="AB11" s="96">
        <f>IF(ISERROR(GC_esters!F11), GC_esters!P11, IF(ISERROR(GC_esters!P11), GC_esters!F11, AVERAGE(GC_esters!F11,  GC_esters!P11)))</f>
        <v>0.21350000000000002</v>
      </c>
      <c r="AC11" s="96">
        <f>IF(ISERROR(GC_esters!F11),0,IF(ISERROR(GC_esters!P11),0,STDEV(GC_esters!F11, GC_esters!P11)))</f>
        <v>1.4142135623730944E-2</v>
      </c>
      <c r="AD11" s="96">
        <f>IF(ISERROR(GC_esters!G11), GC_esters!Q11, IF(ISERROR(GC_esters!Q11), GC_esters!G11, AVERAGE(GC_esters!G11,  GC_esters!Q11)))</f>
        <v>0.7014999999999999</v>
      </c>
      <c r="AE11" s="96">
        <f>IF(ISERROR(GC_esters!G11),0,IF(ISERROR(GC_esters!Q11),0,STDEV(GC_esters!G11, GC_esters!Q11)))</f>
        <v>1.2727922061357866E-2</v>
      </c>
      <c r="AF11" s="96">
        <f>IF(ISERROR(GC_esters!H11), GC_esters!R11, IF(ISERROR(GC_esters!R11), GC_esters!H11, AVERAGE(GC_esters!H11,  GC_esters!R11)))</f>
        <v>13.031499999999999</v>
      </c>
      <c r="AG11" s="96">
        <f>IF(ISERROR(GC_esters!H11),0,IF(ISERROR(GC_esters!R11),0,STDEV(GC_esters!H11, GC_esters!R11)))</f>
        <v>1.2020815280170927E-2</v>
      </c>
      <c r="AH11" s="96">
        <f>IF(ISERROR(GC_esters!I11), GC_esters!S11, IF(ISERROR(GC_esters!S11), GC_esters!I11, AVERAGE(GC_esters!I11,  GC_esters!S11)))</f>
        <v>6.3877499999999996</v>
      </c>
      <c r="AI11" s="96">
        <f>IF(ISERROR(GC_esters!I11),0,IF(ISERROR(GC_esters!S11),0,STDEV(GC_esters!I11, GC_esters!S11)))</f>
        <v>0.37370593385708989</v>
      </c>
      <c r="AJ11" s="96">
        <f>IF(ISERROR(GC_esters!J11), GC_esters!T11, IF(ISERROR(GC_esters!T11), GC_esters!J11, AVERAGE(GC_esters!J11,  GC_esters!T11)))</f>
        <v>74.159750000000003</v>
      </c>
      <c r="AK11" s="96">
        <f>IF(ISERROR(GC_esters!J11),0,IF(ISERROR(GC_esters!T11),0,STDEV(GC_esters!J11, GC_esters!T11)))</f>
        <v>0.26905413024146974</v>
      </c>
      <c r="AL11" s="96">
        <f>IF(ISERROR(GC_esters!K11), GC_esters!U11, IF(ISERROR(GC_esters!U11), GC_esters!K11, AVERAGE(GC_esters!K11,  GC_esters!U11)))</f>
        <v>0.78200000000000003</v>
      </c>
      <c r="AM11" s="96">
        <f>IF(ISERROR(GC_esters!K11),0,IF(ISERROR(GC_esters!U11),0,STDEV(GC_esters!K11, GC_esters!U11)))</f>
        <v>1.1313708498984771E-2</v>
      </c>
      <c r="AN11" s="96">
        <f>IF(ISERROR(GC_esters!L11), GC_esters!V11, IF(ISERROR(GC_esters!V11), GC_esters!L11, AVERAGE(GC_esters!L11,  GC_esters!V11)))</f>
        <v>7.4232500000000003</v>
      </c>
      <c r="AO11" s="96">
        <f>IF(ISERROR(GC_esters!L11),0,IF(ISERROR(GC_esters!V11),0,STDEV(GC_esters!L11, GC_esters!V11)))</f>
        <v>0.15238151134570133</v>
      </c>
      <c r="AP11" s="96">
        <f>IF(ISERROR(GC_esters!M11), GC_esters!W11, IF(ISERROR(GC_esters!W11), GC_esters!M11, AVERAGE(GC_esters!M11,  GC_esters!W11)))</f>
        <v>16.452249999999999</v>
      </c>
      <c r="AQ11" s="96">
        <f>IF(ISERROR(GC_esters!M11),0,IF(ISERROR(GC_esters!W11),0,STDEV(GC_esters!M11, GC_esters!W11)))</f>
        <v>1.4994199295060764</v>
      </c>
      <c r="AR11" s="96">
        <f>IF(ISERROR(GC_ketones!D11), GC_ketones!F11, IF(ISERROR(GC_ketones!F11), GC_ketones!D11, AVERAGE(GC_ketones!D11, GC_ketones!F11)))</f>
        <v>1670</v>
      </c>
      <c r="AS11" s="96">
        <f>IF(ISERROR(GC_ketones!D11),0,IF(ISERROR(GC_ketones!F11),0,STDEV(GC_ketones!D11, GC_ketones!F11)))</f>
        <v>141.42135623730951</v>
      </c>
      <c r="AT11" s="96">
        <f>IF(ISERROR(GC_ketones!E11), GC_ketones!G11, IF(ISERROR(GC_ketones!G11), GC_ketones!E11, AVERAGE(GC_ketones!E11, GC_ketones!G11)))</f>
        <v>846.75</v>
      </c>
      <c r="AU11" s="96">
        <f>IF(ISERROR(GC_ketones!E11),0,IF(ISERROR(GC_ketones!G11),0,STDEV(GC_ketones!E11, GC_ketones!G11)))</f>
        <v>35.001785668734101</v>
      </c>
      <c r="AV11">
        <f t="shared" si="13"/>
        <v>20.959159431425277</v>
      </c>
      <c r="AW11">
        <f t="shared" si="1"/>
        <v>5.6433116444201986E-2</v>
      </c>
      <c r="AX11">
        <f t="shared" si="0"/>
        <v>0.1200783711102574</v>
      </c>
      <c r="AY11">
        <f t="shared" si="2"/>
        <v>6.6880332073162838E-2</v>
      </c>
      <c r="AZ11">
        <f t="shared" si="0"/>
        <v>0.39454321936227427</v>
      </c>
      <c r="BA11">
        <f t="shared" si="3"/>
        <v>2.0359417027336398E-2</v>
      </c>
      <c r="BB11">
        <f t="shared" si="0"/>
        <v>7.3292800614675375</v>
      </c>
      <c r="BC11">
        <f t="shared" si="4"/>
        <v>9.2820733693570259E-3</v>
      </c>
      <c r="BD11">
        <f t="shared" si="0"/>
        <v>3.5926492508643872</v>
      </c>
      <c r="BE11">
        <f t="shared" si="5"/>
        <v>5.9228111505438136E-2</v>
      </c>
      <c r="BF11">
        <f t="shared" si="0"/>
        <v>41.709517479830964</v>
      </c>
      <c r="BG11">
        <f t="shared" si="6"/>
        <v>9.9231355553716701E-3</v>
      </c>
      <c r="BH11">
        <f t="shared" si="0"/>
        <v>0.43981867076450248</v>
      </c>
      <c r="BI11">
        <f t="shared" si="7"/>
        <v>1.7164472346584036E-2</v>
      </c>
      <c r="BJ11">
        <f t="shared" si="0"/>
        <v>4.1750434114483292</v>
      </c>
      <c r="BK11">
        <f t="shared" si="8"/>
        <v>2.2509739503045526E-2</v>
      </c>
      <c r="BL11">
        <f t="shared" si="0"/>
        <v>9.2532055320783702</v>
      </c>
      <c r="BM11">
        <f t="shared" si="9"/>
        <v>9.1604492654436737E-2</v>
      </c>
      <c r="BN11">
        <f t="shared" si="0"/>
        <v>939.25470610833645</v>
      </c>
      <c r="BO11">
        <f t="shared" si="10"/>
        <v>8.518563350246311E-2</v>
      </c>
      <c r="BP11">
        <f t="shared" si="0"/>
        <v>476.23588167499042</v>
      </c>
      <c r="BQ11">
        <f t="shared" si="11"/>
        <v>4.2355901596999208E-2</v>
      </c>
      <c r="BR11">
        <f t="shared" si="12"/>
        <v>5.8339008257993825</v>
      </c>
    </row>
    <row r="12" spans="1:70" x14ac:dyDescent="0.25">
      <c r="A12">
        <f>CellCount_Viability!A12</f>
        <v>46278</v>
      </c>
      <c r="B12" s="69">
        <f>CellCount_Viability!B12</f>
        <v>240</v>
      </c>
      <c r="C12" s="63">
        <f>CellCount_Viability!C12</f>
        <v>10</v>
      </c>
      <c r="D12" s="11">
        <f>IF(ISERROR(CellCount_Viability!E12), CellCount_Viability!H12, IF(ISERROR(CellCount_Viability!H12), CellCount_Viability!E12, AVERAGE(CellCount_Viability!E12, CellCount_Viability!H12)))</f>
        <v>39220000</v>
      </c>
      <c r="E12" s="11">
        <f>IF(ISERROR(CellCount_Viability!E12),0,IF(ISERROR(CellCount_Viability!H12),0,STDEV(CellCount_Viability!E12,CellCount_Viability!H12)))</f>
        <v>791959.59492893319</v>
      </c>
      <c r="F12" s="92">
        <f>IF(ISERROR(CellCount_Viability!F12), CellCount_Viability!I12, IF(ISERROR(CellCount_Viability!I12), CellCount_Viability!F12, AVERAGE(CellCount_Viability!F12, CellCount_Viability!I12)))</f>
        <v>0.97965129994587397</v>
      </c>
      <c r="G12" s="92">
        <f>IF(ISERROR(CellCount_Viability!F12),0,IF(ISERROR(CellCount_Viability!I12),0,STDEV(CellCount_Viability!F12,CellCount_Viability!I12)))</f>
        <v>5.242732422493371E-3</v>
      </c>
      <c r="J12" s="96">
        <f>IF(ISERROR(Attenuation!D13), Attenuation!E13, IF(ISERROR(Attenuation!E13), Attenuation!D13, AVERAGE(Attenuation!D13, Attenuation!E13)))</f>
        <v>3.1349999999999998</v>
      </c>
      <c r="K12" s="96">
        <f>IF(ISERROR(Attenuation!D13),0,IF(ISERROR(Attenuation!E13),0,STDEV(Attenuation!D13,Attenuation!E13)))</f>
        <v>0</v>
      </c>
      <c r="L12" s="96">
        <f>IF(ISERROR(pH!D13), pH!E13, IF(ISERROR(pH!E13), pH!D13, AVERAGE(pH!D13, pH!E13)))</f>
        <v>4.2132500000000004</v>
      </c>
      <c r="M12" s="96">
        <f>IF(ISERROR(pH!D13),0,IF(ISERROR(pH!E13),0,STDEV(pH!D13,pH!E13)))</f>
        <v>6.7175144212722471E-3</v>
      </c>
      <c r="N12" s="96">
        <f>IF(ISERROR(HPLC!D12), HPLC!J12, IF(ISERROR( HPLC!J12), HPLC!D12, AVERAGE(HPLC!D12,  HPLC!J12)))</f>
        <v>3.2551776929747707</v>
      </c>
      <c r="O12" s="96">
        <f>IF(ISERROR( HPLC!D12),0,IF(ISERROR( HPLC!J12),0,STDEV( HPLC!D12, HPLC!J12)))</f>
        <v>0.10580455301105914</v>
      </c>
      <c r="P12" s="96">
        <f>IF(ISERROR(HPLC!E12), HPLC!K12, IF(ISERROR( HPLC!K12), HPLC!E12, AVERAGE(HPLC!E12,  HPLC!K12)))</f>
        <v>3.2891217067850365</v>
      </c>
      <c r="Q12" s="96">
        <f>IF(ISERROR( HPLC!E12),0,IF(ISERROR( HPLC!K12),0,STDEV( HPLC!E12, HPLC!K12)))</f>
        <v>8.5660530722859243E-2</v>
      </c>
      <c r="R12" s="96">
        <f>IF(ISERROR(HPLC!F12), HPLC!L12, IF(ISERROR( HPLC!L12), HPLC!F12, AVERAGE(HPLC!F12,  HPLC!L12)))</f>
        <v>0</v>
      </c>
      <c r="S12" s="96">
        <f>IF(ISERROR( HPLC!F12),0,IF(ISERROR( HPLC!L12),0,STDEV( HPLC!F12, HPLC!L12)))</f>
        <v>0</v>
      </c>
      <c r="T12" s="96">
        <f>IF(ISERROR(HPLC!G12), HPLC!M12, IF(ISERROR( HPLC!M12), HPLC!G12, AVERAGE(HPLC!M12,  HPLC!G12)))</f>
        <v>0</v>
      </c>
      <c r="U12" s="96">
        <f>IF(ISERROR( HPLC!M12),0,IF(ISERROR( HPLC!G12),0,STDEV( HPLC!M12, HPLC!G12)))</f>
        <v>0</v>
      </c>
      <c r="V12" s="96">
        <f>IF(ISERROR(HPLC!H12), HPLC!N12, IF(ISERROR( HPLC!N12), HPLC!H12, AVERAGE(HPLC!H12,  HPLC!N12)))</f>
        <v>2.5238098389780528</v>
      </c>
      <c r="W12" s="96">
        <f>IF(ISERROR( HPLC!H12),0,IF(ISERROR( HPLC!N12),0,STDEV( HPLC!H12, HPLC!N12)))</f>
        <v>4.7447239709543616E-4</v>
      </c>
      <c r="X12" s="96">
        <f>IF(ISERROR(HPLC!I12), HPLC!O12, IF(ISERROR( HPLC!O12), HPLC!I12, AVERAGE(HPLC!I12,  HPLC!O12)))</f>
        <v>65.775000000000006</v>
      </c>
      <c r="Y12" s="96">
        <f>IF(ISERROR( HPLC!I12),0,IF(ISERROR( HPLC!O12),0,STDEV( HPLC!I12, HPLC!O12)))</f>
        <v>1.3788582233137696</v>
      </c>
      <c r="Z12" s="96">
        <f>IF(ISERROR(GC_esters!D12), GC_esters!N12, IF(ISERROR(GC_esters!N12), GC_esters!D12, AVERAGE(GC_esters!D12,  GC_esters!N12)))</f>
        <v>37.619999999999997</v>
      </c>
      <c r="AA12" s="96">
        <f>IF(ISERROR(GC_esters!D12),0,IF(ISERROR(GC_esters!N12),0,STDEV(GC_esters!D12, GC_esters!N12)))</f>
        <v>3.0476302269140212</v>
      </c>
      <c r="AB12" s="96">
        <f>IF(ISERROR(GC_esters!F12), GC_esters!P12, IF(ISERROR(GC_esters!P12), GC_esters!F12, AVERAGE(GC_esters!F12,  GC_esters!P12)))</f>
        <v>0.21250000000000002</v>
      </c>
      <c r="AC12" s="96">
        <f>IF(ISERROR(GC_esters!F12),0,IF(ISERROR(GC_esters!P12),0,STDEV(GC_esters!F12, GC_esters!P12)))</f>
        <v>1.7677669529663684E-2</v>
      </c>
      <c r="AD12" s="96">
        <f>IF(ISERROR(GC_esters!G12), GC_esters!Q12, IF(ISERROR(GC_esters!Q12), GC_esters!G12, AVERAGE(GC_esters!G12,  GC_esters!Q12)))</f>
        <v>0.70099999999999996</v>
      </c>
      <c r="AE12" s="96">
        <f>IF(ISERROR(GC_esters!G12),0,IF(ISERROR(GC_esters!Q12),0,STDEV(GC_esters!G12, GC_esters!Q12)))</f>
        <v>1.9798989873223347E-2</v>
      </c>
      <c r="AF12" s="96">
        <f>IF(ISERROR(GC_esters!H12), GC_esters!R12, IF(ISERROR(GC_esters!R12), GC_esters!H12, AVERAGE(GC_esters!H12,  GC_esters!R12)))</f>
        <v>12.991499999999998</v>
      </c>
      <c r="AG12" s="96">
        <f>IF(ISERROR(GC_esters!H12),0,IF(ISERROR(GC_esters!R12),0,STDEV(GC_esters!H12, GC_esters!R12)))</f>
        <v>0.19586857838867311</v>
      </c>
      <c r="AH12" s="96">
        <f>IF(ISERROR(GC_esters!I12), GC_esters!S12, IF(ISERROR(GC_esters!S12), GC_esters!I12, AVERAGE(GC_esters!I12,  GC_esters!S12)))</f>
        <v>6.379999999999999</v>
      </c>
      <c r="AI12" s="96">
        <f>IF(ISERROR(GC_esters!I12),0,IF(ISERROR(GC_esters!S12),0,STDEV(GC_esters!I12, GC_esters!S12)))</f>
        <v>0.4525483399593902</v>
      </c>
      <c r="AJ12" s="96">
        <f>IF(ISERROR(GC_esters!J12), GC_esters!T12, IF(ISERROR(GC_esters!T12), GC_esters!J12, AVERAGE(GC_esters!J12,  GC_esters!T12)))</f>
        <v>73.784999999999997</v>
      </c>
      <c r="AK12" s="96">
        <f>IF(ISERROR(GC_esters!J12),0,IF(ISERROR(GC_esters!T12),0,STDEV(GC_esters!J12, GC_esters!T12)))</f>
        <v>1.0748023074035495</v>
      </c>
      <c r="AL12" s="96">
        <f>IF(ISERROR(GC_esters!K12), GC_esters!U12, IF(ISERROR(GC_esters!U12), GC_esters!K12, AVERAGE(GC_esters!K12,  GC_esters!U12)))</f>
        <v>0.76849999999999996</v>
      </c>
      <c r="AM12" s="96">
        <f>IF(ISERROR(GC_esters!K12),0,IF(ISERROR(GC_esters!U12),0,STDEV(GC_esters!K12, GC_esters!U12)))</f>
        <v>9.1923881554251269E-3</v>
      </c>
      <c r="AN12" s="96">
        <f>IF(ISERROR(GC_esters!L12), GC_esters!V12, IF(ISERROR(GC_esters!V12), GC_esters!L12, AVERAGE(GC_esters!L12,  GC_esters!V12)))</f>
        <v>7.3934999999999995</v>
      </c>
      <c r="AO12" s="96">
        <f>IF(ISERROR(GC_esters!L12),0,IF(ISERROR(GC_esters!V12),0,STDEV(GC_esters!L12, GC_esters!V12)))</f>
        <v>1.9091883092036879E-2</v>
      </c>
      <c r="AP12" s="96">
        <f>IF(ISERROR(GC_esters!M12), GC_esters!W12, IF(ISERROR(GC_esters!W12), GC_esters!M12, AVERAGE(GC_esters!M12,  GC_esters!W12)))</f>
        <v>16.480499999999999</v>
      </c>
      <c r="AQ12" s="96">
        <f>IF(ISERROR(GC_esters!M12),0,IF(ISERROR(GC_esters!W12),0,STDEV(GC_esters!M12, GC_esters!W12)))</f>
        <v>1.08965154980847</v>
      </c>
      <c r="AR12" s="96">
        <f>IF(ISERROR(GC_ketones!D12), GC_ketones!F12, IF(ISERROR(GC_ketones!F12), GC_ketones!D12, AVERAGE(GC_ketones!D12, GC_ketones!F12)))</f>
        <v>1396.75</v>
      </c>
      <c r="AS12" s="96">
        <f>IF(ISERROR(GC_ketones!D12),0,IF(ISERROR(GC_ketones!F12),0,STDEV(GC_ketones!D12, GC_ketones!F12)))</f>
        <v>230.87036405740776</v>
      </c>
      <c r="AT12" s="96">
        <f>IF(ISERROR(GC_ketones!E12), GC_ketones!G12, IF(ISERROR(GC_ketones!G12), GC_ketones!E12, AVERAGE(GC_ketones!E12, GC_ketones!G12)))</f>
        <v>756.25</v>
      </c>
      <c r="AU12" s="96">
        <f>IF(ISERROR(GC_ketones!E12),0,IF(ISERROR(GC_ketones!G12),0,STDEV(GC_ketones!E12, GC_ketones!G12)))</f>
        <v>126.92566722298528</v>
      </c>
      <c r="AV12">
        <f t="shared" si="13"/>
        <v>20.933363740022806</v>
      </c>
      <c r="AW12">
        <f t="shared" si="1"/>
        <v>8.3679297240122782E-2</v>
      </c>
      <c r="AX12">
        <f t="shared" si="0"/>
        <v>0.11824401368301027</v>
      </c>
      <c r="AY12">
        <f t="shared" si="2"/>
        <v>8.5789704307833212E-2</v>
      </c>
      <c r="AZ12">
        <f t="shared" si="0"/>
        <v>0.39006613454960087</v>
      </c>
      <c r="BA12">
        <f t="shared" si="3"/>
        <v>3.5173531450120567E-2</v>
      </c>
      <c r="BB12">
        <f t="shared" si="0"/>
        <v>7.2290216647662469</v>
      </c>
      <c r="BC12">
        <f t="shared" si="4"/>
        <v>2.5821776956963634E-2</v>
      </c>
      <c r="BD12">
        <f t="shared" si="0"/>
        <v>3.5501026225769663</v>
      </c>
      <c r="BE12">
        <f t="shared" si="5"/>
        <v>7.3965229922117334E-2</v>
      </c>
      <c r="BF12">
        <f t="shared" si="0"/>
        <v>41.057103762827815</v>
      </c>
      <c r="BG12">
        <f t="shared" si="6"/>
        <v>2.5527362513306756E-2</v>
      </c>
      <c r="BH12">
        <f t="shared" si="0"/>
        <v>0.42762599771949822</v>
      </c>
      <c r="BI12">
        <f t="shared" si="7"/>
        <v>2.4135758884833811E-2</v>
      </c>
      <c r="BJ12">
        <f t="shared" si="0"/>
        <v>4.1140570125427596</v>
      </c>
      <c r="BK12">
        <f t="shared" si="8"/>
        <v>2.1121698978779066E-2</v>
      </c>
      <c r="BL12">
        <f t="shared" si="0"/>
        <v>9.1704492588369426</v>
      </c>
      <c r="BM12">
        <f t="shared" si="9"/>
        <v>6.936136334196584E-2</v>
      </c>
      <c r="BN12">
        <f t="shared" si="0"/>
        <v>777.21094640820979</v>
      </c>
      <c r="BO12">
        <f t="shared" si="10"/>
        <v>0.16661515730704676</v>
      </c>
      <c r="BP12">
        <f t="shared" si="0"/>
        <v>420.80957810718354</v>
      </c>
      <c r="BQ12">
        <f t="shared" si="11"/>
        <v>0.1691397186511843</v>
      </c>
      <c r="BR12">
        <f t="shared" si="12"/>
        <v>5.8965517241379315</v>
      </c>
    </row>
    <row r="13" spans="1:70" x14ac:dyDescent="0.25">
      <c r="A13">
        <f>CellCount_Viability!A13</f>
        <v>0</v>
      </c>
      <c r="B13" s="69" t="e">
        <f>CellCount_Viability!B13</f>
        <v>#VALUE!</v>
      </c>
      <c r="C13" s="63" t="str">
        <f>CellCount_Viability!C13</f>
        <v/>
      </c>
      <c r="D13" s="11" t="e">
        <f>IF(ISERROR(CellCount_Viability!E13), CellCount_Viability!H13, IF(ISERROR(CellCount_Viability!H13), CellCount_Viability!E13, AVERAGE(CellCount_Viability!E13, CellCount_Viability!H13)))</f>
        <v>#N/A</v>
      </c>
      <c r="E13" s="11">
        <f>IF(ISERROR(CellCount_Viability!E13),0,IF(ISERROR(CellCount_Viability!H13),0,STDEV(CellCount_Viability!E13,CellCount_Viability!H13)))</f>
        <v>0</v>
      </c>
      <c r="F13" s="92" t="e">
        <f>IF(ISERROR(CellCount_Viability!F13), CellCount_Viability!I13, IF(ISERROR(CellCount_Viability!I13), CellCount_Viability!F13, AVERAGE(CellCount_Viability!F13, CellCount_Viability!I13)))</f>
        <v>#N/A</v>
      </c>
      <c r="G13" s="92">
        <f>IF(ISERROR(CellCount_Viability!F13),0,IF(ISERROR(CellCount_Viability!I13),0,STDEV(CellCount_Viability!F13,CellCount_Viability!I13)))</f>
        <v>0</v>
      </c>
      <c r="J13" s="96" t="e">
        <f>IF(ISERROR(Attenuation!D14), Attenuation!E14, IF(ISERROR(Attenuation!E14), Attenuation!D14, AVERAGE(Attenuation!D14, Attenuation!E14)))</f>
        <v>#N/A</v>
      </c>
      <c r="K13" s="96">
        <f>IF(ISERROR(Attenuation!D14),0,IF(ISERROR(Attenuation!E14),0,STDEV(Attenuation!D14,Attenuation!E14)))</f>
        <v>0</v>
      </c>
      <c r="L13" s="96" t="e">
        <f>IF(ISERROR(pH!D14), pH!E14, IF(ISERROR(pH!E14), pH!D14, AVERAGE(pH!D14, pH!E14)))</f>
        <v>#N/A</v>
      </c>
      <c r="M13" s="96">
        <f>IF(ISERROR(pH!D14),0,IF(ISERROR(pH!E14),0,STDEV(pH!D14,pH!E14)))</f>
        <v>0</v>
      </c>
      <c r="N13" s="96" t="e">
        <f>IF(ISERROR(HPLC!D13), HPLC!J13, IF(ISERROR( HPLC!J13), HPLC!D13, AVERAGE(HPLC!D13,  HPLC!J13)))</f>
        <v>#N/A</v>
      </c>
      <c r="O13" s="96">
        <f>IF(ISERROR( HPLC!D13),0,IF(ISERROR( HPLC!J13),0,STDEV( HPLC!D13, HPLC!J13)))</f>
        <v>0</v>
      </c>
      <c r="P13" s="96" t="e">
        <f>IF(ISERROR(HPLC!E13), HPLC!K13, IF(ISERROR( HPLC!K13), HPLC!E13, AVERAGE(HPLC!E13,  HPLC!K13)))</f>
        <v>#N/A</v>
      </c>
      <c r="Q13" s="96">
        <f>IF(ISERROR( HPLC!E13),0,IF(ISERROR( HPLC!K13),0,STDEV( HPLC!E13, HPLC!K13)))</f>
        <v>0</v>
      </c>
      <c r="R13" s="96" t="e">
        <f>IF(ISERROR(HPLC!F13), HPLC!L13, IF(ISERROR( HPLC!L13), HPLC!F13, AVERAGE(HPLC!F13,  HPLC!L13)))</f>
        <v>#N/A</v>
      </c>
      <c r="S13" s="96">
        <f>IF(ISERROR( HPLC!F13),0,IF(ISERROR( HPLC!L13),0,STDEV( HPLC!F13, HPLC!L13)))</f>
        <v>0</v>
      </c>
      <c r="T13" s="96" t="e">
        <f>IF(ISERROR(HPLC!G13), HPLC!M13, IF(ISERROR( HPLC!M13), HPLC!G13, AVERAGE(HPLC!M13,  HPLC!G13)))</f>
        <v>#N/A</v>
      </c>
      <c r="U13" s="96">
        <f>IF(ISERROR( HPLC!M13),0,IF(ISERROR( HPLC!G13),0,STDEV( HPLC!M13, HPLC!G13)))</f>
        <v>0</v>
      </c>
      <c r="V13" s="96" t="e">
        <f>IF(ISERROR(HPLC!H13), HPLC!N13, IF(ISERROR( HPLC!N13), HPLC!H13, AVERAGE(HPLC!H13,  HPLC!N13)))</f>
        <v>#N/A</v>
      </c>
      <c r="W13" s="96">
        <f>IF(ISERROR( HPLC!H13),0,IF(ISERROR( HPLC!N13),0,STDEV( HPLC!H13, HPLC!N13)))</f>
        <v>0</v>
      </c>
      <c r="X13" s="96" t="e">
        <f>IF(ISERROR(HPLC!I13), HPLC!O13, IF(ISERROR( HPLC!O13), HPLC!I13, AVERAGE(HPLC!I13,  HPLC!O13)))</f>
        <v>#N/A</v>
      </c>
      <c r="Y13" s="96">
        <f>IF(ISERROR( HPLC!I13),0,IF(ISERROR( HPLC!O13),0,STDEV( HPLC!I13, HPLC!O13)))</f>
        <v>0</v>
      </c>
      <c r="Z13" s="96" t="e">
        <f>IF(ISERROR(GC_esters!D13), GC_esters!N13, IF(ISERROR(GC_esters!N13), GC_esters!D13, AVERAGE(GC_esters!D13,  GC_esters!N13)))</f>
        <v>#N/A</v>
      </c>
      <c r="AA13" s="96">
        <f>IF(ISERROR(GC_esters!D13),0,IF(ISERROR(GC_esters!N13),0,STDEV(GC_esters!D13, GC_esters!N13)))</f>
        <v>0</v>
      </c>
      <c r="AB13" s="96" t="e">
        <f>IF(ISERROR(GC_esters!F13), GC_esters!P13, IF(ISERROR(GC_esters!P13), GC_esters!F13, AVERAGE(GC_esters!F13,  GC_esters!P13)))</f>
        <v>#N/A</v>
      </c>
      <c r="AC13" s="96">
        <f>IF(ISERROR(GC_esters!F13),0,IF(ISERROR(GC_esters!P13),0,STDEV(GC_esters!F13, GC_esters!P13)))</f>
        <v>0</v>
      </c>
      <c r="AD13" s="96" t="e">
        <f>IF(ISERROR(GC_esters!G13), GC_esters!Q13, IF(ISERROR(GC_esters!Q13), GC_esters!G13, AVERAGE(GC_esters!G13,  GC_esters!Q13)))</f>
        <v>#N/A</v>
      </c>
      <c r="AE13" s="96">
        <f>IF(ISERROR(GC_esters!G13),0,IF(ISERROR(GC_esters!Q13),0,STDEV(GC_esters!G13, GC_esters!Q13)))</f>
        <v>0</v>
      </c>
      <c r="AF13" s="96" t="e">
        <f>IF(ISERROR(GC_esters!H13), GC_esters!R13, IF(ISERROR(GC_esters!R13), GC_esters!H13, AVERAGE(GC_esters!H13,  GC_esters!R13)))</f>
        <v>#N/A</v>
      </c>
      <c r="AG13" s="96">
        <f>IF(ISERROR(GC_esters!H13),0,IF(ISERROR(GC_esters!R13),0,STDEV(GC_esters!H13, GC_esters!R13)))</f>
        <v>0</v>
      </c>
      <c r="AH13" s="96" t="e">
        <f>IF(ISERROR(GC_esters!I13), GC_esters!S13, IF(ISERROR(GC_esters!S13), GC_esters!I13, AVERAGE(GC_esters!I13,  GC_esters!S13)))</f>
        <v>#N/A</v>
      </c>
      <c r="AI13" s="96">
        <f>IF(ISERROR(GC_esters!I13),0,IF(ISERROR(GC_esters!S13),0,STDEV(GC_esters!I13, GC_esters!S13)))</f>
        <v>0</v>
      </c>
      <c r="AJ13" s="96" t="e">
        <f>IF(ISERROR(GC_esters!J13), GC_esters!T13, IF(ISERROR(GC_esters!T13), GC_esters!J13, AVERAGE(GC_esters!J13,  GC_esters!T13)))</f>
        <v>#N/A</v>
      </c>
      <c r="AK13" s="96">
        <f>IF(ISERROR(GC_esters!J13),0,IF(ISERROR(GC_esters!T13),0,STDEV(GC_esters!J13, GC_esters!T13)))</f>
        <v>0</v>
      </c>
      <c r="AL13" s="96" t="e">
        <f>IF(ISERROR(GC_esters!K13), GC_esters!U13, IF(ISERROR(GC_esters!U13), GC_esters!K13, AVERAGE(GC_esters!K13,  GC_esters!U13)))</f>
        <v>#N/A</v>
      </c>
      <c r="AM13" s="96">
        <f>IF(ISERROR(GC_esters!K13),0,IF(ISERROR(GC_esters!U13),0,STDEV(GC_esters!K13, GC_esters!U13)))</f>
        <v>0</v>
      </c>
      <c r="AN13" s="96" t="e">
        <f>IF(ISERROR(GC_esters!L13), GC_esters!V13, IF(ISERROR(GC_esters!V13), GC_esters!L13, AVERAGE(GC_esters!L13,  GC_esters!V13)))</f>
        <v>#N/A</v>
      </c>
      <c r="AO13" s="96">
        <f>IF(ISERROR(GC_esters!L13),0,IF(ISERROR(GC_esters!V13),0,STDEV(GC_esters!L13, GC_esters!V13)))</f>
        <v>0</v>
      </c>
      <c r="AP13" s="96" t="e">
        <f>IF(ISERROR(GC_esters!M13), GC_esters!W13, IF(ISERROR(GC_esters!W13), GC_esters!M13, AVERAGE(GC_esters!M13,  GC_esters!W13)))</f>
        <v>#N/A</v>
      </c>
      <c r="AQ13" s="96">
        <f>IF(ISERROR(GC_esters!M13),0,IF(ISERROR(GC_esters!W13),0,STDEV(GC_esters!M13, GC_esters!W13)))</f>
        <v>0</v>
      </c>
      <c r="AR13" s="96" t="e">
        <f>IF(ISERROR(GC_ketones!D13), GC_ketones!F13, IF(ISERROR(GC_ketones!F13), GC_ketones!D13, AVERAGE(GC_ketones!D13, GC_ketones!F13)))</f>
        <v>#N/A</v>
      </c>
      <c r="AS13" s="96">
        <f>IF(ISERROR(GC_ketones!D13),0,IF(ISERROR(GC_ketones!F13),0,STDEV(GC_ketones!D13, GC_ketones!F13)))</f>
        <v>0</v>
      </c>
      <c r="AT13" s="96" t="e">
        <f>IF(ISERROR(GC_ketones!E13), GC_ketones!G13, IF(ISERROR(GC_ketones!G13), GC_ketones!E13, AVERAGE(GC_ketones!E13, GC_ketones!G13)))</f>
        <v>#N/A</v>
      </c>
      <c r="AU13" s="96">
        <f>IF(ISERROR(GC_ketones!E13),0,IF(ISERROR(GC_ketones!G13),0,STDEV(GC_ketones!E13, GC_ketones!G13)))</f>
        <v>0</v>
      </c>
      <c r="AV13" t="e">
        <f t="shared" si="13"/>
        <v>#N/A</v>
      </c>
      <c r="AW13" t="e">
        <f t="shared" si="1"/>
        <v>#N/A</v>
      </c>
      <c r="AX13" t="e">
        <f t="shared" si="0"/>
        <v>#N/A</v>
      </c>
      <c r="AY13" t="e">
        <f t="shared" si="2"/>
        <v>#N/A</v>
      </c>
      <c r="AZ13" t="e">
        <f t="shared" si="0"/>
        <v>#N/A</v>
      </c>
      <c r="BA13" t="e">
        <f t="shared" si="3"/>
        <v>#N/A</v>
      </c>
      <c r="BB13" t="e">
        <f t="shared" si="0"/>
        <v>#N/A</v>
      </c>
      <c r="BC13" t="e">
        <f t="shared" si="4"/>
        <v>#N/A</v>
      </c>
      <c r="BD13" t="e">
        <f t="shared" si="0"/>
        <v>#N/A</v>
      </c>
      <c r="BE13" t="e">
        <f t="shared" si="5"/>
        <v>#N/A</v>
      </c>
      <c r="BF13" t="e">
        <f t="shared" si="0"/>
        <v>#N/A</v>
      </c>
      <c r="BG13" t="e">
        <f t="shared" si="6"/>
        <v>#N/A</v>
      </c>
      <c r="BH13" t="e">
        <f t="shared" si="0"/>
        <v>#N/A</v>
      </c>
      <c r="BI13" t="e">
        <f t="shared" si="7"/>
        <v>#N/A</v>
      </c>
      <c r="BJ13" t="e">
        <f t="shared" si="0"/>
        <v>#N/A</v>
      </c>
      <c r="BK13" t="e">
        <f t="shared" si="8"/>
        <v>#N/A</v>
      </c>
      <c r="BL13" t="e">
        <f t="shared" si="0"/>
        <v>#N/A</v>
      </c>
      <c r="BM13" t="e">
        <f t="shared" si="9"/>
        <v>#N/A</v>
      </c>
      <c r="BN13" t="e">
        <f t="shared" si="0"/>
        <v>#N/A</v>
      </c>
      <c r="BO13" t="e">
        <f t="shared" si="10"/>
        <v>#N/A</v>
      </c>
      <c r="BP13" t="e">
        <f t="shared" si="0"/>
        <v>#N/A</v>
      </c>
      <c r="BQ13" t="e">
        <f t="shared" si="11"/>
        <v>#N/A</v>
      </c>
      <c r="BR13" t="e">
        <f t="shared" si="12"/>
        <v>#N/A</v>
      </c>
    </row>
    <row r="14" spans="1:70" x14ac:dyDescent="0.25">
      <c r="A14">
        <f>CellCount_Viability!A14</f>
        <v>0</v>
      </c>
      <c r="B14" s="69" t="e">
        <f>CellCount_Viability!B14</f>
        <v>#VALUE!</v>
      </c>
      <c r="C14" s="63" t="str">
        <f>CellCount_Viability!C14</f>
        <v/>
      </c>
      <c r="D14" s="11" t="e">
        <f>IF(ISERROR(CellCount_Viability!E14), CellCount_Viability!H14, IF(ISERROR(CellCount_Viability!H14), CellCount_Viability!E14, AVERAGE(CellCount_Viability!E14, CellCount_Viability!H14)))</f>
        <v>#N/A</v>
      </c>
      <c r="E14" s="11">
        <f>IF(ISERROR(CellCount_Viability!E14),0,IF(ISERROR(CellCount_Viability!H14),0,STDEV(CellCount_Viability!E14,CellCount_Viability!H14)))</f>
        <v>0</v>
      </c>
      <c r="F14" s="92" t="e">
        <f>IF(ISERROR(CellCount_Viability!F14), CellCount_Viability!I14, IF(ISERROR(CellCount_Viability!I14), CellCount_Viability!F14, AVERAGE(CellCount_Viability!F14, CellCount_Viability!I14)))</f>
        <v>#N/A</v>
      </c>
      <c r="G14" s="92">
        <f>IF(ISERROR(CellCount_Viability!F14),0,IF(ISERROR(CellCount_Viability!I14),0,STDEV(CellCount_Viability!F14,CellCount_Viability!I14)))</f>
        <v>0</v>
      </c>
      <c r="J14" s="96" t="e">
        <f>IF(ISERROR(Attenuation!D15), Attenuation!E15, IF(ISERROR(Attenuation!E15), Attenuation!D15, AVERAGE(Attenuation!D15, Attenuation!E15)))</f>
        <v>#N/A</v>
      </c>
      <c r="K14" s="96">
        <f>IF(ISERROR(Attenuation!D15),0,IF(ISERROR(Attenuation!E15),0,STDEV(Attenuation!D15,Attenuation!E15)))</f>
        <v>0</v>
      </c>
      <c r="L14" s="96" t="e">
        <f>IF(ISERROR(pH!D15), pH!E15, IF(ISERROR(pH!E15), pH!D15, AVERAGE(pH!D15, pH!E15)))</f>
        <v>#N/A</v>
      </c>
      <c r="M14" s="96">
        <f>IF(ISERROR(pH!D15),0,IF(ISERROR(pH!E15),0,STDEV(pH!D15,pH!E15)))</f>
        <v>0</v>
      </c>
      <c r="N14" s="96" t="e">
        <f>IF(ISERROR(HPLC!D14), HPLC!J14, IF(ISERROR( HPLC!J14), HPLC!D14, AVERAGE(HPLC!D14,  HPLC!J14)))</f>
        <v>#N/A</v>
      </c>
      <c r="O14" s="96">
        <f>IF(ISERROR( HPLC!D14),0,IF(ISERROR( HPLC!J14),0,STDEV( HPLC!D14, HPLC!J14)))</f>
        <v>0</v>
      </c>
      <c r="P14" s="96" t="e">
        <f>IF(ISERROR(HPLC!E14), HPLC!K14, IF(ISERROR( HPLC!K14), HPLC!E14, AVERAGE(HPLC!E14,  HPLC!K14)))</f>
        <v>#N/A</v>
      </c>
      <c r="Q14" s="96">
        <f>IF(ISERROR( HPLC!E14),0,IF(ISERROR( HPLC!K14),0,STDEV( HPLC!E14, HPLC!K14)))</f>
        <v>0</v>
      </c>
      <c r="R14" s="96" t="e">
        <f>IF(ISERROR(HPLC!F14), HPLC!L14, IF(ISERROR( HPLC!L14), HPLC!F14, AVERAGE(HPLC!F14,  HPLC!L14)))</f>
        <v>#N/A</v>
      </c>
      <c r="S14" s="96">
        <f>IF(ISERROR( HPLC!F14),0,IF(ISERROR( HPLC!L14),0,STDEV( HPLC!F14, HPLC!L14)))</f>
        <v>0</v>
      </c>
      <c r="T14" s="96" t="e">
        <f>IF(ISERROR(HPLC!G14), HPLC!M14, IF(ISERROR( HPLC!M14), HPLC!G14, AVERAGE(HPLC!M14,  HPLC!G14)))</f>
        <v>#N/A</v>
      </c>
      <c r="U14" s="96">
        <f>IF(ISERROR( HPLC!M14),0,IF(ISERROR( HPLC!G14),0,STDEV( HPLC!M14, HPLC!G14)))</f>
        <v>0</v>
      </c>
      <c r="V14" s="96" t="e">
        <f>IF(ISERROR(HPLC!H14), HPLC!N14, IF(ISERROR( HPLC!N14), HPLC!H14, AVERAGE(HPLC!H14,  HPLC!N14)))</f>
        <v>#N/A</v>
      </c>
      <c r="W14" s="96">
        <f>IF(ISERROR( HPLC!H14),0,IF(ISERROR( HPLC!N14),0,STDEV( HPLC!H14, HPLC!N14)))</f>
        <v>0</v>
      </c>
      <c r="X14" s="96" t="e">
        <f>IF(ISERROR(HPLC!I14), HPLC!O14, IF(ISERROR( HPLC!O14), HPLC!I14, AVERAGE(HPLC!I14,  HPLC!O14)))</f>
        <v>#N/A</v>
      </c>
      <c r="Y14" s="96">
        <f>IF(ISERROR( HPLC!I14),0,IF(ISERROR( HPLC!O14),0,STDEV( HPLC!I14, HPLC!O14)))</f>
        <v>0</v>
      </c>
      <c r="Z14" s="96" t="e">
        <f>IF(ISERROR(GC_esters!D14), GC_esters!N14, IF(ISERROR(GC_esters!N14), GC_esters!D14, AVERAGE(GC_esters!D14,  GC_esters!N14)))</f>
        <v>#N/A</v>
      </c>
      <c r="AA14" s="96">
        <f>IF(ISERROR(GC_esters!D14),0,IF(ISERROR(GC_esters!N14),0,STDEV(GC_esters!D14, GC_esters!N14)))</f>
        <v>0</v>
      </c>
      <c r="AB14" s="96" t="e">
        <f>IF(ISERROR(GC_esters!F14), GC_esters!P14, IF(ISERROR(GC_esters!P14), GC_esters!F14, AVERAGE(GC_esters!F14,  GC_esters!P14)))</f>
        <v>#N/A</v>
      </c>
      <c r="AC14" s="96">
        <f>IF(ISERROR(GC_esters!F14),0,IF(ISERROR(GC_esters!P14),0,STDEV(GC_esters!F14, GC_esters!P14)))</f>
        <v>0</v>
      </c>
      <c r="AD14" s="96" t="e">
        <f>IF(ISERROR(GC_esters!G14), GC_esters!Q14, IF(ISERROR(GC_esters!Q14), GC_esters!G14, AVERAGE(GC_esters!G14,  GC_esters!Q14)))</f>
        <v>#N/A</v>
      </c>
      <c r="AE14" s="96">
        <f>IF(ISERROR(GC_esters!G14),0,IF(ISERROR(GC_esters!Q14),0,STDEV(GC_esters!G14, GC_esters!Q14)))</f>
        <v>0</v>
      </c>
      <c r="AF14" s="96" t="e">
        <f>IF(ISERROR(GC_esters!H14), GC_esters!R14, IF(ISERROR(GC_esters!R14), GC_esters!H14, AVERAGE(GC_esters!H14,  GC_esters!R14)))</f>
        <v>#N/A</v>
      </c>
      <c r="AG14" s="96">
        <f>IF(ISERROR(GC_esters!H14),0,IF(ISERROR(GC_esters!R14),0,STDEV(GC_esters!H14, GC_esters!R14)))</f>
        <v>0</v>
      </c>
      <c r="AH14" s="96" t="e">
        <f>IF(ISERROR(GC_esters!I14), GC_esters!S14, IF(ISERROR(GC_esters!S14), GC_esters!I14, AVERAGE(GC_esters!I14,  GC_esters!S14)))</f>
        <v>#N/A</v>
      </c>
      <c r="AI14" s="96">
        <f>IF(ISERROR(GC_esters!I14),0,IF(ISERROR(GC_esters!S14),0,STDEV(GC_esters!I14, GC_esters!S14)))</f>
        <v>0</v>
      </c>
      <c r="AJ14" s="96" t="e">
        <f>IF(ISERROR(GC_esters!J14), GC_esters!T14, IF(ISERROR(GC_esters!T14), GC_esters!J14, AVERAGE(GC_esters!J14,  GC_esters!T14)))</f>
        <v>#N/A</v>
      </c>
      <c r="AK14" s="96">
        <f>IF(ISERROR(GC_esters!J14),0,IF(ISERROR(GC_esters!T14),0,STDEV(GC_esters!J14, GC_esters!T14)))</f>
        <v>0</v>
      </c>
      <c r="AL14" s="96" t="e">
        <f>IF(ISERROR(GC_esters!K14), GC_esters!U14, IF(ISERROR(GC_esters!U14), GC_esters!K14, AVERAGE(GC_esters!K14,  GC_esters!U14)))</f>
        <v>#N/A</v>
      </c>
      <c r="AM14" s="96">
        <f>IF(ISERROR(GC_esters!K14),0,IF(ISERROR(GC_esters!U14),0,STDEV(GC_esters!K14, GC_esters!U14)))</f>
        <v>0</v>
      </c>
      <c r="AN14" s="96" t="e">
        <f>IF(ISERROR(GC_esters!L14), GC_esters!V14, IF(ISERROR(GC_esters!V14), GC_esters!L14, AVERAGE(GC_esters!L14,  GC_esters!V14)))</f>
        <v>#N/A</v>
      </c>
      <c r="AO14" s="96">
        <f>IF(ISERROR(GC_esters!L14),0,IF(ISERROR(GC_esters!V14),0,STDEV(GC_esters!L14, GC_esters!V14)))</f>
        <v>0</v>
      </c>
      <c r="AP14" s="96" t="e">
        <f>IF(ISERROR(GC_esters!M14), GC_esters!W14, IF(ISERROR(GC_esters!W14), GC_esters!M14, AVERAGE(GC_esters!M14,  GC_esters!W14)))</f>
        <v>#N/A</v>
      </c>
      <c r="AQ14" s="96">
        <f>IF(ISERROR(GC_esters!M14),0,IF(ISERROR(GC_esters!W14),0,STDEV(GC_esters!M14, GC_esters!W14)))</f>
        <v>0</v>
      </c>
      <c r="AR14" s="96" t="e">
        <f>IF(ISERROR(GC_ketones!D14), GC_ketones!F14, IF(ISERROR(GC_ketones!F14), GC_ketones!D14, AVERAGE(GC_ketones!D14, GC_ketones!F14)))</f>
        <v>#N/A</v>
      </c>
      <c r="AS14" s="96">
        <f>IF(ISERROR(GC_ketones!D14),0,IF(ISERROR(GC_ketones!F14),0,STDEV(GC_ketones!D14, GC_ketones!F14)))</f>
        <v>0</v>
      </c>
      <c r="AT14" s="96" t="e">
        <f>IF(ISERROR(GC_ketones!E14), GC_ketones!G14, IF(ISERROR(GC_ketones!G14), GC_ketones!E14, AVERAGE(GC_ketones!E14, GC_ketones!G14)))</f>
        <v>#N/A</v>
      </c>
      <c r="AU14" s="96">
        <f>IF(ISERROR(GC_ketones!E14),0,IF(ISERROR(GC_ketones!G14),0,STDEV(GC_ketones!E14, GC_ketones!G14)))</f>
        <v>0</v>
      </c>
      <c r="AV14" t="e">
        <f t="shared" si="13"/>
        <v>#N/A</v>
      </c>
      <c r="AW14" t="e">
        <f t="shared" si="1"/>
        <v>#N/A</v>
      </c>
      <c r="AX14" t="e">
        <f t="shared" si="0"/>
        <v>#N/A</v>
      </c>
      <c r="AY14" t="e">
        <f t="shared" si="2"/>
        <v>#N/A</v>
      </c>
      <c r="AZ14" t="e">
        <f t="shared" si="0"/>
        <v>#N/A</v>
      </c>
      <c r="BA14" t="e">
        <f t="shared" si="3"/>
        <v>#N/A</v>
      </c>
      <c r="BB14" t="e">
        <f t="shared" si="0"/>
        <v>#N/A</v>
      </c>
      <c r="BC14" t="e">
        <f t="shared" si="4"/>
        <v>#N/A</v>
      </c>
      <c r="BD14" t="e">
        <f t="shared" si="0"/>
        <v>#N/A</v>
      </c>
      <c r="BE14" t="e">
        <f t="shared" si="5"/>
        <v>#N/A</v>
      </c>
      <c r="BF14" t="e">
        <f t="shared" si="0"/>
        <v>#N/A</v>
      </c>
      <c r="BG14" t="e">
        <f t="shared" si="6"/>
        <v>#N/A</v>
      </c>
      <c r="BH14" t="e">
        <f t="shared" si="0"/>
        <v>#N/A</v>
      </c>
      <c r="BI14" t="e">
        <f t="shared" si="7"/>
        <v>#N/A</v>
      </c>
      <c r="BJ14" t="e">
        <f t="shared" si="0"/>
        <v>#N/A</v>
      </c>
      <c r="BK14" t="e">
        <f t="shared" si="8"/>
        <v>#N/A</v>
      </c>
      <c r="BL14" t="e">
        <f t="shared" si="0"/>
        <v>#N/A</v>
      </c>
      <c r="BM14" t="e">
        <f t="shared" si="9"/>
        <v>#N/A</v>
      </c>
      <c r="BN14" t="e">
        <f t="shared" si="0"/>
        <v>#N/A</v>
      </c>
      <c r="BO14" t="e">
        <f t="shared" si="10"/>
        <v>#N/A</v>
      </c>
      <c r="BP14" t="e">
        <f t="shared" si="0"/>
        <v>#N/A</v>
      </c>
      <c r="BQ14" t="e">
        <f t="shared" si="11"/>
        <v>#N/A</v>
      </c>
      <c r="BR14" t="e">
        <f t="shared" si="12"/>
        <v>#N/A</v>
      </c>
    </row>
    <row r="15" spans="1:70" x14ac:dyDescent="0.25">
      <c r="A15">
        <f>CellCount_Viability!A15</f>
        <v>0</v>
      </c>
      <c r="B15" s="69" t="e">
        <f>CellCount_Viability!B15</f>
        <v>#VALUE!</v>
      </c>
      <c r="C15" s="63" t="str">
        <f>CellCount_Viability!C15</f>
        <v/>
      </c>
      <c r="D15" s="11" t="e">
        <f>IF(ISERROR(CellCount_Viability!E15), CellCount_Viability!H15, IF(ISERROR(CellCount_Viability!H15), CellCount_Viability!E15, AVERAGE(CellCount_Viability!E15, CellCount_Viability!H15)))</f>
        <v>#N/A</v>
      </c>
      <c r="E15" s="11">
        <f>IF(ISERROR(CellCount_Viability!E15),0,IF(ISERROR(CellCount_Viability!H15),0,STDEV(CellCount_Viability!E15,CellCount_Viability!H15)))</f>
        <v>0</v>
      </c>
      <c r="F15" s="92" t="e">
        <f>IF(ISERROR(CellCount_Viability!F15), CellCount_Viability!I15, IF(ISERROR(CellCount_Viability!I15), CellCount_Viability!F15, AVERAGE(CellCount_Viability!F15, CellCount_Viability!I15)))</f>
        <v>#N/A</v>
      </c>
      <c r="G15" s="92">
        <f>IF(ISERROR(CellCount_Viability!F15),0,IF(ISERROR(CellCount_Viability!I15),0,STDEV(CellCount_Viability!F15,CellCount_Viability!I15)))</f>
        <v>0</v>
      </c>
      <c r="J15" s="96" t="e">
        <f>IF(ISERROR(Attenuation!D16), Attenuation!E16, IF(ISERROR(Attenuation!E16), Attenuation!D16, AVERAGE(Attenuation!D16, Attenuation!E16)))</f>
        <v>#N/A</v>
      </c>
      <c r="K15" s="96">
        <f>IF(ISERROR(Attenuation!D16),0,IF(ISERROR(Attenuation!E16),0,STDEV(Attenuation!D16,Attenuation!E16)))</f>
        <v>0</v>
      </c>
      <c r="L15" s="96" t="e">
        <f>IF(ISERROR(pH!D16), pH!E16, IF(ISERROR(pH!E16), pH!D16, AVERAGE(pH!D16, pH!E16)))</f>
        <v>#N/A</v>
      </c>
      <c r="M15" s="96">
        <f>IF(ISERROR(pH!D16),0,IF(ISERROR(pH!E16),0,STDEV(pH!D16,pH!E16)))</f>
        <v>0</v>
      </c>
      <c r="N15" s="96" t="e">
        <f>IF(ISERROR(HPLC!D15), HPLC!J15, IF(ISERROR( HPLC!J15), HPLC!D15, AVERAGE(HPLC!D15,  HPLC!J15)))</f>
        <v>#N/A</v>
      </c>
      <c r="O15" s="96">
        <f>IF(ISERROR( HPLC!D15),0,IF(ISERROR( HPLC!J15),0,STDEV( HPLC!D15, HPLC!J15)))</f>
        <v>0</v>
      </c>
      <c r="P15" s="96" t="e">
        <f>IF(ISERROR(HPLC!E15), HPLC!K15, IF(ISERROR( HPLC!K15), HPLC!E15, AVERAGE(HPLC!E15,  HPLC!K15)))</f>
        <v>#N/A</v>
      </c>
      <c r="Q15" s="96">
        <f>IF(ISERROR( HPLC!E15),0,IF(ISERROR( HPLC!K15),0,STDEV( HPLC!E15, HPLC!K15)))</f>
        <v>0</v>
      </c>
      <c r="R15" s="96" t="e">
        <f>IF(ISERROR(HPLC!F15), HPLC!L15, IF(ISERROR( HPLC!L15), HPLC!F15, AVERAGE(HPLC!F15,  HPLC!L15)))</f>
        <v>#N/A</v>
      </c>
      <c r="S15" s="96">
        <f>IF(ISERROR( HPLC!F15),0,IF(ISERROR( HPLC!L15),0,STDEV( HPLC!F15, HPLC!L15)))</f>
        <v>0</v>
      </c>
      <c r="T15" s="96" t="e">
        <f>IF(ISERROR(HPLC!G15), HPLC!M15, IF(ISERROR( HPLC!M15), HPLC!G15, AVERAGE(HPLC!M15,  HPLC!G15)))</f>
        <v>#N/A</v>
      </c>
      <c r="U15" s="96">
        <f>IF(ISERROR( HPLC!M15),0,IF(ISERROR( HPLC!G15),0,STDEV( HPLC!M15, HPLC!G15)))</f>
        <v>0</v>
      </c>
      <c r="V15" s="96" t="e">
        <f>IF(ISERROR(HPLC!H15), HPLC!N15, IF(ISERROR( HPLC!N15), HPLC!H15, AVERAGE(HPLC!H15,  HPLC!N15)))</f>
        <v>#N/A</v>
      </c>
      <c r="W15" s="96">
        <f>IF(ISERROR( HPLC!H15),0,IF(ISERROR( HPLC!N15),0,STDEV( HPLC!H15, HPLC!N15)))</f>
        <v>0</v>
      </c>
      <c r="X15" s="96" t="e">
        <f>IF(ISERROR(HPLC!I15), HPLC!O15, IF(ISERROR( HPLC!O15), HPLC!I15, AVERAGE(HPLC!I15,  HPLC!O15)))</f>
        <v>#N/A</v>
      </c>
      <c r="Y15" s="96">
        <f>IF(ISERROR( HPLC!I15),0,IF(ISERROR( HPLC!O15),0,STDEV( HPLC!I15, HPLC!O15)))</f>
        <v>0</v>
      </c>
      <c r="Z15" s="96" t="e">
        <f>IF(ISERROR(GC_esters!D15), GC_esters!N15, IF(ISERROR(GC_esters!N15), GC_esters!D15, AVERAGE(GC_esters!D15,  GC_esters!N15)))</f>
        <v>#N/A</v>
      </c>
      <c r="AA15" s="96">
        <f>IF(ISERROR(GC_esters!D15),0,IF(ISERROR(GC_esters!N15),0,STDEV(GC_esters!D15, GC_esters!N15)))</f>
        <v>0</v>
      </c>
      <c r="AB15" s="96" t="e">
        <f>IF(ISERROR(GC_esters!F15), GC_esters!P15, IF(ISERROR(GC_esters!P15), GC_esters!F15, AVERAGE(GC_esters!F15,  GC_esters!P15)))</f>
        <v>#N/A</v>
      </c>
      <c r="AC15" s="96">
        <f>IF(ISERROR(GC_esters!F15),0,IF(ISERROR(GC_esters!P15),0,STDEV(GC_esters!F15, GC_esters!P15)))</f>
        <v>0</v>
      </c>
      <c r="AD15" s="96" t="e">
        <f>IF(ISERROR(GC_esters!G15), GC_esters!Q15, IF(ISERROR(GC_esters!Q15), GC_esters!G15, AVERAGE(GC_esters!G15,  GC_esters!Q15)))</f>
        <v>#N/A</v>
      </c>
      <c r="AE15" s="96">
        <f>IF(ISERROR(GC_esters!G15),0,IF(ISERROR(GC_esters!Q15),0,STDEV(GC_esters!G15, GC_esters!Q15)))</f>
        <v>0</v>
      </c>
      <c r="AF15" s="96" t="e">
        <f>IF(ISERROR(GC_esters!H15), GC_esters!R15, IF(ISERROR(GC_esters!R15), GC_esters!H15, AVERAGE(GC_esters!H15,  GC_esters!R15)))</f>
        <v>#N/A</v>
      </c>
      <c r="AG15" s="96">
        <f>IF(ISERROR(GC_esters!H15),0,IF(ISERROR(GC_esters!R15),0,STDEV(GC_esters!H15, GC_esters!R15)))</f>
        <v>0</v>
      </c>
      <c r="AH15" s="96" t="e">
        <f>IF(ISERROR(GC_esters!I15), GC_esters!S15, IF(ISERROR(GC_esters!S15), GC_esters!I15, AVERAGE(GC_esters!I15,  GC_esters!S15)))</f>
        <v>#N/A</v>
      </c>
      <c r="AI15" s="96">
        <f>IF(ISERROR(GC_esters!I15),0,IF(ISERROR(GC_esters!S15),0,STDEV(GC_esters!I15, GC_esters!S15)))</f>
        <v>0</v>
      </c>
      <c r="AJ15" s="96" t="e">
        <f>IF(ISERROR(GC_esters!J15), GC_esters!T15, IF(ISERROR(GC_esters!T15), GC_esters!J15, AVERAGE(GC_esters!J15,  GC_esters!T15)))</f>
        <v>#N/A</v>
      </c>
      <c r="AK15" s="96">
        <f>IF(ISERROR(GC_esters!J15),0,IF(ISERROR(GC_esters!T15),0,STDEV(GC_esters!J15, GC_esters!T15)))</f>
        <v>0</v>
      </c>
      <c r="AL15" s="96" t="e">
        <f>IF(ISERROR(GC_esters!K15), GC_esters!U15, IF(ISERROR(GC_esters!U15), GC_esters!K15, AVERAGE(GC_esters!K15,  GC_esters!U15)))</f>
        <v>#N/A</v>
      </c>
      <c r="AM15" s="96">
        <f>IF(ISERROR(GC_esters!K15),0,IF(ISERROR(GC_esters!U15),0,STDEV(GC_esters!K15, GC_esters!U15)))</f>
        <v>0</v>
      </c>
      <c r="AN15" s="96" t="e">
        <f>IF(ISERROR(GC_esters!L15), GC_esters!V15, IF(ISERROR(GC_esters!V15), GC_esters!L15, AVERAGE(GC_esters!L15,  GC_esters!V15)))</f>
        <v>#N/A</v>
      </c>
      <c r="AO15" s="96">
        <f>IF(ISERROR(GC_esters!L15),0,IF(ISERROR(GC_esters!V15),0,STDEV(GC_esters!L15, GC_esters!V15)))</f>
        <v>0</v>
      </c>
      <c r="AP15" s="96" t="e">
        <f>IF(ISERROR(GC_esters!M15), GC_esters!W15, IF(ISERROR(GC_esters!W15), GC_esters!M15, AVERAGE(GC_esters!M15,  GC_esters!W15)))</f>
        <v>#N/A</v>
      </c>
      <c r="AQ15" s="96">
        <f>IF(ISERROR(GC_esters!M15),0,IF(ISERROR(GC_esters!W15),0,STDEV(GC_esters!M15, GC_esters!W15)))</f>
        <v>0</v>
      </c>
      <c r="AR15" s="96" t="e">
        <f>IF(ISERROR(GC_ketones!D15), GC_ketones!F15, IF(ISERROR(GC_ketones!F15), GC_ketones!D15, AVERAGE(GC_ketones!D15, GC_ketones!F15)))</f>
        <v>#N/A</v>
      </c>
      <c r="AS15" s="96">
        <f>IF(ISERROR(GC_ketones!D15),0,IF(ISERROR(GC_ketones!F15),0,STDEV(GC_ketones!D15, GC_ketones!F15)))</f>
        <v>0</v>
      </c>
      <c r="AT15" s="96" t="e">
        <f>IF(ISERROR(GC_ketones!E15), GC_ketones!G15, IF(ISERROR(GC_ketones!G15), GC_ketones!E15, AVERAGE(GC_ketones!E15, GC_ketones!G15)))</f>
        <v>#N/A</v>
      </c>
      <c r="AU15" s="96">
        <f>IF(ISERROR(GC_ketones!E15),0,IF(ISERROR(GC_ketones!G15),0,STDEV(GC_ketones!E15, GC_ketones!G15)))</f>
        <v>0</v>
      </c>
      <c r="AV15" t="e">
        <f t="shared" si="13"/>
        <v>#N/A</v>
      </c>
      <c r="AW15" t="e">
        <f t="shared" si="1"/>
        <v>#N/A</v>
      </c>
      <c r="AX15" t="e">
        <f t="shared" si="0"/>
        <v>#N/A</v>
      </c>
      <c r="AY15" t="e">
        <f t="shared" si="2"/>
        <v>#N/A</v>
      </c>
      <c r="AZ15" t="e">
        <f t="shared" si="0"/>
        <v>#N/A</v>
      </c>
      <c r="BA15" t="e">
        <f t="shared" si="3"/>
        <v>#N/A</v>
      </c>
      <c r="BB15" t="e">
        <f t="shared" si="0"/>
        <v>#N/A</v>
      </c>
      <c r="BC15" t="e">
        <f t="shared" si="4"/>
        <v>#N/A</v>
      </c>
      <c r="BD15" t="e">
        <f t="shared" si="0"/>
        <v>#N/A</v>
      </c>
      <c r="BE15" t="e">
        <f t="shared" si="5"/>
        <v>#N/A</v>
      </c>
      <c r="BF15" t="e">
        <f t="shared" si="0"/>
        <v>#N/A</v>
      </c>
      <c r="BG15" t="e">
        <f t="shared" si="6"/>
        <v>#N/A</v>
      </c>
      <c r="BH15" t="e">
        <f t="shared" si="0"/>
        <v>#N/A</v>
      </c>
      <c r="BI15" t="e">
        <f t="shared" si="7"/>
        <v>#N/A</v>
      </c>
      <c r="BJ15" t="e">
        <f t="shared" si="0"/>
        <v>#N/A</v>
      </c>
      <c r="BK15" t="e">
        <f t="shared" si="8"/>
        <v>#N/A</v>
      </c>
      <c r="BL15" t="e">
        <f t="shared" si="0"/>
        <v>#N/A</v>
      </c>
      <c r="BM15" t="e">
        <f t="shared" si="9"/>
        <v>#N/A</v>
      </c>
      <c r="BN15" t="e">
        <f t="shared" si="0"/>
        <v>#N/A</v>
      </c>
      <c r="BO15" t="e">
        <f t="shared" si="10"/>
        <v>#N/A</v>
      </c>
      <c r="BP15" t="e">
        <f t="shared" si="0"/>
        <v>#N/A</v>
      </c>
      <c r="BQ15" t="e">
        <f t="shared" si="11"/>
        <v>#N/A</v>
      </c>
      <c r="BR15" t="e">
        <f t="shared" si="12"/>
        <v>#N/A</v>
      </c>
    </row>
    <row r="16" spans="1:70" x14ac:dyDescent="0.25">
      <c r="A16">
        <f>CellCount_Viability!A16</f>
        <v>0</v>
      </c>
      <c r="B16" s="69" t="e">
        <f>CellCount_Viability!B16</f>
        <v>#VALUE!</v>
      </c>
      <c r="C16" s="63" t="str">
        <f>CellCount_Viability!C16</f>
        <v/>
      </c>
      <c r="D16" s="11" t="e">
        <f>IF(ISERROR(CellCount_Viability!E16), CellCount_Viability!H16, IF(ISERROR(CellCount_Viability!H16), CellCount_Viability!E16, AVERAGE(CellCount_Viability!E16, CellCount_Viability!H16)))</f>
        <v>#N/A</v>
      </c>
      <c r="E16" s="11">
        <f>IF(ISERROR(CellCount_Viability!E16),0,IF(ISERROR(CellCount_Viability!H16),0,STDEV(CellCount_Viability!E16,CellCount_Viability!H16)))</f>
        <v>0</v>
      </c>
      <c r="F16" s="92" t="e">
        <f>IF(ISERROR(CellCount_Viability!F16), CellCount_Viability!I16, IF(ISERROR(CellCount_Viability!I16), CellCount_Viability!F16, AVERAGE(CellCount_Viability!F16, CellCount_Viability!I16)))</f>
        <v>#N/A</v>
      </c>
      <c r="G16" s="92">
        <f>IF(ISERROR(CellCount_Viability!F16),0,IF(ISERROR(CellCount_Viability!I16),0,STDEV(CellCount_Viability!F16,CellCount_Viability!I16)))</f>
        <v>0</v>
      </c>
      <c r="J16" s="96" t="e">
        <f>IF(ISERROR(Attenuation!D17), Attenuation!E17, IF(ISERROR(Attenuation!E17), Attenuation!D17, AVERAGE(Attenuation!D17, Attenuation!E17)))</f>
        <v>#N/A</v>
      </c>
      <c r="K16" s="96">
        <f>IF(ISERROR(Attenuation!D17),0,IF(ISERROR(Attenuation!E17),0,STDEV(Attenuation!D17,Attenuation!E17)))</f>
        <v>0</v>
      </c>
      <c r="L16" s="96" t="e">
        <f>IF(ISERROR(pH!D17), pH!E17, IF(ISERROR(pH!E17), pH!D17, AVERAGE(pH!D17, pH!E17)))</f>
        <v>#N/A</v>
      </c>
      <c r="M16" s="96">
        <f>IF(ISERROR(pH!D17),0,IF(ISERROR(pH!E17),0,STDEV(pH!D17,pH!E17)))</f>
        <v>0</v>
      </c>
      <c r="N16" s="96" t="e">
        <f>IF(ISERROR(HPLC!D16), HPLC!J16, IF(ISERROR( HPLC!J16), HPLC!D16, AVERAGE(HPLC!D16,  HPLC!J16)))</f>
        <v>#N/A</v>
      </c>
      <c r="O16" s="96">
        <f>IF(ISERROR( HPLC!D16),0,IF(ISERROR( HPLC!J16),0,STDEV( HPLC!D16, HPLC!J16)))</f>
        <v>0</v>
      </c>
      <c r="P16" s="96" t="e">
        <f>IF(ISERROR(HPLC!E16), HPLC!K16, IF(ISERROR( HPLC!K16), HPLC!E16, AVERAGE(HPLC!E16,  HPLC!K16)))</f>
        <v>#N/A</v>
      </c>
      <c r="Q16" s="96">
        <f>IF(ISERROR( HPLC!E16),0,IF(ISERROR( HPLC!K16),0,STDEV( HPLC!E16, HPLC!K16)))</f>
        <v>0</v>
      </c>
      <c r="R16" s="96" t="e">
        <f>IF(ISERROR(HPLC!F16), HPLC!L16, IF(ISERROR( HPLC!L16), HPLC!F16, AVERAGE(HPLC!F16,  HPLC!L16)))</f>
        <v>#N/A</v>
      </c>
      <c r="S16" s="96">
        <f>IF(ISERROR( HPLC!F16),0,IF(ISERROR( HPLC!L16),0,STDEV( HPLC!F16, HPLC!L16)))</f>
        <v>0</v>
      </c>
      <c r="T16" s="96" t="e">
        <f>IF(ISERROR(HPLC!G16), HPLC!M16, IF(ISERROR( HPLC!M16), HPLC!G16, AVERAGE(HPLC!M16,  HPLC!G16)))</f>
        <v>#N/A</v>
      </c>
      <c r="U16" s="96">
        <f>IF(ISERROR( HPLC!M16),0,IF(ISERROR( HPLC!G16),0,STDEV( HPLC!M16, HPLC!G16)))</f>
        <v>0</v>
      </c>
      <c r="V16" s="96" t="e">
        <f>IF(ISERROR(HPLC!H16), HPLC!N16, IF(ISERROR( HPLC!N16), HPLC!H16, AVERAGE(HPLC!H16,  HPLC!N16)))</f>
        <v>#N/A</v>
      </c>
      <c r="W16" s="96">
        <f>IF(ISERROR( HPLC!H16),0,IF(ISERROR( HPLC!N16),0,STDEV( HPLC!H16, HPLC!N16)))</f>
        <v>0</v>
      </c>
      <c r="X16" s="96" t="e">
        <f>IF(ISERROR(HPLC!I16), HPLC!O16, IF(ISERROR( HPLC!O16), HPLC!I16, AVERAGE(HPLC!I16,  HPLC!O16)))</f>
        <v>#N/A</v>
      </c>
      <c r="Y16" s="96">
        <f>IF(ISERROR( HPLC!I16),0,IF(ISERROR( HPLC!O16),0,STDEV( HPLC!I16, HPLC!O16)))</f>
        <v>0</v>
      </c>
      <c r="Z16" s="96" t="e">
        <f>IF(ISERROR(GC_esters!D16), GC_esters!N16, IF(ISERROR(GC_esters!N16), GC_esters!D16, AVERAGE(GC_esters!D16,  GC_esters!N16)))</f>
        <v>#N/A</v>
      </c>
      <c r="AA16" s="96">
        <f>IF(ISERROR(GC_esters!D16),0,IF(ISERROR(GC_esters!N16),0,STDEV(GC_esters!D16, GC_esters!N16)))</f>
        <v>0</v>
      </c>
      <c r="AB16" s="96" t="e">
        <f>IF(ISERROR(GC_esters!F16), GC_esters!P16, IF(ISERROR(GC_esters!P16), GC_esters!F16, AVERAGE(GC_esters!F16,  GC_esters!P16)))</f>
        <v>#N/A</v>
      </c>
      <c r="AC16" s="96">
        <f>IF(ISERROR(GC_esters!F16),0,IF(ISERROR(GC_esters!P16),0,STDEV(GC_esters!F16, GC_esters!P16)))</f>
        <v>0</v>
      </c>
      <c r="AD16" s="96" t="e">
        <f>IF(ISERROR(GC_esters!G16), GC_esters!Q16, IF(ISERROR(GC_esters!Q16), GC_esters!G16, AVERAGE(GC_esters!G16,  GC_esters!Q16)))</f>
        <v>#N/A</v>
      </c>
      <c r="AE16" s="96">
        <f>IF(ISERROR(GC_esters!G16),0,IF(ISERROR(GC_esters!Q16),0,STDEV(GC_esters!G16, GC_esters!Q16)))</f>
        <v>0</v>
      </c>
      <c r="AF16" s="96" t="e">
        <f>IF(ISERROR(GC_esters!H16), GC_esters!R16, IF(ISERROR(GC_esters!R16), GC_esters!H16, AVERAGE(GC_esters!H16,  GC_esters!R16)))</f>
        <v>#N/A</v>
      </c>
      <c r="AG16" s="96">
        <f>IF(ISERROR(GC_esters!H16),0,IF(ISERROR(GC_esters!R16),0,STDEV(GC_esters!H16, GC_esters!R16)))</f>
        <v>0</v>
      </c>
      <c r="AH16" s="96" t="e">
        <f>IF(ISERROR(GC_esters!I16), GC_esters!S16, IF(ISERROR(GC_esters!S16), GC_esters!I16, AVERAGE(GC_esters!I16,  GC_esters!S16)))</f>
        <v>#N/A</v>
      </c>
      <c r="AI16" s="96">
        <f>IF(ISERROR(GC_esters!I16),0,IF(ISERROR(GC_esters!S16),0,STDEV(GC_esters!I16, GC_esters!S16)))</f>
        <v>0</v>
      </c>
      <c r="AJ16" s="96" t="e">
        <f>IF(ISERROR(GC_esters!J16), GC_esters!T16, IF(ISERROR(GC_esters!T16), GC_esters!J16, AVERAGE(GC_esters!J16,  GC_esters!T16)))</f>
        <v>#N/A</v>
      </c>
      <c r="AK16" s="96">
        <f>IF(ISERROR(GC_esters!J16),0,IF(ISERROR(GC_esters!T16),0,STDEV(GC_esters!J16, GC_esters!T16)))</f>
        <v>0</v>
      </c>
      <c r="AL16" s="96" t="e">
        <f>IF(ISERROR(GC_esters!K16), GC_esters!U16, IF(ISERROR(GC_esters!U16), GC_esters!K16, AVERAGE(GC_esters!K16,  GC_esters!U16)))</f>
        <v>#N/A</v>
      </c>
      <c r="AM16" s="96">
        <f>IF(ISERROR(GC_esters!K16),0,IF(ISERROR(GC_esters!U16),0,STDEV(GC_esters!K16, GC_esters!U16)))</f>
        <v>0</v>
      </c>
      <c r="AN16" s="96" t="e">
        <f>IF(ISERROR(GC_esters!L16), GC_esters!V16, IF(ISERROR(GC_esters!V16), GC_esters!L16, AVERAGE(GC_esters!L16,  GC_esters!V16)))</f>
        <v>#N/A</v>
      </c>
      <c r="AO16" s="96">
        <f>IF(ISERROR(GC_esters!L16),0,IF(ISERROR(GC_esters!V16),0,STDEV(GC_esters!L16, GC_esters!V16)))</f>
        <v>0</v>
      </c>
      <c r="AP16" s="96" t="e">
        <f>IF(ISERROR(GC_esters!M16), GC_esters!W16, IF(ISERROR(GC_esters!W16), GC_esters!M16, AVERAGE(GC_esters!M16,  GC_esters!W16)))</f>
        <v>#N/A</v>
      </c>
      <c r="AQ16" s="96">
        <f>IF(ISERROR(GC_esters!M16),0,IF(ISERROR(GC_esters!W16),0,STDEV(GC_esters!M16, GC_esters!W16)))</f>
        <v>0</v>
      </c>
      <c r="AR16" s="96" t="e">
        <f>IF(ISERROR(GC_ketones!D16), GC_ketones!F16, IF(ISERROR(GC_ketones!F16), GC_ketones!D16, AVERAGE(GC_ketones!D16, GC_ketones!F16)))</f>
        <v>#N/A</v>
      </c>
      <c r="AS16" s="96">
        <f>IF(ISERROR(GC_ketones!D16),0,IF(ISERROR(GC_ketones!F16),0,STDEV(GC_ketones!D16, GC_ketones!F16)))</f>
        <v>0</v>
      </c>
      <c r="AT16" s="96" t="e">
        <f>IF(ISERROR(GC_ketones!E16), GC_ketones!G16, IF(ISERROR(GC_ketones!G16), GC_ketones!E16, AVERAGE(GC_ketones!E16, GC_ketones!G16)))</f>
        <v>#N/A</v>
      </c>
      <c r="AU16" s="96">
        <f>IF(ISERROR(GC_ketones!E16),0,IF(ISERROR(GC_ketones!G16),0,STDEV(GC_ketones!E16, GC_ketones!G16)))</f>
        <v>0</v>
      </c>
      <c r="AV16" t="e">
        <f t="shared" si="13"/>
        <v>#N/A</v>
      </c>
      <c r="AW16" t="e">
        <f t="shared" si="1"/>
        <v>#N/A</v>
      </c>
      <c r="AX16" t="e">
        <f t="shared" si="0"/>
        <v>#N/A</v>
      </c>
      <c r="AY16" t="e">
        <f t="shared" si="2"/>
        <v>#N/A</v>
      </c>
      <c r="AZ16" t="e">
        <f t="shared" si="0"/>
        <v>#N/A</v>
      </c>
      <c r="BA16" t="e">
        <f t="shared" si="3"/>
        <v>#N/A</v>
      </c>
      <c r="BB16" t="e">
        <f t="shared" si="0"/>
        <v>#N/A</v>
      </c>
      <c r="BC16" t="e">
        <f t="shared" si="4"/>
        <v>#N/A</v>
      </c>
      <c r="BD16" t="e">
        <f t="shared" si="0"/>
        <v>#N/A</v>
      </c>
      <c r="BE16" t="e">
        <f t="shared" si="5"/>
        <v>#N/A</v>
      </c>
      <c r="BF16" t="e">
        <f t="shared" si="0"/>
        <v>#N/A</v>
      </c>
      <c r="BG16" t="e">
        <f t="shared" si="6"/>
        <v>#N/A</v>
      </c>
      <c r="BH16" t="e">
        <f t="shared" si="0"/>
        <v>#N/A</v>
      </c>
      <c r="BI16" t="e">
        <f t="shared" si="7"/>
        <v>#N/A</v>
      </c>
      <c r="BJ16" t="e">
        <f t="shared" si="0"/>
        <v>#N/A</v>
      </c>
      <c r="BK16" t="e">
        <f t="shared" si="8"/>
        <v>#N/A</v>
      </c>
      <c r="BL16" t="e">
        <f t="shared" si="0"/>
        <v>#N/A</v>
      </c>
      <c r="BM16" t="e">
        <f t="shared" si="9"/>
        <v>#N/A</v>
      </c>
      <c r="BN16" t="e">
        <f t="shared" si="0"/>
        <v>#N/A</v>
      </c>
      <c r="BO16" t="e">
        <f t="shared" si="10"/>
        <v>#N/A</v>
      </c>
      <c r="BP16" t="e">
        <f t="shared" si="0"/>
        <v>#N/A</v>
      </c>
      <c r="BQ16" t="e">
        <f t="shared" si="11"/>
        <v>#N/A</v>
      </c>
      <c r="BR16" t="e">
        <f t="shared" si="12"/>
        <v>#N/A</v>
      </c>
    </row>
    <row r="17" spans="1:70" x14ac:dyDescent="0.25">
      <c r="A17">
        <f>CellCount_Viability!A17</f>
        <v>0</v>
      </c>
      <c r="B17" s="69" t="e">
        <f>CellCount_Viability!B17</f>
        <v>#VALUE!</v>
      </c>
      <c r="C17" s="63" t="str">
        <f>CellCount_Viability!C17</f>
        <v/>
      </c>
      <c r="D17" s="11" t="e">
        <f>IF(ISERROR(CellCount_Viability!E17), CellCount_Viability!H17, IF(ISERROR(CellCount_Viability!H17), CellCount_Viability!E17, AVERAGE(CellCount_Viability!E17, CellCount_Viability!H17)))</f>
        <v>#N/A</v>
      </c>
      <c r="E17" s="11">
        <f>IF(ISERROR(CellCount_Viability!E17),0,IF(ISERROR(CellCount_Viability!H17),0,STDEV(CellCount_Viability!E17,CellCount_Viability!H17)))</f>
        <v>0</v>
      </c>
      <c r="F17" s="92" t="e">
        <f>IF(ISERROR(CellCount_Viability!F17), CellCount_Viability!I17, IF(ISERROR(CellCount_Viability!I17), CellCount_Viability!F17, AVERAGE(CellCount_Viability!F17, CellCount_Viability!I17)))</f>
        <v>#N/A</v>
      </c>
      <c r="G17" s="92">
        <f>IF(ISERROR(CellCount_Viability!F17),0,IF(ISERROR(CellCount_Viability!I17),0,STDEV(CellCount_Viability!F17,CellCount_Viability!I17)))</f>
        <v>0</v>
      </c>
      <c r="J17" s="96" t="e">
        <f>IF(ISERROR(Attenuation!D18), Attenuation!E18, IF(ISERROR(Attenuation!E18), Attenuation!D18, AVERAGE(Attenuation!D18, Attenuation!E18)))</f>
        <v>#N/A</v>
      </c>
      <c r="K17" s="96">
        <f>IF(ISERROR(Attenuation!D18),0,IF(ISERROR(Attenuation!E18),0,STDEV(Attenuation!D18,Attenuation!E18)))</f>
        <v>0</v>
      </c>
      <c r="L17" s="96" t="e">
        <f>IF(ISERROR(pH!D18), pH!E18, IF(ISERROR(pH!E18), pH!D18, AVERAGE(pH!D18, pH!E18)))</f>
        <v>#N/A</v>
      </c>
      <c r="M17" s="96">
        <f>IF(ISERROR(pH!D18),0,IF(ISERROR(pH!E18),0,STDEV(pH!D18,pH!E18)))</f>
        <v>0</v>
      </c>
      <c r="N17" s="96" t="e">
        <f>IF(ISERROR(HPLC!D17), HPLC!J17, IF(ISERROR( HPLC!J17), HPLC!D17, AVERAGE(HPLC!D17,  HPLC!J17)))</f>
        <v>#N/A</v>
      </c>
      <c r="O17" s="96">
        <f>IF(ISERROR( HPLC!D17),0,IF(ISERROR( HPLC!J17),0,STDEV( HPLC!D17, HPLC!J17)))</f>
        <v>0</v>
      </c>
      <c r="P17" s="96" t="e">
        <f>IF(ISERROR(HPLC!E17), HPLC!K17, IF(ISERROR( HPLC!K17), HPLC!E17, AVERAGE(HPLC!E17,  HPLC!K17)))</f>
        <v>#N/A</v>
      </c>
      <c r="Q17" s="96">
        <f>IF(ISERROR( HPLC!E17),0,IF(ISERROR( HPLC!K17),0,STDEV( HPLC!E17, HPLC!K17)))</f>
        <v>0</v>
      </c>
      <c r="R17" s="96" t="e">
        <f>IF(ISERROR(HPLC!F17), HPLC!L17, IF(ISERROR( HPLC!L17), HPLC!F17, AVERAGE(HPLC!F17,  HPLC!L17)))</f>
        <v>#N/A</v>
      </c>
      <c r="S17" s="96">
        <f>IF(ISERROR( HPLC!F17),0,IF(ISERROR( HPLC!L17),0,STDEV( HPLC!F17, HPLC!L17)))</f>
        <v>0</v>
      </c>
      <c r="T17" s="96" t="e">
        <f>IF(ISERROR(HPLC!G17), HPLC!M17, IF(ISERROR( HPLC!M17), HPLC!G17, AVERAGE(HPLC!M17,  HPLC!G17)))</f>
        <v>#N/A</v>
      </c>
      <c r="U17" s="96">
        <f>IF(ISERROR( HPLC!M17),0,IF(ISERROR( HPLC!G17),0,STDEV( HPLC!M17, HPLC!G17)))</f>
        <v>0</v>
      </c>
      <c r="V17" s="96" t="e">
        <f>IF(ISERROR(HPLC!H17), HPLC!N17, IF(ISERROR( HPLC!N17), HPLC!H17, AVERAGE(HPLC!H17,  HPLC!N17)))</f>
        <v>#N/A</v>
      </c>
      <c r="W17" s="96">
        <f>IF(ISERROR( HPLC!H17),0,IF(ISERROR( HPLC!N17),0,STDEV( HPLC!H17, HPLC!N17)))</f>
        <v>0</v>
      </c>
      <c r="X17" s="96" t="e">
        <f>IF(ISERROR(HPLC!I17), HPLC!O17, IF(ISERROR( HPLC!O17), HPLC!I17, AVERAGE(HPLC!I17,  HPLC!O17)))</f>
        <v>#N/A</v>
      </c>
      <c r="Y17" s="96">
        <f>IF(ISERROR( HPLC!I17),0,IF(ISERROR( HPLC!O17),0,STDEV( HPLC!I17, HPLC!O17)))</f>
        <v>0</v>
      </c>
      <c r="Z17" s="96" t="e">
        <f>IF(ISERROR(GC_esters!D17), GC_esters!N17, IF(ISERROR(GC_esters!N17), GC_esters!D17, AVERAGE(GC_esters!D17,  GC_esters!N17)))</f>
        <v>#N/A</v>
      </c>
      <c r="AA17" s="96">
        <f>IF(ISERROR(GC_esters!D17),0,IF(ISERROR(GC_esters!N17),0,STDEV(GC_esters!D17, GC_esters!N17)))</f>
        <v>0</v>
      </c>
      <c r="AB17" s="96" t="e">
        <f>IF(ISERROR(GC_esters!F17), GC_esters!P17, IF(ISERROR(GC_esters!P17), GC_esters!F17, AVERAGE(GC_esters!F17,  GC_esters!P17)))</f>
        <v>#N/A</v>
      </c>
      <c r="AC17" s="96">
        <f>IF(ISERROR(GC_esters!F17),0,IF(ISERROR(GC_esters!P17),0,STDEV(GC_esters!F17, GC_esters!P17)))</f>
        <v>0</v>
      </c>
      <c r="AD17" s="96" t="e">
        <f>IF(ISERROR(GC_esters!G17), GC_esters!Q17, IF(ISERROR(GC_esters!Q17), GC_esters!G17, AVERAGE(GC_esters!G17,  GC_esters!Q17)))</f>
        <v>#N/A</v>
      </c>
      <c r="AE17" s="96">
        <f>IF(ISERROR(GC_esters!G17),0,IF(ISERROR(GC_esters!Q17),0,STDEV(GC_esters!G17, GC_esters!Q17)))</f>
        <v>0</v>
      </c>
      <c r="AF17" s="96" t="e">
        <f>IF(ISERROR(GC_esters!H17), GC_esters!R17, IF(ISERROR(GC_esters!R17), GC_esters!H17, AVERAGE(GC_esters!H17,  GC_esters!R17)))</f>
        <v>#N/A</v>
      </c>
      <c r="AG17" s="96">
        <f>IF(ISERROR(GC_esters!H17),0,IF(ISERROR(GC_esters!R17),0,STDEV(GC_esters!H17, GC_esters!R17)))</f>
        <v>0</v>
      </c>
      <c r="AH17" s="96" t="e">
        <f>IF(ISERROR(GC_esters!I17), GC_esters!S17, IF(ISERROR(GC_esters!S17), GC_esters!I17, AVERAGE(GC_esters!I17,  GC_esters!S17)))</f>
        <v>#N/A</v>
      </c>
      <c r="AI17" s="96">
        <f>IF(ISERROR(GC_esters!I17),0,IF(ISERROR(GC_esters!S17),0,STDEV(GC_esters!I17, GC_esters!S17)))</f>
        <v>0</v>
      </c>
      <c r="AJ17" s="96" t="e">
        <f>IF(ISERROR(GC_esters!J17), GC_esters!T17, IF(ISERROR(GC_esters!T17), GC_esters!J17, AVERAGE(GC_esters!J17,  GC_esters!T17)))</f>
        <v>#N/A</v>
      </c>
      <c r="AK17" s="96">
        <f>IF(ISERROR(GC_esters!J17),0,IF(ISERROR(GC_esters!T17),0,STDEV(GC_esters!J17, GC_esters!T17)))</f>
        <v>0</v>
      </c>
      <c r="AL17" s="96" t="e">
        <f>IF(ISERROR(GC_esters!K17), GC_esters!U17, IF(ISERROR(GC_esters!U17), GC_esters!K17, AVERAGE(GC_esters!K17,  GC_esters!U17)))</f>
        <v>#N/A</v>
      </c>
      <c r="AM17" s="96">
        <f>IF(ISERROR(GC_esters!K17),0,IF(ISERROR(GC_esters!U17),0,STDEV(GC_esters!K17, GC_esters!U17)))</f>
        <v>0</v>
      </c>
      <c r="AN17" s="96" t="e">
        <f>IF(ISERROR(GC_esters!L17), GC_esters!V17, IF(ISERROR(GC_esters!V17), GC_esters!L17, AVERAGE(GC_esters!L17,  GC_esters!V17)))</f>
        <v>#N/A</v>
      </c>
      <c r="AO17" s="96">
        <f>IF(ISERROR(GC_esters!L17),0,IF(ISERROR(GC_esters!V17),0,STDEV(GC_esters!L17, GC_esters!V17)))</f>
        <v>0</v>
      </c>
      <c r="AP17" s="96" t="e">
        <f>IF(ISERROR(GC_esters!M17), GC_esters!W17, IF(ISERROR(GC_esters!W17), GC_esters!M17, AVERAGE(GC_esters!M17,  GC_esters!W17)))</f>
        <v>#N/A</v>
      </c>
      <c r="AQ17" s="96">
        <f>IF(ISERROR(GC_esters!M17),0,IF(ISERROR(GC_esters!W17),0,STDEV(GC_esters!M17, GC_esters!W17)))</f>
        <v>0</v>
      </c>
      <c r="AR17" s="96" t="e">
        <f>IF(ISERROR(GC_ketones!D17), GC_ketones!F17, IF(ISERROR(GC_ketones!F17), GC_ketones!D17, AVERAGE(GC_ketones!D17, GC_ketones!F17)))</f>
        <v>#N/A</v>
      </c>
      <c r="AS17" s="96">
        <f>IF(ISERROR(GC_ketones!D17),0,IF(ISERROR(GC_ketones!F17),0,STDEV(GC_ketones!D17, GC_ketones!F17)))</f>
        <v>0</v>
      </c>
      <c r="AT17" s="96" t="e">
        <f>IF(ISERROR(GC_ketones!E17), GC_ketones!G17, IF(ISERROR(GC_ketones!G17), GC_ketones!E17, AVERAGE(GC_ketones!E17, GC_ketones!G17)))</f>
        <v>#N/A</v>
      </c>
      <c r="AU17" s="96">
        <f>IF(ISERROR(GC_ketones!E17),0,IF(ISERROR(GC_ketones!G17),0,STDEV(GC_ketones!E17, GC_ketones!G17)))</f>
        <v>0</v>
      </c>
      <c r="AV17" t="e">
        <f t="shared" si="13"/>
        <v>#N/A</v>
      </c>
      <c r="AW17" t="e">
        <f t="shared" si="1"/>
        <v>#N/A</v>
      </c>
      <c r="AX17" t="e">
        <f t="shared" si="0"/>
        <v>#N/A</v>
      </c>
      <c r="AY17" t="e">
        <f t="shared" si="2"/>
        <v>#N/A</v>
      </c>
      <c r="AZ17" t="e">
        <f t="shared" si="0"/>
        <v>#N/A</v>
      </c>
      <c r="BA17" t="e">
        <f t="shared" si="3"/>
        <v>#N/A</v>
      </c>
      <c r="BB17" t="e">
        <f t="shared" si="0"/>
        <v>#N/A</v>
      </c>
      <c r="BC17" t="e">
        <f t="shared" si="4"/>
        <v>#N/A</v>
      </c>
      <c r="BD17" t="e">
        <f t="shared" si="0"/>
        <v>#N/A</v>
      </c>
      <c r="BE17" t="e">
        <f t="shared" si="5"/>
        <v>#N/A</v>
      </c>
      <c r="BF17" t="e">
        <f t="shared" si="0"/>
        <v>#N/A</v>
      </c>
      <c r="BG17" t="e">
        <f t="shared" si="6"/>
        <v>#N/A</v>
      </c>
      <c r="BH17" t="e">
        <f t="shared" si="0"/>
        <v>#N/A</v>
      </c>
      <c r="BI17" t="e">
        <f t="shared" si="7"/>
        <v>#N/A</v>
      </c>
      <c r="BJ17" t="e">
        <f t="shared" si="0"/>
        <v>#N/A</v>
      </c>
      <c r="BK17" t="e">
        <f t="shared" si="8"/>
        <v>#N/A</v>
      </c>
      <c r="BL17" t="e">
        <f t="shared" si="0"/>
        <v>#N/A</v>
      </c>
      <c r="BM17" t="e">
        <f t="shared" si="9"/>
        <v>#N/A</v>
      </c>
      <c r="BN17" t="e">
        <f t="shared" si="0"/>
        <v>#N/A</v>
      </c>
      <c r="BO17" t="e">
        <f t="shared" si="10"/>
        <v>#N/A</v>
      </c>
      <c r="BP17" t="e">
        <f t="shared" si="0"/>
        <v>#N/A</v>
      </c>
      <c r="BQ17" t="e">
        <f t="shared" si="11"/>
        <v>#N/A</v>
      </c>
      <c r="BR17" t="e">
        <f t="shared" si="12"/>
        <v>#N/A</v>
      </c>
    </row>
    <row r="18" spans="1:70" x14ac:dyDescent="0.25">
      <c r="A18">
        <f>CellCount_Viability!A18</f>
        <v>0</v>
      </c>
      <c r="B18" s="69" t="e">
        <f>CellCount_Viability!B18</f>
        <v>#VALUE!</v>
      </c>
      <c r="C18" s="63" t="str">
        <f>CellCount_Viability!C18</f>
        <v/>
      </c>
      <c r="D18" s="11" t="e">
        <f>IF(ISERROR(CellCount_Viability!E18), CellCount_Viability!H18, IF(ISERROR(CellCount_Viability!H18), CellCount_Viability!E18, AVERAGE(CellCount_Viability!E18, CellCount_Viability!H18)))</f>
        <v>#N/A</v>
      </c>
      <c r="E18" s="11">
        <f>IF(ISERROR(CellCount_Viability!E18),0,IF(ISERROR(CellCount_Viability!H18),0,STDEV(CellCount_Viability!E18,CellCount_Viability!H18)))</f>
        <v>0</v>
      </c>
      <c r="F18" s="92" t="e">
        <f>IF(ISERROR(CellCount_Viability!F18), CellCount_Viability!I18, IF(ISERROR(CellCount_Viability!I18), CellCount_Viability!F18, AVERAGE(CellCount_Viability!F18, CellCount_Viability!I18)))</f>
        <v>#N/A</v>
      </c>
      <c r="G18" s="92">
        <f>IF(ISERROR(CellCount_Viability!F18),0,IF(ISERROR(CellCount_Viability!I18),0,STDEV(CellCount_Viability!F18,CellCount_Viability!I18)))</f>
        <v>0</v>
      </c>
      <c r="J18" s="96" t="e">
        <f>IF(ISERROR(Attenuation!D19), Attenuation!E19, IF(ISERROR(Attenuation!E19), Attenuation!D19, AVERAGE(Attenuation!D19, Attenuation!E19)))</f>
        <v>#N/A</v>
      </c>
      <c r="K18" s="96">
        <f>IF(ISERROR(Attenuation!D19),0,IF(ISERROR(Attenuation!E19),0,STDEV(Attenuation!D19,Attenuation!E19)))</f>
        <v>0</v>
      </c>
      <c r="L18" s="96" t="e">
        <f>IF(ISERROR(pH!D19), pH!E19, IF(ISERROR(pH!E19), pH!D19, AVERAGE(pH!D19, pH!E19)))</f>
        <v>#N/A</v>
      </c>
      <c r="M18" s="96">
        <f>IF(ISERROR(pH!D19),0,IF(ISERROR(pH!E19),0,STDEV(pH!D19,pH!E19)))</f>
        <v>0</v>
      </c>
      <c r="N18" s="96" t="e">
        <f>IF(ISERROR(HPLC!D18), HPLC!J18, IF(ISERROR( HPLC!J18), HPLC!D18, AVERAGE(HPLC!D18,  HPLC!J18)))</f>
        <v>#N/A</v>
      </c>
      <c r="O18" s="96">
        <f>IF(ISERROR( HPLC!D18),0,IF(ISERROR( HPLC!J18),0,STDEV( HPLC!D18, HPLC!J18)))</f>
        <v>0</v>
      </c>
      <c r="P18" s="96" t="e">
        <f>IF(ISERROR(HPLC!E18), HPLC!K18, IF(ISERROR( HPLC!K18), HPLC!E18, AVERAGE(HPLC!E18,  HPLC!K18)))</f>
        <v>#N/A</v>
      </c>
      <c r="Q18" s="96">
        <f>IF(ISERROR( HPLC!E18),0,IF(ISERROR( HPLC!K18),0,STDEV( HPLC!E18, HPLC!K18)))</f>
        <v>0</v>
      </c>
      <c r="R18" s="96" t="e">
        <f>IF(ISERROR(HPLC!F18), HPLC!L18, IF(ISERROR( HPLC!L18), HPLC!F18, AVERAGE(HPLC!F18,  HPLC!L18)))</f>
        <v>#N/A</v>
      </c>
      <c r="S18" s="96">
        <f>IF(ISERROR( HPLC!F18),0,IF(ISERROR( HPLC!L18),0,STDEV( HPLC!F18, HPLC!L18)))</f>
        <v>0</v>
      </c>
      <c r="T18" s="96" t="e">
        <f>IF(ISERROR(HPLC!G18), HPLC!M18, IF(ISERROR( HPLC!M18), HPLC!G18, AVERAGE(HPLC!M18,  HPLC!G18)))</f>
        <v>#N/A</v>
      </c>
      <c r="U18" s="96">
        <f>IF(ISERROR( HPLC!M18),0,IF(ISERROR( HPLC!G18),0,STDEV( HPLC!M18, HPLC!G18)))</f>
        <v>0</v>
      </c>
      <c r="V18" s="96" t="e">
        <f>IF(ISERROR(HPLC!H18), HPLC!N18, IF(ISERROR( HPLC!N18), HPLC!H18, AVERAGE(HPLC!H18,  HPLC!N18)))</f>
        <v>#N/A</v>
      </c>
      <c r="W18" s="96">
        <f>IF(ISERROR( HPLC!H18),0,IF(ISERROR( HPLC!N18),0,STDEV( HPLC!H18, HPLC!N18)))</f>
        <v>0</v>
      </c>
      <c r="X18" s="96" t="e">
        <f>IF(ISERROR(HPLC!I18), HPLC!O18, IF(ISERROR( HPLC!O18), HPLC!I18, AVERAGE(HPLC!I18,  HPLC!O18)))</f>
        <v>#N/A</v>
      </c>
      <c r="Y18" s="96">
        <f>IF(ISERROR( HPLC!I18),0,IF(ISERROR( HPLC!O18),0,STDEV( HPLC!I18, HPLC!O18)))</f>
        <v>0</v>
      </c>
      <c r="Z18" s="96" t="e">
        <f>IF(ISERROR(GC_esters!D18), GC_esters!N18, IF(ISERROR(GC_esters!N18), GC_esters!D18, AVERAGE(GC_esters!D18,  GC_esters!N18)))</f>
        <v>#N/A</v>
      </c>
      <c r="AA18" s="96">
        <f>IF(ISERROR(GC_esters!D18),0,IF(ISERROR(GC_esters!N18),0,STDEV(GC_esters!D18, GC_esters!N18)))</f>
        <v>0</v>
      </c>
      <c r="AB18" s="96" t="e">
        <f>IF(ISERROR(GC_esters!F18), GC_esters!P18, IF(ISERROR(GC_esters!P18), GC_esters!F18, AVERAGE(GC_esters!F18,  GC_esters!P18)))</f>
        <v>#N/A</v>
      </c>
      <c r="AC18" s="96">
        <f>IF(ISERROR(GC_esters!F18),0,IF(ISERROR(GC_esters!P18),0,STDEV(GC_esters!F18, GC_esters!P18)))</f>
        <v>0</v>
      </c>
      <c r="AD18" s="96" t="e">
        <f>IF(ISERROR(GC_esters!G18), GC_esters!Q18, IF(ISERROR(GC_esters!Q18), GC_esters!G18, AVERAGE(GC_esters!G18,  GC_esters!Q18)))</f>
        <v>#N/A</v>
      </c>
      <c r="AE18" s="96">
        <f>IF(ISERROR(GC_esters!G18),0,IF(ISERROR(GC_esters!Q18),0,STDEV(GC_esters!G18, GC_esters!Q18)))</f>
        <v>0</v>
      </c>
      <c r="AF18" s="96" t="e">
        <f>IF(ISERROR(GC_esters!H18), GC_esters!R18, IF(ISERROR(GC_esters!R18), GC_esters!H18, AVERAGE(GC_esters!H18,  GC_esters!R18)))</f>
        <v>#N/A</v>
      </c>
      <c r="AG18" s="96">
        <f>IF(ISERROR(GC_esters!H18),0,IF(ISERROR(GC_esters!R18),0,STDEV(GC_esters!H18, GC_esters!R18)))</f>
        <v>0</v>
      </c>
      <c r="AH18" s="96" t="e">
        <f>IF(ISERROR(GC_esters!I18), GC_esters!S18, IF(ISERROR(GC_esters!S18), GC_esters!I18, AVERAGE(GC_esters!I18,  GC_esters!S18)))</f>
        <v>#N/A</v>
      </c>
      <c r="AI18" s="96">
        <f>IF(ISERROR(GC_esters!I18),0,IF(ISERROR(GC_esters!S18),0,STDEV(GC_esters!I18, GC_esters!S18)))</f>
        <v>0</v>
      </c>
      <c r="AJ18" s="96" t="e">
        <f>IF(ISERROR(GC_esters!J18), GC_esters!T18, IF(ISERROR(GC_esters!T18), GC_esters!J18, AVERAGE(GC_esters!J18,  GC_esters!T18)))</f>
        <v>#N/A</v>
      </c>
      <c r="AK18" s="96">
        <f>IF(ISERROR(GC_esters!J18),0,IF(ISERROR(GC_esters!T18),0,STDEV(GC_esters!J18, GC_esters!T18)))</f>
        <v>0</v>
      </c>
      <c r="AL18" s="96" t="e">
        <f>IF(ISERROR(GC_esters!K18), GC_esters!U18, IF(ISERROR(GC_esters!U18), GC_esters!K18, AVERAGE(GC_esters!K18,  GC_esters!U18)))</f>
        <v>#N/A</v>
      </c>
      <c r="AM18" s="96">
        <f>IF(ISERROR(GC_esters!K18),0,IF(ISERROR(GC_esters!U18),0,STDEV(GC_esters!K18, GC_esters!U18)))</f>
        <v>0</v>
      </c>
      <c r="AN18" s="96" t="e">
        <f>IF(ISERROR(GC_esters!L18), GC_esters!V18, IF(ISERROR(GC_esters!V18), GC_esters!L18, AVERAGE(GC_esters!L18,  GC_esters!V18)))</f>
        <v>#N/A</v>
      </c>
      <c r="AO18" s="96">
        <f>IF(ISERROR(GC_esters!L18),0,IF(ISERROR(GC_esters!V18),0,STDEV(GC_esters!L18, GC_esters!V18)))</f>
        <v>0</v>
      </c>
      <c r="AP18" s="96" t="e">
        <f>IF(ISERROR(GC_esters!M18), GC_esters!W18, IF(ISERROR(GC_esters!W18), GC_esters!M18, AVERAGE(GC_esters!M18,  GC_esters!W18)))</f>
        <v>#N/A</v>
      </c>
      <c r="AQ18" s="96">
        <f>IF(ISERROR(GC_esters!M18),0,IF(ISERROR(GC_esters!W18),0,STDEV(GC_esters!M18, GC_esters!W18)))</f>
        <v>0</v>
      </c>
      <c r="AR18" s="96" t="e">
        <f>IF(ISERROR(GC_ketones!D18), GC_ketones!F18, IF(ISERROR(GC_ketones!F18), GC_ketones!D18, AVERAGE(GC_ketones!D18, GC_ketones!F18)))</f>
        <v>#N/A</v>
      </c>
      <c r="AS18" s="96">
        <f>IF(ISERROR(GC_ketones!D18),0,IF(ISERROR(GC_ketones!F18),0,STDEV(GC_ketones!D18, GC_ketones!F18)))</f>
        <v>0</v>
      </c>
      <c r="AT18" s="96" t="e">
        <f>IF(ISERROR(GC_ketones!E18), GC_ketones!G18, IF(ISERROR(GC_ketones!G18), GC_ketones!E18, AVERAGE(GC_ketones!E18, GC_ketones!G18)))</f>
        <v>#N/A</v>
      </c>
      <c r="AU18" s="96">
        <f>IF(ISERROR(GC_ketones!E18),0,IF(ISERROR(GC_ketones!G18),0,STDEV(GC_ketones!E18, GC_ketones!G18)))</f>
        <v>0</v>
      </c>
      <c r="AV18" t="e">
        <f t="shared" si="13"/>
        <v>#N/A</v>
      </c>
      <c r="AW18" t="e">
        <f t="shared" si="1"/>
        <v>#N/A</v>
      </c>
      <c r="AX18" t="e">
        <f t="shared" ref="AX18:AX21" si="14">AB18*36.6/$X18</f>
        <v>#N/A</v>
      </c>
      <c r="AY18" t="e">
        <f t="shared" si="2"/>
        <v>#N/A</v>
      </c>
      <c r="AZ18" t="e">
        <f t="shared" ref="AZ18:AZ21" si="15">AD18*36.6/$X18</f>
        <v>#N/A</v>
      </c>
      <c r="BA18" t="e">
        <f t="shared" si="3"/>
        <v>#N/A</v>
      </c>
      <c r="BB18" t="e">
        <f t="shared" ref="BB18:BB21" si="16">AF18*36.6/$X18</f>
        <v>#N/A</v>
      </c>
      <c r="BC18" t="e">
        <f t="shared" si="4"/>
        <v>#N/A</v>
      </c>
      <c r="BD18" t="e">
        <f t="shared" ref="BD18:BD21" si="17">AH18*36.6/$X18</f>
        <v>#N/A</v>
      </c>
      <c r="BE18" t="e">
        <f t="shared" si="5"/>
        <v>#N/A</v>
      </c>
      <c r="BF18" t="e">
        <f t="shared" ref="BF18:BF21" si="18">AJ18*36.6/$X18</f>
        <v>#N/A</v>
      </c>
      <c r="BG18" t="e">
        <f t="shared" si="6"/>
        <v>#N/A</v>
      </c>
      <c r="BH18" t="e">
        <f t="shared" ref="BH18:BH21" si="19">AL18*36.6/$X18</f>
        <v>#N/A</v>
      </c>
      <c r="BI18" t="e">
        <f t="shared" si="7"/>
        <v>#N/A</v>
      </c>
      <c r="BJ18" t="e">
        <f t="shared" ref="BJ18:BJ21" si="20">AN18*36.6/$X18</f>
        <v>#N/A</v>
      </c>
      <c r="BK18" t="e">
        <f t="shared" si="8"/>
        <v>#N/A</v>
      </c>
      <c r="BL18" t="e">
        <f t="shared" ref="BL18:BL21" si="21">AP18*36.6/$X18</f>
        <v>#N/A</v>
      </c>
      <c r="BM18" t="e">
        <f t="shared" si="9"/>
        <v>#N/A</v>
      </c>
      <c r="BN18" t="e">
        <f t="shared" ref="BN18:BN21" si="22">AR18*36.6/$X18</f>
        <v>#N/A</v>
      </c>
      <c r="BO18" t="e">
        <f t="shared" si="10"/>
        <v>#N/A</v>
      </c>
      <c r="BP18" t="e">
        <f t="shared" ref="BP18:BP21" si="23">AT18*36.6/$X18</f>
        <v>#N/A</v>
      </c>
      <c r="BQ18" t="e">
        <f t="shared" si="11"/>
        <v>#N/A</v>
      </c>
      <c r="BR18" t="e">
        <f t="shared" si="12"/>
        <v>#N/A</v>
      </c>
    </row>
    <row r="19" spans="1:70" x14ac:dyDescent="0.25">
      <c r="A19">
        <f>CellCount_Viability!A19</f>
        <v>0</v>
      </c>
      <c r="B19" s="69" t="e">
        <f>CellCount_Viability!B19</f>
        <v>#VALUE!</v>
      </c>
      <c r="C19" s="63" t="str">
        <f>CellCount_Viability!C19</f>
        <v/>
      </c>
      <c r="D19" s="11" t="e">
        <f>IF(ISERROR(CellCount_Viability!E19), CellCount_Viability!H19, IF(ISERROR(CellCount_Viability!H19), CellCount_Viability!E19, AVERAGE(CellCount_Viability!E19, CellCount_Viability!H19)))</f>
        <v>#N/A</v>
      </c>
      <c r="E19" s="11">
        <f>IF(ISERROR(CellCount_Viability!E19),0,IF(ISERROR(CellCount_Viability!H19),0,STDEV(CellCount_Viability!E19,CellCount_Viability!H19)))</f>
        <v>0</v>
      </c>
      <c r="F19" s="92" t="e">
        <f>IF(ISERROR(CellCount_Viability!F19), CellCount_Viability!I19, IF(ISERROR(CellCount_Viability!I19), CellCount_Viability!F19, AVERAGE(CellCount_Viability!F19, CellCount_Viability!I19)))</f>
        <v>#N/A</v>
      </c>
      <c r="G19" s="92">
        <f>IF(ISERROR(CellCount_Viability!F19),0,IF(ISERROR(CellCount_Viability!I19),0,STDEV(CellCount_Viability!F19,CellCount_Viability!I19)))</f>
        <v>0</v>
      </c>
      <c r="J19" s="96" t="e">
        <f>IF(ISERROR(Attenuation!D20), Attenuation!E20, IF(ISERROR(Attenuation!E20), Attenuation!D20, AVERAGE(Attenuation!D20, Attenuation!E20)))</f>
        <v>#N/A</v>
      </c>
      <c r="K19" s="96">
        <f>IF(ISERROR(Attenuation!D20),0,IF(ISERROR(Attenuation!E20),0,STDEV(Attenuation!D20,Attenuation!E20)))</f>
        <v>0</v>
      </c>
      <c r="L19" s="96" t="e">
        <f>IF(ISERROR(pH!D20), pH!E20, IF(ISERROR(pH!E20), pH!D20, AVERAGE(pH!D20, pH!E20)))</f>
        <v>#N/A</v>
      </c>
      <c r="M19" s="96">
        <f>IF(ISERROR(pH!D20),0,IF(ISERROR(pH!E20),0,STDEV(pH!D20,pH!E20)))</f>
        <v>0</v>
      </c>
      <c r="N19" s="96" t="e">
        <f>IF(ISERROR(HPLC!D19), HPLC!J19, IF(ISERROR( HPLC!J19), HPLC!D19, AVERAGE(HPLC!D19,  HPLC!J19)))</f>
        <v>#N/A</v>
      </c>
      <c r="O19" s="96">
        <f>IF(ISERROR( HPLC!D19),0,IF(ISERROR( HPLC!J19),0,STDEV( HPLC!D19, HPLC!J19)))</f>
        <v>0</v>
      </c>
      <c r="P19" s="96" t="e">
        <f>IF(ISERROR(HPLC!E19), HPLC!K19, IF(ISERROR( HPLC!K19), HPLC!E19, AVERAGE(HPLC!E19,  HPLC!K19)))</f>
        <v>#N/A</v>
      </c>
      <c r="Q19" s="96">
        <f>IF(ISERROR( HPLC!E19),0,IF(ISERROR( HPLC!K19),0,STDEV( HPLC!E19, HPLC!K19)))</f>
        <v>0</v>
      </c>
      <c r="R19" s="96" t="e">
        <f>IF(ISERROR(HPLC!F19), HPLC!L19, IF(ISERROR( HPLC!L19), HPLC!F19, AVERAGE(HPLC!F19,  HPLC!L19)))</f>
        <v>#N/A</v>
      </c>
      <c r="S19" s="96">
        <f>IF(ISERROR( HPLC!F19),0,IF(ISERROR( HPLC!L19),0,STDEV( HPLC!F19, HPLC!L19)))</f>
        <v>0</v>
      </c>
      <c r="T19" s="96" t="e">
        <f>IF(ISERROR(HPLC!G19), HPLC!M19, IF(ISERROR( HPLC!M19), HPLC!G19, AVERAGE(HPLC!M19,  HPLC!G19)))</f>
        <v>#N/A</v>
      </c>
      <c r="U19" s="96">
        <f>IF(ISERROR( HPLC!M19),0,IF(ISERROR( HPLC!G19),0,STDEV( HPLC!M19, HPLC!G19)))</f>
        <v>0</v>
      </c>
      <c r="V19" s="96" t="e">
        <f>IF(ISERROR(HPLC!H19), HPLC!N19, IF(ISERROR( HPLC!N19), HPLC!H19, AVERAGE(HPLC!H19,  HPLC!N19)))</f>
        <v>#N/A</v>
      </c>
      <c r="W19" s="96">
        <f>IF(ISERROR( HPLC!H19),0,IF(ISERROR( HPLC!N19),0,STDEV( HPLC!H19, HPLC!N19)))</f>
        <v>0</v>
      </c>
      <c r="X19" s="96" t="e">
        <f>IF(ISERROR(HPLC!I19), HPLC!O19, IF(ISERROR( HPLC!O19), HPLC!I19, AVERAGE(HPLC!I19,  HPLC!O19)))</f>
        <v>#N/A</v>
      </c>
      <c r="Y19" s="96">
        <f>IF(ISERROR( HPLC!I19),0,IF(ISERROR( HPLC!O19),0,STDEV( HPLC!I19, HPLC!O19)))</f>
        <v>0</v>
      </c>
      <c r="Z19" s="96" t="e">
        <f>IF(ISERROR(GC_esters!D19), GC_esters!N19, IF(ISERROR(GC_esters!N19), GC_esters!D19, AVERAGE(GC_esters!D19,  GC_esters!N19)))</f>
        <v>#N/A</v>
      </c>
      <c r="AA19" s="96">
        <f>IF(ISERROR(GC_esters!D19),0,IF(ISERROR(GC_esters!N19),0,STDEV(GC_esters!D19, GC_esters!N19)))</f>
        <v>0</v>
      </c>
      <c r="AB19" s="96" t="e">
        <f>IF(ISERROR(GC_esters!F19), GC_esters!P19, IF(ISERROR(GC_esters!P19), GC_esters!F19, AVERAGE(GC_esters!F19,  GC_esters!P19)))</f>
        <v>#N/A</v>
      </c>
      <c r="AC19" s="96">
        <f>IF(ISERROR(GC_esters!F19),0,IF(ISERROR(GC_esters!P19),0,STDEV(GC_esters!F19, GC_esters!P19)))</f>
        <v>0</v>
      </c>
      <c r="AD19" s="96" t="e">
        <f>IF(ISERROR(GC_esters!G19), GC_esters!Q19, IF(ISERROR(GC_esters!Q19), GC_esters!G19, AVERAGE(GC_esters!G19,  GC_esters!Q19)))</f>
        <v>#N/A</v>
      </c>
      <c r="AE19" s="96">
        <f>IF(ISERROR(GC_esters!G19),0,IF(ISERROR(GC_esters!Q19),0,STDEV(GC_esters!G19, GC_esters!Q19)))</f>
        <v>0</v>
      </c>
      <c r="AF19" s="96" t="e">
        <f>IF(ISERROR(GC_esters!H19), GC_esters!R19, IF(ISERROR(GC_esters!R19), GC_esters!H19, AVERAGE(GC_esters!H19,  GC_esters!R19)))</f>
        <v>#N/A</v>
      </c>
      <c r="AG19" s="96">
        <f>IF(ISERROR(GC_esters!H19),0,IF(ISERROR(GC_esters!R19),0,STDEV(GC_esters!H19, GC_esters!R19)))</f>
        <v>0</v>
      </c>
      <c r="AH19" s="96" t="e">
        <f>IF(ISERROR(GC_esters!I19), GC_esters!S19, IF(ISERROR(GC_esters!S19), GC_esters!I19, AVERAGE(GC_esters!I19,  GC_esters!S19)))</f>
        <v>#N/A</v>
      </c>
      <c r="AI19" s="96">
        <f>IF(ISERROR(GC_esters!I19),0,IF(ISERROR(GC_esters!S19),0,STDEV(GC_esters!I19, GC_esters!S19)))</f>
        <v>0</v>
      </c>
      <c r="AJ19" s="96" t="e">
        <f>IF(ISERROR(GC_esters!J19), GC_esters!T19, IF(ISERROR(GC_esters!T19), GC_esters!J19, AVERAGE(GC_esters!J19,  GC_esters!T19)))</f>
        <v>#N/A</v>
      </c>
      <c r="AK19" s="96">
        <f>IF(ISERROR(GC_esters!J19),0,IF(ISERROR(GC_esters!T19),0,STDEV(GC_esters!J19, GC_esters!T19)))</f>
        <v>0</v>
      </c>
      <c r="AL19" s="96" t="e">
        <f>IF(ISERROR(GC_esters!K19), GC_esters!U19, IF(ISERROR(GC_esters!U19), GC_esters!K19, AVERAGE(GC_esters!K19,  GC_esters!U19)))</f>
        <v>#N/A</v>
      </c>
      <c r="AM19" s="96">
        <f>IF(ISERROR(GC_esters!K19),0,IF(ISERROR(GC_esters!U19),0,STDEV(GC_esters!K19, GC_esters!U19)))</f>
        <v>0</v>
      </c>
      <c r="AN19" s="96" t="e">
        <f>IF(ISERROR(GC_esters!L19), GC_esters!V19, IF(ISERROR(GC_esters!V19), GC_esters!L19, AVERAGE(GC_esters!L19,  GC_esters!V19)))</f>
        <v>#N/A</v>
      </c>
      <c r="AO19" s="96">
        <f>IF(ISERROR(GC_esters!L19),0,IF(ISERROR(GC_esters!V19),0,STDEV(GC_esters!L19, GC_esters!V19)))</f>
        <v>0</v>
      </c>
      <c r="AP19" s="96" t="e">
        <f>IF(ISERROR(GC_esters!M19), GC_esters!W19, IF(ISERROR(GC_esters!W19), GC_esters!M19, AVERAGE(GC_esters!M19,  GC_esters!W19)))</f>
        <v>#N/A</v>
      </c>
      <c r="AQ19" s="96">
        <f>IF(ISERROR(GC_esters!M19),0,IF(ISERROR(GC_esters!W19),0,STDEV(GC_esters!M19, GC_esters!W19)))</f>
        <v>0</v>
      </c>
      <c r="AR19" s="96" t="e">
        <f>IF(ISERROR(GC_ketones!D19), GC_ketones!F19, IF(ISERROR(GC_ketones!F19), GC_ketones!D19, AVERAGE(GC_ketones!D19, GC_ketones!F19)))</f>
        <v>#N/A</v>
      </c>
      <c r="AS19" s="96">
        <f>IF(ISERROR(GC_ketones!D19),0,IF(ISERROR(GC_ketones!F19),0,STDEV(GC_ketones!D19, GC_ketones!F19)))</f>
        <v>0</v>
      </c>
      <c r="AT19" s="96" t="e">
        <f>IF(ISERROR(GC_ketones!E19), GC_ketones!G19, IF(ISERROR(GC_ketones!G19), GC_ketones!E19, AVERAGE(GC_ketones!E19, GC_ketones!G19)))</f>
        <v>#N/A</v>
      </c>
      <c r="AU19" s="96">
        <f>IF(ISERROR(GC_ketones!E19),0,IF(ISERROR(GC_ketones!G19),0,STDEV(GC_ketones!E19, GC_ketones!G19)))</f>
        <v>0</v>
      </c>
      <c r="AV19" t="e">
        <f t="shared" si="13"/>
        <v>#N/A</v>
      </c>
      <c r="AW19" t="e">
        <f t="shared" si="1"/>
        <v>#N/A</v>
      </c>
      <c r="AX19" t="e">
        <f t="shared" si="14"/>
        <v>#N/A</v>
      </c>
      <c r="AY19" t="e">
        <f t="shared" si="2"/>
        <v>#N/A</v>
      </c>
      <c r="AZ19" t="e">
        <f t="shared" si="15"/>
        <v>#N/A</v>
      </c>
      <c r="BA19" t="e">
        <f t="shared" si="3"/>
        <v>#N/A</v>
      </c>
      <c r="BB19" t="e">
        <f t="shared" si="16"/>
        <v>#N/A</v>
      </c>
      <c r="BC19" t="e">
        <f t="shared" si="4"/>
        <v>#N/A</v>
      </c>
      <c r="BD19" t="e">
        <f t="shared" si="17"/>
        <v>#N/A</v>
      </c>
      <c r="BE19" t="e">
        <f t="shared" si="5"/>
        <v>#N/A</v>
      </c>
      <c r="BF19" t="e">
        <f t="shared" si="18"/>
        <v>#N/A</v>
      </c>
      <c r="BG19" t="e">
        <f t="shared" si="6"/>
        <v>#N/A</v>
      </c>
      <c r="BH19" t="e">
        <f t="shared" si="19"/>
        <v>#N/A</v>
      </c>
      <c r="BI19" t="e">
        <f t="shared" si="7"/>
        <v>#N/A</v>
      </c>
      <c r="BJ19" t="e">
        <f t="shared" si="20"/>
        <v>#N/A</v>
      </c>
      <c r="BK19" t="e">
        <f t="shared" si="8"/>
        <v>#N/A</v>
      </c>
      <c r="BL19" t="e">
        <f t="shared" si="21"/>
        <v>#N/A</v>
      </c>
      <c r="BM19" t="e">
        <f t="shared" si="9"/>
        <v>#N/A</v>
      </c>
      <c r="BN19" t="e">
        <f t="shared" si="22"/>
        <v>#N/A</v>
      </c>
      <c r="BO19" t="e">
        <f t="shared" si="10"/>
        <v>#N/A</v>
      </c>
      <c r="BP19" t="e">
        <f t="shared" si="23"/>
        <v>#N/A</v>
      </c>
      <c r="BQ19" t="e">
        <f t="shared" si="11"/>
        <v>#N/A</v>
      </c>
      <c r="BR19" t="e">
        <f t="shared" si="12"/>
        <v>#N/A</v>
      </c>
    </row>
    <row r="20" spans="1:70" x14ac:dyDescent="0.25">
      <c r="A20">
        <f>CellCount_Viability!A20</f>
        <v>0</v>
      </c>
      <c r="B20" s="69" t="e">
        <f>CellCount_Viability!B20</f>
        <v>#VALUE!</v>
      </c>
      <c r="C20" s="63" t="str">
        <f>CellCount_Viability!C20</f>
        <v/>
      </c>
      <c r="D20" s="11" t="e">
        <f>IF(ISERROR(CellCount_Viability!E20), CellCount_Viability!H20, IF(ISERROR(CellCount_Viability!H20), CellCount_Viability!E20, AVERAGE(CellCount_Viability!E20, CellCount_Viability!H20)))</f>
        <v>#N/A</v>
      </c>
      <c r="E20" s="11">
        <f>IF(ISERROR(CellCount_Viability!E20),0,IF(ISERROR(CellCount_Viability!H20),0,STDEV(CellCount_Viability!E20,CellCount_Viability!H20)))</f>
        <v>0</v>
      </c>
      <c r="F20" s="92" t="e">
        <f>IF(ISERROR(CellCount_Viability!F20), CellCount_Viability!I20, IF(ISERROR(CellCount_Viability!I20), CellCount_Viability!F20, AVERAGE(CellCount_Viability!F20, CellCount_Viability!I20)))</f>
        <v>#N/A</v>
      </c>
      <c r="G20" s="92">
        <f>IF(ISERROR(CellCount_Viability!F20),0,IF(ISERROR(CellCount_Viability!I20),0,STDEV(CellCount_Viability!F20,CellCount_Viability!I20)))</f>
        <v>0</v>
      </c>
      <c r="J20" s="96" t="e">
        <f>IF(ISERROR(Attenuation!D21), Attenuation!E21, IF(ISERROR(Attenuation!E21), Attenuation!D21, AVERAGE(Attenuation!D21, Attenuation!E21)))</f>
        <v>#N/A</v>
      </c>
      <c r="K20" s="96">
        <f>IF(ISERROR(Attenuation!D21),0,IF(ISERROR(Attenuation!E21),0,STDEV(Attenuation!D21,Attenuation!E21)))</f>
        <v>0</v>
      </c>
      <c r="L20" s="96" t="e">
        <f>IF(ISERROR(pH!D21), pH!E21, IF(ISERROR(pH!E21), pH!D21, AVERAGE(pH!D21, pH!E21)))</f>
        <v>#N/A</v>
      </c>
      <c r="M20" s="96">
        <f>IF(ISERROR(pH!D21),0,IF(ISERROR(pH!E21),0,STDEV(pH!D21,pH!E21)))</f>
        <v>0</v>
      </c>
      <c r="N20" s="96" t="e">
        <f>IF(ISERROR(HPLC!D20), HPLC!J20, IF(ISERROR( HPLC!J20), HPLC!D20, AVERAGE(HPLC!D20,  HPLC!J20)))</f>
        <v>#N/A</v>
      </c>
      <c r="O20" s="96">
        <f>IF(ISERROR( HPLC!D20),0,IF(ISERROR( HPLC!J20),0,STDEV( HPLC!D20, HPLC!J20)))</f>
        <v>0</v>
      </c>
      <c r="P20" s="96" t="e">
        <f>IF(ISERROR(HPLC!E20), HPLC!K20, IF(ISERROR( HPLC!K20), HPLC!E20, AVERAGE(HPLC!E20,  HPLC!K20)))</f>
        <v>#N/A</v>
      </c>
      <c r="Q20" s="96">
        <f>IF(ISERROR( HPLC!E20),0,IF(ISERROR( HPLC!K20),0,STDEV( HPLC!E20, HPLC!K20)))</f>
        <v>0</v>
      </c>
      <c r="R20" s="96" t="e">
        <f>IF(ISERROR(HPLC!F20), HPLC!L20, IF(ISERROR( HPLC!L20), HPLC!F20, AVERAGE(HPLC!F20,  HPLC!L20)))</f>
        <v>#N/A</v>
      </c>
      <c r="S20" s="96">
        <f>IF(ISERROR( HPLC!F20),0,IF(ISERROR( HPLC!L20),0,STDEV( HPLC!F20, HPLC!L20)))</f>
        <v>0</v>
      </c>
      <c r="T20" s="96" t="e">
        <f>IF(ISERROR(HPLC!G20), HPLC!M20, IF(ISERROR( HPLC!M20), HPLC!G20, AVERAGE(HPLC!M20,  HPLC!G20)))</f>
        <v>#N/A</v>
      </c>
      <c r="U20" s="96">
        <f>IF(ISERROR( HPLC!M20),0,IF(ISERROR( HPLC!G20),0,STDEV( HPLC!M20, HPLC!G20)))</f>
        <v>0</v>
      </c>
      <c r="V20" s="96" t="e">
        <f>IF(ISERROR(HPLC!H20), HPLC!N20, IF(ISERROR( HPLC!N20), HPLC!H20, AVERAGE(HPLC!H20,  HPLC!N20)))</f>
        <v>#N/A</v>
      </c>
      <c r="W20" s="96">
        <f>IF(ISERROR( HPLC!H20),0,IF(ISERROR( HPLC!N20),0,STDEV( HPLC!H20, HPLC!N20)))</f>
        <v>0</v>
      </c>
      <c r="X20" s="96" t="e">
        <f>IF(ISERROR(HPLC!I20), HPLC!O20, IF(ISERROR( HPLC!O20), HPLC!I20, AVERAGE(HPLC!I20,  HPLC!O20)))</f>
        <v>#N/A</v>
      </c>
      <c r="Y20" s="96">
        <f>IF(ISERROR( HPLC!I20),0,IF(ISERROR( HPLC!O20),0,STDEV( HPLC!I20, HPLC!O20)))</f>
        <v>0</v>
      </c>
      <c r="Z20" s="96" t="e">
        <f>IF(ISERROR(GC_esters!D20), GC_esters!N20, IF(ISERROR(GC_esters!N20), GC_esters!D20, AVERAGE(GC_esters!D20,  GC_esters!N20)))</f>
        <v>#N/A</v>
      </c>
      <c r="AA20" s="96">
        <f>IF(ISERROR(GC_esters!D20),0,IF(ISERROR(GC_esters!N20),0,STDEV(GC_esters!D20, GC_esters!N20)))</f>
        <v>0</v>
      </c>
      <c r="AB20" s="96" t="e">
        <f>IF(ISERROR(GC_esters!F20), GC_esters!P20, IF(ISERROR(GC_esters!P20), GC_esters!F20, AVERAGE(GC_esters!F20,  GC_esters!P20)))</f>
        <v>#N/A</v>
      </c>
      <c r="AC20" s="96">
        <f>IF(ISERROR(GC_esters!F20),0,IF(ISERROR(GC_esters!P20),0,STDEV(GC_esters!F20, GC_esters!P20)))</f>
        <v>0</v>
      </c>
      <c r="AD20" s="96" t="e">
        <f>IF(ISERROR(GC_esters!G20), GC_esters!Q20, IF(ISERROR(GC_esters!Q20), GC_esters!G20, AVERAGE(GC_esters!G20,  GC_esters!Q20)))</f>
        <v>#N/A</v>
      </c>
      <c r="AE20" s="96">
        <f>IF(ISERROR(GC_esters!G20),0,IF(ISERROR(GC_esters!Q20),0,STDEV(GC_esters!G20, GC_esters!Q20)))</f>
        <v>0</v>
      </c>
      <c r="AF20" s="96" t="e">
        <f>IF(ISERROR(GC_esters!H20), GC_esters!R20, IF(ISERROR(GC_esters!R20), GC_esters!H20, AVERAGE(GC_esters!H20,  GC_esters!R20)))</f>
        <v>#N/A</v>
      </c>
      <c r="AG20" s="96">
        <f>IF(ISERROR(GC_esters!H20),0,IF(ISERROR(GC_esters!R20),0,STDEV(GC_esters!H20, GC_esters!R20)))</f>
        <v>0</v>
      </c>
      <c r="AH20" s="96" t="e">
        <f>IF(ISERROR(GC_esters!I20), GC_esters!S20, IF(ISERROR(GC_esters!S20), GC_esters!I20, AVERAGE(GC_esters!I20,  GC_esters!S20)))</f>
        <v>#N/A</v>
      </c>
      <c r="AI20" s="96">
        <f>IF(ISERROR(GC_esters!I20),0,IF(ISERROR(GC_esters!S20),0,STDEV(GC_esters!I20, GC_esters!S20)))</f>
        <v>0</v>
      </c>
      <c r="AJ20" s="96" t="e">
        <f>IF(ISERROR(GC_esters!J20), GC_esters!T20, IF(ISERROR(GC_esters!T20), GC_esters!J20, AVERAGE(GC_esters!J20,  GC_esters!T20)))</f>
        <v>#N/A</v>
      </c>
      <c r="AK20" s="96">
        <f>IF(ISERROR(GC_esters!J20),0,IF(ISERROR(GC_esters!T20),0,STDEV(GC_esters!J20, GC_esters!T20)))</f>
        <v>0</v>
      </c>
      <c r="AL20" s="96" t="e">
        <f>IF(ISERROR(GC_esters!K20), GC_esters!U20, IF(ISERROR(GC_esters!U20), GC_esters!K20, AVERAGE(GC_esters!K20,  GC_esters!U20)))</f>
        <v>#N/A</v>
      </c>
      <c r="AM20" s="96">
        <f>IF(ISERROR(GC_esters!K20),0,IF(ISERROR(GC_esters!U20),0,STDEV(GC_esters!K20, GC_esters!U20)))</f>
        <v>0</v>
      </c>
      <c r="AN20" s="96" t="e">
        <f>IF(ISERROR(GC_esters!L20), GC_esters!V20, IF(ISERROR(GC_esters!V20), GC_esters!L20, AVERAGE(GC_esters!L20,  GC_esters!V20)))</f>
        <v>#N/A</v>
      </c>
      <c r="AO20" s="96">
        <f>IF(ISERROR(GC_esters!L20),0,IF(ISERROR(GC_esters!V20),0,STDEV(GC_esters!L20, GC_esters!V20)))</f>
        <v>0</v>
      </c>
      <c r="AP20" s="96" t="e">
        <f>IF(ISERROR(GC_esters!M20), GC_esters!W20, IF(ISERROR(GC_esters!W20), GC_esters!M20, AVERAGE(GC_esters!M20,  GC_esters!W20)))</f>
        <v>#N/A</v>
      </c>
      <c r="AQ20" s="96">
        <f>IF(ISERROR(GC_esters!M20),0,IF(ISERROR(GC_esters!W20),0,STDEV(GC_esters!M20, GC_esters!W20)))</f>
        <v>0</v>
      </c>
      <c r="AR20" s="96" t="e">
        <f>IF(ISERROR(GC_ketones!D20), GC_ketones!F20, IF(ISERROR(GC_ketones!F20), GC_ketones!D20, AVERAGE(GC_ketones!D20, GC_ketones!F20)))</f>
        <v>#N/A</v>
      </c>
      <c r="AS20" s="96">
        <f>IF(ISERROR(GC_ketones!D20),0,IF(ISERROR(GC_ketones!F20),0,STDEV(GC_ketones!D20, GC_ketones!F20)))</f>
        <v>0</v>
      </c>
      <c r="AT20" s="96" t="e">
        <f>IF(ISERROR(GC_ketones!E20), GC_ketones!G20, IF(ISERROR(GC_ketones!G20), GC_ketones!E20, AVERAGE(GC_ketones!E20, GC_ketones!G20)))</f>
        <v>#N/A</v>
      </c>
      <c r="AU20" s="96">
        <f>IF(ISERROR(GC_ketones!E20),0,IF(ISERROR(GC_ketones!G20),0,STDEV(GC_ketones!E20, GC_ketones!G20)))</f>
        <v>0</v>
      </c>
      <c r="AV20" t="e">
        <f t="shared" si="13"/>
        <v>#N/A</v>
      </c>
      <c r="AW20" t="e">
        <f t="shared" si="1"/>
        <v>#N/A</v>
      </c>
      <c r="AX20" t="e">
        <f t="shared" si="14"/>
        <v>#N/A</v>
      </c>
      <c r="AY20" t="e">
        <f t="shared" si="2"/>
        <v>#N/A</v>
      </c>
      <c r="AZ20" t="e">
        <f t="shared" si="15"/>
        <v>#N/A</v>
      </c>
      <c r="BA20" t="e">
        <f t="shared" si="3"/>
        <v>#N/A</v>
      </c>
      <c r="BB20" t="e">
        <f t="shared" si="16"/>
        <v>#N/A</v>
      </c>
      <c r="BC20" t="e">
        <f t="shared" si="4"/>
        <v>#N/A</v>
      </c>
      <c r="BD20" t="e">
        <f t="shared" si="17"/>
        <v>#N/A</v>
      </c>
      <c r="BE20" t="e">
        <f t="shared" si="5"/>
        <v>#N/A</v>
      </c>
      <c r="BF20" t="e">
        <f t="shared" si="18"/>
        <v>#N/A</v>
      </c>
      <c r="BG20" t="e">
        <f t="shared" si="6"/>
        <v>#N/A</v>
      </c>
      <c r="BH20" t="e">
        <f t="shared" si="19"/>
        <v>#N/A</v>
      </c>
      <c r="BI20" t="e">
        <f t="shared" si="7"/>
        <v>#N/A</v>
      </c>
      <c r="BJ20" t="e">
        <f t="shared" si="20"/>
        <v>#N/A</v>
      </c>
      <c r="BK20" t="e">
        <f t="shared" si="8"/>
        <v>#N/A</v>
      </c>
      <c r="BL20" t="e">
        <f t="shared" si="21"/>
        <v>#N/A</v>
      </c>
      <c r="BM20" t="e">
        <f t="shared" si="9"/>
        <v>#N/A</v>
      </c>
      <c r="BN20" t="e">
        <f t="shared" si="22"/>
        <v>#N/A</v>
      </c>
      <c r="BO20" t="e">
        <f t="shared" si="10"/>
        <v>#N/A</v>
      </c>
      <c r="BP20" t="e">
        <f t="shared" si="23"/>
        <v>#N/A</v>
      </c>
      <c r="BQ20" t="e">
        <f t="shared" si="11"/>
        <v>#N/A</v>
      </c>
      <c r="BR20" t="e">
        <f t="shared" si="12"/>
        <v>#N/A</v>
      </c>
    </row>
    <row r="21" spans="1:70" x14ac:dyDescent="0.25">
      <c r="A21">
        <f>CellCount_Viability!A21</f>
        <v>0</v>
      </c>
      <c r="B21" s="69" t="e">
        <f>CellCount_Viability!B21</f>
        <v>#VALUE!</v>
      </c>
      <c r="C21" s="63" t="str">
        <f>CellCount_Viability!C21</f>
        <v/>
      </c>
      <c r="D21" s="11" t="e">
        <f>IF(ISERROR(CellCount_Viability!E21), CellCount_Viability!H21, IF(ISERROR(CellCount_Viability!H21), CellCount_Viability!E21, AVERAGE(CellCount_Viability!E21, CellCount_Viability!H21)))</f>
        <v>#N/A</v>
      </c>
      <c r="E21" s="11">
        <f>IF(ISERROR(CellCount_Viability!E21),0,IF(ISERROR(CellCount_Viability!H21),0,STDEV(CellCount_Viability!E21,CellCount_Viability!H21)))</f>
        <v>0</v>
      </c>
      <c r="F21" s="92" t="e">
        <f>IF(ISERROR(CellCount_Viability!F21), CellCount_Viability!I21, IF(ISERROR(CellCount_Viability!I21), CellCount_Viability!F21, AVERAGE(CellCount_Viability!F21, CellCount_Viability!I21)))</f>
        <v>#N/A</v>
      </c>
      <c r="G21" s="92">
        <f>IF(ISERROR(CellCount_Viability!F21),0,IF(ISERROR(CellCount_Viability!I21),0,STDEV(CellCount_Viability!F21,CellCount_Viability!I21)))</f>
        <v>0</v>
      </c>
      <c r="J21" s="96" t="e">
        <f>IF(ISERROR(Attenuation!D22), Attenuation!E22, IF(ISERROR(Attenuation!E22), Attenuation!D22, AVERAGE(Attenuation!D22, Attenuation!E22)))</f>
        <v>#N/A</v>
      </c>
      <c r="K21" s="96">
        <f>IF(ISERROR(Attenuation!D22),0,IF(ISERROR(Attenuation!E22),0,STDEV(Attenuation!D22,Attenuation!E22)))</f>
        <v>0</v>
      </c>
      <c r="L21" s="96" t="e">
        <f>IF(ISERROR(pH!D22), pH!E22, IF(ISERROR(pH!E22), pH!D22, AVERAGE(pH!D22, pH!E22)))</f>
        <v>#N/A</v>
      </c>
      <c r="M21" s="96">
        <f>IF(ISERROR(pH!D22),0,IF(ISERROR(pH!E22),0,STDEV(pH!D22,pH!E22)))</f>
        <v>0</v>
      </c>
      <c r="N21" s="96" t="e">
        <f>IF(ISERROR(HPLC!D21), HPLC!J21, IF(ISERROR( HPLC!J21), HPLC!D21, AVERAGE(HPLC!D21,  HPLC!J21)))</f>
        <v>#N/A</v>
      </c>
      <c r="O21" s="96">
        <f>IF(ISERROR( HPLC!D21),0,IF(ISERROR( HPLC!J21),0,STDEV( HPLC!D21, HPLC!J21)))</f>
        <v>0</v>
      </c>
      <c r="P21" s="96" t="e">
        <f>IF(ISERROR(HPLC!E21), HPLC!K21, IF(ISERROR( HPLC!K21), HPLC!E21, AVERAGE(HPLC!E21,  HPLC!K21)))</f>
        <v>#N/A</v>
      </c>
      <c r="Q21" s="96">
        <f>IF(ISERROR( HPLC!E21),0,IF(ISERROR( HPLC!K21),0,STDEV( HPLC!E21, HPLC!K21)))</f>
        <v>0</v>
      </c>
      <c r="R21" s="96" t="e">
        <f>IF(ISERROR(HPLC!F21), HPLC!L21, IF(ISERROR( HPLC!L21), HPLC!F21, AVERAGE(HPLC!F21,  HPLC!L21)))</f>
        <v>#N/A</v>
      </c>
      <c r="S21" s="96">
        <f>IF(ISERROR( HPLC!F21),0,IF(ISERROR( HPLC!L21),0,STDEV( HPLC!F21, HPLC!L21)))</f>
        <v>0</v>
      </c>
      <c r="T21" s="96" t="e">
        <f>IF(ISERROR(HPLC!G21), HPLC!M21, IF(ISERROR( HPLC!M21), HPLC!G21, AVERAGE(HPLC!M21,  HPLC!G21)))</f>
        <v>#N/A</v>
      </c>
      <c r="U21" s="96">
        <f>IF(ISERROR( HPLC!M21),0,IF(ISERROR( HPLC!G21),0,STDEV( HPLC!M21, HPLC!G21)))</f>
        <v>0</v>
      </c>
      <c r="V21" s="96" t="e">
        <f>IF(ISERROR(HPLC!H21), HPLC!N21, IF(ISERROR( HPLC!N21), HPLC!H21, AVERAGE(HPLC!H21,  HPLC!N21)))</f>
        <v>#N/A</v>
      </c>
      <c r="W21" s="96">
        <f>IF(ISERROR( HPLC!H21),0,IF(ISERROR( HPLC!N21),0,STDEV( HPLC!H21, HPLC!N21)))</f>
        <v>0</v>
      </c>
      <c r="X21" s="96" t="e">
        <f>IF(ISERROR(HPLC!I21), HPLC!O21, IF(ISERROR( HPLC!O21), HPLC!I21, AVERAGE(HPLC!I21,  HPLC!O21)))</f>
        <v>#N/A</v>
      </c>
      <c r="Y21" s="96">
        <f>IF(ISERROR( HPLC!I21),0,IF(ISERROR( HPLC!O21),0,STDEV( HPLC!I21, HPLC!O21)))</f>
        <v>0</v>
      </c>
      <c r="Z21" s="96" t="e">
        <f>IF(ISERROR(GC_esters!D21), GC_esters!N21, IF(ISERROR(GC_esters!N21), GC_esters!D21, AVERAGE(GC_esters!D21,  GC_esters!N21)))</f>
        <v>#N/A</v>
      </c>
      <c r="AA21" s="96">
        <f>IF(ISERROR(GC_esters!D21),0,IF(ISERROR(GC_esters!N21),0,STDEV(GC_esters!D21, GC_esters!N21)))</f>
        <v>0</v>
      </c>
      <c r="AB21" s="96" t="e">
        <f>IF(ISERROR(GC_esters!F21), GC_esters!P21, IF(ISERROR(GC_esters!P21), GC_esters!F21, AVERAGE(GC_esters!F21,  GC_esters!P21)))</f>
        <v>#N/A</v>
      </c>
      <c r="AC21" s="96">
        <f>IF(ISERROR(GC_esters!F21),0,IF(ISERROR(GC_esters!P21),0,STDEV(GC_esters!F21, GC_esters!P21)))</f>
        <v>0</v>
      </c>
      <c r="AD21" s="96" t="e">
        <f>IF(ISERROR(GC_esters!G21), GC_esters!Q21, IF(ISERROR(GC_esters!Q21), GC_esters!G21, AVERAGE(GC_esters!G21,  GC_esters!Q21)))</f>
        <v>#N/A</v>
      </c>
      <c r="AE21" s="96">
        <f>IF(ISERROR(GC_esters!G21),0,IF(ISERROR(GC_esters!Q21),0,STDEV(GC_esters!G21, GC_esters!Q21)))</f>
        <v>0</v>
      </c>
      <c r="AF21" s="96" t="e">
        <f>IF(ISERROR(GC_esters!H21), GC_esters!R21, IF(ISERROR(GC_esters!R21), GC_esters!H21, AVERAGE(GC_esters!H21,  GC_esters!R21)))</f>
        <v>#N/A</v>
      </c>
      <c r="AG21" s="96">
        <f>IF(ISERROR(GC_esters!H21),0,IF(ISERROR(GC_esters!R21),0,STDEV(GC_esters!H21, GC_esters!R21)))</f>
        <v>0</v>
      </c>
      <c r="AH21" s="96" t="e">
        <f>IF(ISERROR(GC_esters!I21), GC_esters!S21, IF(ISERROR(GC_esters!S21), GC_esters!I21, AVERAGE(GC_esters!I21,  GC_esters!S21)))</f>
        <v>#N/A</v>
      </c>
      <c r="AI21" s="96">
        <f>IF(ISERROR(GC_esters!I21),0,IF(ISERROR(GC_esters!S21),0,STDEV(GC_esters!I21, GC_esters!S21)))</f>
        <v>0</v>
      </c>
      <c r="AJ21" s="96" t="e">
        <f>IF(ISERROR(GC_esters!J21), GC_esters!T21, IF(ISERROR(GC_esters!T21), GC_esters!J21, AVERAGE(GC_esters!J21,  GC_esters!T21)))</f>
        <v>#N/A</v>
      </c>
      <c r="AK21" s="96">
        <f>IF(ISERROR(GC_esters!J21),0,IF(ISERROR(GC_esters!T21),0,STDEV(GC_esters!J21, GC_esters!T21)))</f>
        <v>0</v>
      </c>
      <c r="AL21" s="96" t="e">
        <f>IF(ISERROR(GC_esters!K21), GC_esters!U21, IF(ISERROR(GC_esters!U21), GC_esters!K21, AVERAGE(GC_esters!K21,  GC_esters!U21)))</f>
        <v>#N/A</v>
      </c>
      <c r="AM21" s="96">
        <f>IF(ISERROR(GC_esters!K21),0,IF(ISERROR(GC_esters!U21),0,STDEV(GC_esters!K21, GC_esters!U21)))</f>
        <v>0</v>
      </c>
      <c r="AN21" s="96" t="e">
        <f>IF(ISERROR(GC_esters!L21), GC_esters!V21, IF(ISERROR(GC_esters!V21), GC_esters!L21, AVERAGE(GC_esters!L21,  GC_esters!V21)))</f>
        <v>#N/A</v>
      </c>
      <c r="AO21" s="96">
        <f>IF(ISERROR(GC_esters!L21),0,IF(ISERROR(GC_esters!V21),0,STDEV(GC_esters!L21, GC_esters!V21)))</f>
        <v>0</v>
      </c>
      <c r="AP21" s="96" t="e">
        <f>IF(ISERROR(GC_esters!M21), GC_esters!W21, IF(ISERROR(GC_esters!W21), GC_esters!M21, AVERAGE(GC_esters!M21,  GC_esters!W21)))</f>
        <v>#N/A</v>
      </c>
      <c r="AQ21" s="96">
        <f>IF(ISERROR(GC_esters!M21),0,IF(ISERROR(GC_esters!W21),0,STDEV(GC_esters!M21, GC_esters!W21)))</f>
        <v>0</v>
      </c>
      <c r="AR21" s="96" t="e">
        <f>IF(ISERROR(GC_ketones!D21), GC_ketones!F21, IF(ISERROR(GC_ketones!F21), GC_ketones!D21, AVERAGE(GC_ketones!D21, GC_ketones!F21)))</f>
        <v>#N/A</v>
      </c>
      <c r="AS21" s="96">
        <f>IF(ISERROR(GC_ketones!D21),0,IF(ISERROR(GC_ketones!F21),0,STDEV(GC_ketones!D21, GC_ketones!F21)))</f>
        <v>0</v>
      </c>
      <c r="AT21" s="96" t="e">
        <f>IF(ISERROR(GC_ketones!E21), GC_ketones!G21, IF(ISERROR(GC_ketones!G21), GC_ketones!E21, AVERAGE(GC_ketones!E21, GC_ketones!G21)))</f>
        <v>#N/A</v>
      </c>
      <c r="AU21" s="96">
        <f>IF(ISERROR(GC_ketones!E21),0,IF(ISERROR(GC_ketones!G21),0,STDEV(GC_ketones!E21, GC_ketones!G21)))</f>
        <v>0</v>
      </c>
      <c r="AV21" t="e">
        <f t="shared" si="13"/>
        <v>#N/A</v>
      </c>
      <c r="AW21" t="e">
        <f t="shared" si="1"/>
        <v>#N/A</v>
      </c>
      <c r="AX21" t="e">
        <f t="shared" si="14"/>
        <v>#N/A</v>
      </c>
      <c r="AY21" t="e">
        <f t="shared" si="2"/>
        <v>#N/A</v>
      </c>
      <c r="AZ21" t="e">
        <f t="shared" si="15"/>
        <v>#N/A</v>
      </c>
      <c r="BA21" t="e">
        <f t="shared" si="3"/>
        <v>#N/A</v>
      </c>
      <c r="BB21" t="e">
        <f t="shared" si="16"/>
        <v>#N/A</v>
      </c>
      <c r="BC21" t="e">
        <f t="shared" si="4"/>
        <v>#N/A</v>
      </c>
      <c r="BD21" t="e">
        <f t="shared" si="17"/>
        <v>#N/A</v>
      </c>
      <c r="BE21" t="e">
        <f t="shared" si="5"/>
        <v>#N/A</v>
      </c>
      <c r="BF21" t="e">
        <f t="shared" si="18"/>
        <v>#N/A</v>
      </c>
      <c r="BG21" t="e">
        <f t="shared" si="6"/>
        <v>#N/A</v>
      </c>
      <c r="BH21" t="e">
        <f t="shared" si="19"/>
        <v>#N/A</v>
      </c>
      <c r="BI21" t="e">
        <f t="shared" si="7"/>
        <v>#N/A</v>
      </c>
      <c r="BJ21" t="e">
        <f t="shared" si="20"/>
        <v>#N/A</v>
      </c>
      <c r="BK21" t="e">
        <f t="shared" si="8"/>
        <v>#N/A</v>
      </c>
      <c r="BL21" t="e">
        <f t="shared" si="21"/>
        <v>#N/A</v>
      </c>
      <c r="BM21" t="e">
        <f t="shared" si="9"/>
        <v>#N/A</v>
      </c>
      <c r="BN21" t="e">
        <f t="shared" si="22"/>
        <v>#N/A</v>
      </c>
      <c r="BO21" t="e">
        <f t="shared" si="10"/>
        <v>#N/A</v>
      </c>
      <c r="BP21" t="e">
        <f t="shared" si="23"/>
        <v>#N/A</v>
      </c>
      <c r="BQ21" t="e">
        <f t="shared" si="11"/>
        <v>#N/A</v>
      </c>
      <c r="BR21" t="e">
        <f t="shared" si="12"/>
        <v>#N/A</v>
      </c>
    </row>
    <row r="22" spans="1:70" x14ac:dyDescent="0.25">
      <c r="D22" s="11"/>
      <c r="E22" s="11"/>
      <c r="F22" s="92"/>
    </row>
    <row r="23" spans="1:70" x14ac:dyDescent="0.25">
      <c r="D23" s="11"/>
      <c r="E23" s="11"/>
      <c r="F23" s="92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70" x14ac:dyDescent="0.25">
      <c r="D24" s="11"/>
      <c r="E24" s="11"/>
      <c r="F24" s="92"/>
    </row>
    <row r="25" spans="1:70" x14ac:dyDescent="0.25">
      <c r="D25" s="11"/>
      <c r="E25" s="11"/>
      <c r="F25" s="92"/>
    </row>
    <row r="26" spans="1:70" x14ac:dyDescent="0.25">
      <c r="D26" s="11"/>
      <c r="E26" s="11"/>
      <c r="F26" s="92"/>
    </row>
    <row r="27" spans="1:70" x14ac:dyDescent="0.25">
      <c r="D27" s="11"/>
      <c r="E27" s="11"/>
      <c r="F27" s="92"/>
    </row>
    <row r="28" spans="1:70" x14ac:dyDescent="0.25">
      <c r="D28" s="11"/>
      <c r="E28" s="11"/>
      <c r="F28" s="92"/>
    </row>
    <row r="29" spans="1:70" x14ac:dyDescent="0.25">
      <c r="D29" s="11"/>
      <c r="E29" s="11"/>
      <c r="F29" s="92"/>
    </row>
    <row r="30" spans="1:70" x14ac:dyDescent="0.25">
      <c r="D30" s="11"/>
      <c r="E30" s="11"/>
      <c r="F30" s="92"/>
    </row>
    <row r="31" spans="1:70" x14ac:dyDescent="0.25">
      <c r="D31" s="11"/>
      <c r="E31" s="11"/>
      <c r="F31" s="92"/>
    </row>
    <row r="32" spans="1:70" x14ac:dyDescent="0.25">
      <c r="D32" s="11"/>
      <c r="E32" s="11"/>
      <c r="F32" s="92"/>
    </row>
    <row r="33" spans="4:18" x14ac:dyDescent="0.25">
      <c r="D33" s="11"/>
      <c r="E33" s="11"/>
      <c r="F33" s="92"/>
    </row>
    <row r="41" spans="4:18" x14ac:dyDescent="0.25">
      <c r="R41" t="s">
        <v>289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1CE5-CFB6-43C5-878F-740E3C49010E}">
  <sheetPr codeName="Sheet15"/>
  <dimension ref="A1:J25"/>
  <sheetViews>
    <sheetView workbookViewId="0">
      <selection activeCell="B4" sqref="B4"/>
    </sheetView>
  </sheetViews>
  <sheetFormatPr defaultRowHeight="15" x14ac:dyDescent="0.25"/>
  <cols>
    <col min="1" max="2" width="25.42578125" bestFit="1" customWidth="1"/>
    <col min="3" max="3" width="20.5703125" bestFit="1" customWidth="1"/>
    <col min="4" max="4" width="21.7109375" customWidth="1"/>
    <col min="5" max="5" width="16.140625" bestFit="1" customWidth="1"/>
    <col min="6" max="6" width="12.28515625" bestFit="1" customWidth="1"/>
    <col min="7" max="7" width="19.42578125" bestFit="1" customWidth="1"/>
    <col min="8" max="8" width="21.5703125" bestFit="1" customWidth="1"/>
    <col min="9" max="9" width="13.42578125" bestFit="1" customWidth="1"/>
  </cols>
  <sheetData>
    <row r="1" spans="1:10" ht="15.75" x14ac:dyDescent="0.25">
      <c r="A1" s="70" t="s">
        <v>3</v>
      </c>
      <c r="B1" s="70" t="s">
        <v>122</v>
      </c>
      <c r="C1" s="70" t="s">
        <v>4</v>
      </c>
      <c r="D1" s="70" t="s">
        <v>127</v>
      </c>
      <c r="E1" s="70" t="s">
        <v>128</v>
      </c>
      <c r="F1" s="70" t="s">
        <v>123</v>
      </c>
      <c r="G1" s="70" t="s">
        <v>53</v>
      </c>
      <c r="H1" s="70" t="s">
        <v>52</v>
      </c>
      <c r="I1" s="72" t="s">
        <v>314</v>
      </c>
      <c r="J1" s="72" t="s">
        <v>313</v>
      </c>
    </row>
    <row r="2" spans="1:10" x14ac:dyDescent="0.25">
      <c r="A2">
        <v>1</v>
      </c>
      <c r="B2" s="71" t="s">
        <v>124</v>
      </c>
      <c r="D2">
        <v>17</v>
      </c>
      <c r="E2" s="11">
        <v>5000000</v>
      </c>
      <c r="F2">
        <v>12</v>
      </c>
      <c r="I2" s="72">
        <v>1</v>
      </c>
      <c r="J2" s="72">
        <v>1</v>
      </c>
    </row>
    <row r="3" spans="1:10" x14ac:dyDescent="0.25">
      <c r="A3">
        <v>2</v>
      </c>
      <c r="B3" s="71" t="s">
        <v>125</v>
      </c>
      <c r="D3">
        <v>20</v>
      </c>
      <c r="E3" s="11">
        <v>10000000</v>
      </c>
      <c r="I3">
        <v>2</v>
      </c>
      <c r="J3">
        <v>2</v>
      </c>
    </row>
    <row r="4" spans="1:10" x14ac:dyDescent="0.25">
      <c r="A4">
        <v>3</v>
      </c>
      <c r="B4" s="71" t="s">
        <v>126</v>
      </c>
      <c r="D4">
        <v>23</v>
      </c>
      <c r="E4" s="11">
        <v>15000000</v>
      </c>
      <c r="J4">
        <v>3</v>
      </c>
    </row>
    <row r="5" spans="1:10" x14ac:dyDescent="0.25">
      <c r="A5">
        <v>4</v>
      </c>
      <c r="B5" s="71"/>
      <c r="D5" t="s">
        <v>292</v>
      </c>
      <c r="J5">
        <v>4</v>
      </c>
    </row>
    <row r="6" spans="1:10" x14ac:dyDescent="0.25">
      <c r="A6">
        <v>5</v>
      </c>
      <c r="J6">
        <v>5</v>
      </c>
    </row>
    <row r="7" spans="1:10" x14ac:dyDescent="0.25">
      <c r="A7">
        <v>6</v>
      </c>
    </row>
    <row r="8" spans="1:10" ht="15.75" x14ac:dyDescent="0.25">
      <c r="A8">
        <v>7</v>
      </c>
      <c r="C8" s="70"/>
    </row>
    <row r="9" spans="1:10" ht="15.75" x14ac:dyDescent="0.25">
      <c r="A9">
        <v>8</v>
      </c>
      <c r="C9" s="70"/>
    </row>
    <row r="10" spans="1:10" ht="15.75" x14ac:dyDescent="0.25">
      <c r="A10">
        <v>9</v>
      </c>
      <c r="C10" s="70"/>
    </row>
    <row r="11" spans="1:10" ht="15.75" x14ac:dyDescent="0.25">
      <c r="A11">
        <v>10</v>
      </c>
      <c r="C11" s="70"/>
    </row>
    <row r="12" spans="1:10" ht="15.75" x14ac:dyDescent="0.25">
      <c r="A12">
        <v>11</v>
      </c>
      <c r="C12" s="70"/>
    </row>
    <row r="13" spans="1:10" ht="15.75" x14ac:dyDescent="0.25">
      <c r="A13">
        <v>12</v>
      </c>
      <c r="C13" s="70"/>
    </row>
    <row r="14" spans="1:10" ht="15.75" x14ac:dyDescent="0.25">
      <c r="A14">
        <v>13</v>
      </c>
      <c r="C14" s="70"/>
    </row>
    <row r="15" spans="1:10" ht="15.75" x14ac:dyDescent="0.25">
      <c r="A15">
        <v>14</v>
      </c>
      <c r="C15" s="70"/>
    </row>
    <row r="16" spans="1:10" x14ac:dyDescent="0.25">
      <c r="A16">
        <v>15</v>
      </c>
    </row>
    <row r="17" spans="1:1" x14ac:dyDescent="0.25">
      <c r="A17">
        <v>16</v>
      </c>
    </row>
    <row r="18" spans="1:1" x14ac:dyDescent="0.25">
      <c r="A18" t="s">
        <v>130</v>
      </c>
    </row>
    <row r="19" spans="1:1" x14ac:dyDescent="0.25">
      <c r="A19" t="s">
        <v>131</v>
      </c>
    </row>
    <row r="20" spans="1:1" x14ac:dyDescent="0.25">
      <c r="A20" t="s">
        <v>132</v>
      </c>
    </row>
    <row r="21" spans="1:1" x14ac:dyDescent="0.25">
      <c r="A21" t="s">
        <v>129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  <row r="25" spans="1:1" x14ac:dyDescent="0.25">
      <c r="A25" t="s">
        <v>136</v>
      </c>
    </row>
  </sheetData>
  <dataValidations count="1">
    <dataValidation type="whole" errorStyle="warning" showInputMessage="1" showErrorMessage="1" errorTitle="Enter # of replicates!" sqref="I2:J2" xr:uid="{4FDEDC67-4119-4ADC-9697-07AF3A8A2A66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Experimental_parameters</vt:lpstr>
      <vt:lpstr>Planning_preculture</vt:lpstr>
      <vt:lpstr>CellCount_Viability</vt:lpstr>
      <vt:lpstr>Attenuation</vt:lpstr>
      <vt:lpstr>pH</vt:lpstr>
      <vt:lpstr>Cone_viability</vt:lpstr>
      <vt:lpstr>HPLC_raw</vt:lpstr>
      <vt:lpstr>GC_esters_raw</vt:lpstr>
      <vt:lpstr>GC_ketones_raw</vt:lpstr>
      <vt:lpstr>HPLC</vt:lpstr>
      <vt:lpstr>GC_esters</vt:lpstr>
      <vt:lpstr>GC_ketones</vt:lpstr>
      <vt:lpstr>CO2</vt:lpstr>
      <vt:lpstr>averages_to_plot</vt:lpstr>
      <vt:lpstr>Excel_parameters_(ignore)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Knibbe</dc:creator>
  <cp:lastModifiedBy>Ewout Knibbe</cp:lastModifiedBy>
  <dcterms:created xsi:type="dcterms:W3CDTF">2026-02-11T15:38:15Z</dcterms:created>
  <dcterms:modified xsi:type="dcterms:W3CDTF">2026-09-22T13:57:55Z</dcterms:modified>
</cp:coreProperties>
</file>